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итул" sheetId="1" state="visible" r:id="rId1"/>
    <sheet name="Резюме" sheetId="2" state="visible" r:id="rId2"/>
    <sheet name="Панель BI" sheetId="3" state="visible" r:id="rId3"/>
    <sheet name="Контроли" sheetId="4" state="visible" r:id="rId4"/>
    <sheet name="Находки" sheetId="5" state="visible" r:id="rId5"/>
    <sheet name="Карта рисков" sheetId="6" state="visible" r:id="rId6"/>
    <sheet name="Тесты" sheetId="7" state="visible" r:id="rId7"/>
    <sheet name="Отклонения" sheetId="8" state="visible" r:id="rId8"/>
    <sheet name="Выборка" sheetId="9" state="visible" r:id="rId9"/>
    <sheet name="Куб" sheetId="10" state="visible" r:id="rId10"/>
    <sheet name="КубРейсы" sheetId="11" state="visible" r:id="rId11"/>
    <sheet name="Самопроверка" sheetId="12" state="visible" r:id="rId12"/>
    <sheet name="Методика" sheetId="13" state="visible" r:id="rId13"/>
  </sheets>
  <definedNames>
    <definedName name="_xlnm._FilterDatabase" localSheetId="9" hidden="1">'Куб'!$A$1:$I$274</definedName>
    <definedName name="_xlnm._FilterDatabase" localSheetId="10" hidden="1">'КубРейсы'!$A$1:$K$27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# ##0.00"/>
  </numFmts>
  <fonts count="29">
    <font>
      <name val="Calibri"/>
      <family val="2"/>
      <color theme="1"/>
      <sz val="11"/>
      <scheme val="minor"/>
    </font>
    <font>
      <name val="Arial"/>
      <b val="1"/>
      <color rgb="00132038"/>
      <sz val="22"/>
    </font>
    <font>
      <name val="Arial"/>
      <color rgb="001D4ED8"/>
      <sz val="12"/>
    </font>
    <font>
      <name val="Arial"/>
      <color rgb="006B7280"/>
      <sz val="11"/>
    </font>
    <font>
      <name val="Arial"/>
      <b val="1"/>
      <color rgb="00A8261E"/>
      <sz val="11"/>
    </font>
    <font>
      <name val="Arial"/>
      <b val="1"/>
      <color rgb="006B7280"/>
      <sz val="10"/>
    </font>
    <font>
      <name val="Arial"/>
      <color rgb="001F2937"/>
      <sz val="10"/>
    </font>
    <font>
      <name val="Arial"/>
      <b val="1"/>
      <color rgb="00FFFFFF"/>
      <sz val="12"/>
    </font>
    <font>
      <name val="Arial"/>
      <b val="1"/>
      <color rgb="00A8261E"/>
      <sz val="16"/>
    </font>
    <font>
      <name val="Arial"/>
      <b val="1"/>
      <color rgb="00132038"/>
      <sz val="10"/>
    </font>
    <font>
      <name val="Arial"/>
      <color rgb="001F2937"/>
      <sz val="9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6B7280"/>
      <sz val="9"/>
    </font>
    <font>
      <name val="Arial"/>
      <b val="1"/>
      <color rgb="00A8261E"/>
      <sz val="20"/>
    </font>
    <font>
      <name val="Arial"/>
      <color rgb="006B7280"/>
      <sz val="8"/>
    </font>
    <font>
      <name val="Arial"/>
      <b val="1"/>
      <color rgb="009A5B00"/>
      <sz val="20"/>
    </font>
    <font>
      <name val="Arial"/>
      <b val="1"/>
      <color rgb="000F7B4F"/>
      <sz val="20"/>
    </font>
    <font>
      <name val="Arial"/>
      <b val="1"/>
      <color rgb="00132038"/>
      <sz val="20"/>
    </font>
    <font>
      <name val="Arial"/>
      <b val="1"/>
      <color rgb="001F2937"/>
      <sz val="9"/>
    </font>
    <font>
      <name val="Arial"/>
      <b val="1"/>
      <color rgb="001D4ED8"/>
      <sz val="11"/>
    </font>
    <font>
      <name val="Arial"/>
      <b val="1"/>
      <color rgb="00132038"/>
      <sz val="11"/>
    </font>
    <font>
      <name val="Arial"/>
      <b val="1"/>
      <color rgb="00FFFFFF"/>
      <sz val="9"/>
    </font>
    <font>
      <name val="Arial"/>
      <b val="1"/>
      <color rgb="000F7B4F"/>
      <sz val="9"/>
    </font>
    <font>
      <name val="Arial"/>
      <b val="1"/>
      <color rgb="009A5B00"/>
      <sz val="9"/>
    </font>
    <font>
      <name val="Arial"/>
      <b val="1"/>
      <color rgb="00A8261E"/>
      <sz val="9"/>
    </font>
    <font>
      <name val="Arial"/>
      <b val="1"/>
      <color rgb="001F2937"/>
      <sz val="10"/>
    </font>
    <font>
      <name val="Arial"/>
      <color rgb="006B7280"/>
      <sz val="9"/>
    </font>
    <font>
      <name val="Arial"/>
      <b val="1"/>
      <color rgb="000F7B4F"/>
      <sz val="12"/>
    </font>
  </fonts>
  <fills count="8">
    <fill>
      <patternFill/>
    </fill>
    <fill>
      <patternFill patternType="gray125"/>
    </fill>
    <fill>
      <patternFill patternType="solid">
        <fgColor rgb="00F8D8D5"/>
      </patternFill>
    </fill>
    <fill>
      <patternFill patternType="solid">
        <fgColor rgb="00132038"/>
      </patternFill>
    </fill>
    <fill>
      <patternFill patternType="solid">
        <fgColor rgb="00F5F7FA"/>
      </patternFill>
    </fill>
    <fill>
      <patternFill patternType="solid">
        <fgColor rgb="00FFF8DC"/>
      </patternFill>
    </fill>
    <fill>
      <patternFill patternType="solid">
        <fgColor rgb="00D8F0E5"/>
      </patternFill>
    </fill>
    <fill>
      <patternFill patternType="solid">
        <fgColor rgb="00FCEBD2"/>
      </patternFill>
    </fill>
  </fills>
  <borders count="2">
    <border>
      <left/>
      <right/>
      <top/>
      <bottom/>
      <diagonal/>
    </border>
    <border>
      <left style="thin">
        <color rgb="00D7DDE5"/>
      </left>
      <right style="thin">
        <color rgb="00D7DDE5"/>
      </right>
      <top style="thin">
        <color rgb="00D7DDE5"/>
      </top>
      <bottom style="thin">
        <color rgb="00D7DDE5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7" fillId="3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top" wrapText="1" indent="1"/>
    </xf>
    <xf numFmtId="0" fontId="11" fillId="3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13" fillId="4" borderId="1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  <xf numFmtId="164" fontId="18" fillId="4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4" fontId="14" fillId="4" borderId="1" applyAlignment="1" pivotButton="0" quotePrefix="0" xfId="0">
      <alignment horizontal="left" vertical="center" indent="1"/>
    </xf>
    <xf numFmtId="10" fontId="16" fillId="4" borderId="1" applyAlignment="1" pivotButton="0" quotePrefix="0" xfId="0">
      <alignment horizontal="left" vertical="center" indent="1"/>
    </xf>
    <xf numFmtId="165" fontId="14" fillId="4" borderId="1" applyAlignment="1" pivotButton="0" quotePrefix="0" xfId="0">
      <alignment horizontal="left" vertical="center" indent="1"/>
    </xf>
    <xf numFmtId="0" fontId="19" fillId="0" borderId="0" pivotButton="0" quotePrefix="0" xfId="0"/>
    <xf numFmtId="0" fontId="10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0" fontId="20" fillId="5" borderId="1" applyAlignment="1" pivotButton="0" quotePrefix="0" xfId="0">
      <alignment horizontal="left" vertical="center" indent="1"/>
    </xf>
    <xf numFmtId="0" fontId="21" fillId="0" borderId="0" pivotButton="0" quotePrefix="0" xfId="0"/>
    <xf numFmtId="165" fontId="18" fillId="4" borderId="1" applyAlignment="1" pivotButton="0" quotePrefix="0" xfId="0">
      <alignment horizontal="left" vertical="center" indent="1"/>
    </xf>
    <xf numFmtId="0" fontId="13" fillId="0" borderId="0" pivotButton="0" quotePrefix="0" xfId="0"/>
    <xf numFmtId="164" fontId="10" fillId="0" borderId="0" pivotButton="0" quotePrefix="0" xfId="0"/>
    <xf numFmtId="0" fontId="15" fillId="0" borderId="0" pivotButton="0" quotePrefix="0" xfId="0"/>
    <xf numFmtId="0" fontId="22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top" wrapText="1"/>
    </xf>
    <xf numFmtId="0" fontId="23" fillId="6" borderId="1" applyAlignment="1" pivotButton="0" quotePrefix="0" xfId="0">
      <alignment horizontal="center" vertical="center"/>
    </xf>
    <xf numFmtId="0" fontId="24" fillId="7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top" wrapText="1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25" fillId="2" borderId="1" applyAlignment="1" pivotButton="0" quotePrefix="0" xfId="0">
      <alignment horizontal="center" vertical="center"/>
    </xf>
    <xf numFmtId="10" fontId="1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10" fontId="10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2" fillId="3" borderId="0" applyAlignment="1" pivotButton="0" quotePrefix="0" xfId="0">
      <alignment horizontal="center" vertical="center" wrapText="1"/>
    </xf>
    <xf numFmtId="165" fontId="10" fillId="0" borderId="0" pivotButton="0" quotePrefix="0" xfId="0"/>
    <xf numFmtId="0" fontId="27" fillId="0" borderId="0" pivotButton="0" quotePrefix="0" xfId="0"/>
    <xf numFmtId="0" fontId="28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Находки по значимости</a:t>
            </a:r>
          </a:p>
        </rich>
      </tx>
    </title>
    <plotArea>
      <doughnutChart>
        <varyColors val="1"/>
        <ser>
          <idx val="0"/>
          <order val="0"/>
          <tx>
            <strRef>
              <f>'Резюме'!C14</f>
            </strRef>
          </tx>
          <spPr>
            <a:ln>
              <a:prstDash val="solid"/>
            </a:ln>
          </spPr>
          <cat>
            <numRef>
              <f>'Резюме'!$B$15:$B$17</f>
            </numRef>
          </cat>
          <val>
            <numRef>
              <f>'Резюме'!$C$15:$C$17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firstSliceAng val="0"/>
        <holeSize val="55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Оценка контролей контура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'Резюме'!F14</f>
            </strRef>
          </tx>
          <spPr>
            <a:ln>
              <a:prstDash val="solid"/>
            </a:ln>
          </spPr>
          <cat>
            <numRef>
              <f>'Резюме'!$E$15:$E$18</f>
            </numRef>
          </cat>
          <val>
            <numRef>
              <f>'Резюме'!$F$15:$F$18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Принято на АЗС по продуктам, 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'Панель BI'!C20</f>
            </strRef>
          </tx>
          <spPr>
            <a:ln>
              <a:prstDash val="solid"/>
            </a:ln>
          </spPr>
          <cat>
            <numRef>
              <f>'Панель BI'!$B$21:$B$24</f>
            </numRef>
          </cat>
          <val>
            <numRef>
              <f>'Панель BI'!$C$21:$C$24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Динамика приёмки по месяцам, л</a:t>
            </a:r>
          </a:p>
        </rich>
      </tx>
    </title>
    <plotArea>
      <lineChart>
        <grouping val="standard"/>
        <ser>
          <idx val="0"/>
          <order val="0"/>
          <tx>
            <strRef>
              <f>'Панель BI'!C26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'Панель BI'!$B$27:$B$39</f>
            </numRef>
          </cat>
          <val>
            <numRef>
              <f>'Панель BI'!$C$27:$C$39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Начислено водителям по месяцам, лей</a:t>
            </a:r>
          </a:p>
        </rich>
      </tx>
    </title>
    <plotArea>
      <lineChart>
        <grouping val="standard"/>
        <ser>
          <idx val="0"/>
          <order val="0"/>
          <tx>
            <strRef>
              <f>'Панель BI'!D26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'Панель BI'!$B$27:$B$39</f>
            </numRef>
          </cat>
          <val>
            <numRef>
              <f>'Панель BI'!$D$27:$D$39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Отклонения по процедурам проверки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'Панель BI'!C41</f>
            </strRef>
          </tx>
          <spPr>
            <a:ln>
              <a:prstDash val="solid"/>
            </a:ln>
          </spPr>
          <cat>
            <numRef>
              <f>'Панель BI'!$B$42:$B$54</f>
            </numRef>
          </cat>
          <val>
            <numRef>
              <f>'Панель BI'!$C$42:$C$54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32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20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36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36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19</row>
      <rowOff>0</rowOff>
    </from>
    <ext cx="54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2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0" customWidth="1" min="3" max="3"/>
    <col width="26" customWidth="1" min="4" max="4"/>
    <col width="3" customWidth="1" min="5" max="5"/>
  </cols>
  <sheetData>
    <row r="2">
      <c r="B2" s="1" t="inlineStr">
        <is>
          <t>ОТЧЁТ ПО НЕЗАВИСИМОЙ ПРОВЕРКЕ</t>
        </is>
      </c>
    </row>
    <row r="3"/>
    <row r="4">
      <c r="B4" s="2" t="inlineStr">
        <is>
          <t>Контур автоматизации автопарка бензовозов и распределения топлива</t>
        </is>
      </c>
    </row>
    <row r="5">
      <c r="B5" s="3" t="inlineStr">
        <is>
          <t>BEMOL — сеть АЗС и автопарк бензовозов</t>
        </is>
      </c>
    </row>
    <row r="8" ht="26" customHeight="1">
      <c r="B8" s="4" t="inlineStr">
        <is>
          <t>СГЕНЕРИРОВАННЫЙ НАБОР ДЛЯ ПРОВЕРКИ МЕТОДИКИ</t>
        </is>
      </c>
    </row>
    <row r="10" ht="26" customHeight="1">
      <c r="B10" s="5" t="inlineStr">
        <is>
          <t>Предмет проверки</t>
        </is>
      </c>
      <c r="C10" s="6" t="inlineStr">
        <is>
          <t>Расчёт заработной платы водителей, планирование и исполнение поставок топлива</t>
        </is>
      </c>
      <c r="D10" s="7" t="inlineStr"/>
    </row>
    <row r="11" ht="18" customHeight="1">
      <c r="B11" s="5" t="inlineStr">
        <is>
          <t>Проверяемый период</t>
        </is>
      </c>
      <c r="C11" s="6" t="inlineStr">
        <is>
          <t>2025-09-01 — 2026-09-30</t>
        </is>
      </c>
      <c r="D11" s="7" t="inlineStr"/>
    </row>
    <row r="12" ht="26" customHeight="1">
      <c r="B12" s="5" t="inlineStr">
        <is>
          <t>Основание</t>
        </is>
      </c>
      <c r="C12" s="6" t="inlineStr">
        <is>
          <t>ТЗ заказчика от 18.09.2026 (два документа): распределение топлива и расходы автопарка</t>
        </is>
      </c>
      <c r="D12" s="7" t="inlineStr"/>
    </row>
    <row r="13" ht="39" customHeight="1">
      <c r="B13" s="5" t="inlineStr">
        <is>
          <t>Методика</t>
        </is>
      </c>
      <c r="C13" s="6" t="inlineStr">
        <is>
          <t>Методика внутреннего аудита информационных систем: тестирование дизайна и операционной эффективности контролей, тесты по существу на полной популяции (формат отчёта Big-4)</t>
        </is>
      </c>
      <c r="D13" s="7" t="inlineStr"/>
    </row>
    <row r="14" ht="18" customHeight="1">
      <c r="B14" s="5" t="inlineStr">
        <is>
          <t>Исполнитель</t>
        </is>
      </c>
      <c r="C14" s="6" t="inlineStr">
        <is>
          <t>Группа сопровождения контура «Автопарк»</t>
        </is>
      </c>
      <c r="D14" s="7" t="inlineStr"/>
    </row>
    <row r="15" ht="18" customHeight="1">
      <c r="B15" s="5" t="inlineStr">
        <is>
          <t>Дата отчёта</t>
        </is>
      </c>
      <c r="C15" s="6" t="inlineStr">
        <is>
          <t>2026-09-19</t>
        </is>
      </c>
      <c r="D15" s="7" t="inlineStr"/>
    </row>
    <row r="16" ht="26" customHeight="1">
      <c r="B16" s="5" t="inlineStr">
        <is>
          <t>Объём популяции</t>
        </is>
      </c>
      <c r="C16" s="6" t="inlineStr">
        <is>
          <t>3534 рейсов, 10576 позиций груза, 77 резервуаров, 14 бензовозов, 22 водителей</t>
        </is>
      </c>
      <c r="D16" s="7" t="inlineStr"/>
    </row>
    <row r="17" ht="18" customHeight="1">
      <c r="B17" s="5" t="inlineStr">
        <is>
          <t>Выполнено проверок</t>
        </is>
      </c>
      <c r="C17" s="6" t="inlineStr">
        <is>
          <t>56616 объектов по 13 процедурам</t>
        </is>
      </c>
      <c r="D17" s="7" t="inlineStr"/>
    </row>
    <row r="19" ht="28" customHeight="1">
      <c r="B19" s="8" t="inlineStr">
        <is>
          <t>ЗАКЛЮЧЕНИЕ</t>
        </is>
      </c>
    </row>
    <row r="20" ht="34" customHeight="1">
      <c r="B20" s="9" t="inlineStr">
        <is>
          <t>Контрольная среда неэффективна</t>
        </is>
      </c>
    </row>
    <row r="21" ht="42" customHeight="1">
      <c r="B21" s="10" t="inlineStr">
        <is>
          <t>Выявлены отклонения высокой значимости: числа, которые контур выдаёт бухгалтерии и руководству, не могут использоваться без ручной перепроверки до устранения находок.</t>
        </is>
      </c>
    </row>
    <row r="24">
      <c r="A24" s="11" t="inlineStr">
        <is>
          <t>Ограничения проверки</t>
        </is>
      </c>
    </row>
    <row r="25" ht="36" customHeight="1">
      <c r="A25" s="12" t="inlineStr">
        <is>
          <t>1. Аудит проверяет внутреннюю непротиворечивость системы и соответствие её собственным правилам. Он не подтверждает достоверность исходных данных: что бензовоз физически проехал маршрут, а в резервуар фактически поступили литры.</t>
        </is>
      </c>
    </row>
    <row r="26" ht="24" customHeight="1">
      <c r="A26" s="12" t="inlineStr">
        <is>
          <t>2. Фактический пробег и расход топлива принимаются в том виде, в каком их передаёт GPS-прослойка; независимая сверка с показаниями провайдера в объём работы не входила.</t>
        </is>
      </c>
    </row>
    <row r="27" ht="24" customHeight="1">
      <c r="A27" s="12" t="inlineStr">
        <is>
          <t>3. Остатки в резервуарах приняты по данным контура. Сверка с Petrol Expert и инвентаризацией не проводилась — интеграция не подключена.</t>
        </is>
      </c>
    </row>
    <row r="28" ht="24" customHeight="1">
      <c r="A28" s="12" t="inlineStr">
        <is>
          <t>4. Заключение относится к периоду и набору данных, указанным на титульном листе, и не распространяется на последующие изменения конфигурации.</t>
        </is>
      </c>
    </row>
  </sheetData>
  <mergeCells count="12">
    <mergeCell ref="B2:D3"/>
    <mergeCell ref="B19:D19"/>
    <mergeCell ref="B5:D5"/>
    <mergeCell ref="A27:D27"/>
    <mergeCell ref="B8:D8"/>
    <mergeCell ref="A26:D26"/>
    <mergeCell ref="B4:D4"/>
    <mergeCell ref="A25:D25"/>
    <mergeCell ref="B21:D21"/>
    <mergeCell ref="A24:D24"/>
    <mergeCell ref="A28:D28"/>
    <mergeCell ref="B20:D20"/>
  </mergeCells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M47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 ht="34" customHeight="1">
      <c r="A2" s="13" t="inlineStr">
        <is>
          <t>Резюме для руководства</t>
        </is>
      </c>
    </row>
    <row r="3" ht="20" customHeight="1">
      <c r="A3" s="14" t="inlineStr">
        <is>
          <t>Счётчики ниже — формулы по листам «Находки» и «Контроли»: правка реестра меняет резюме сама.</t>
        </is>
      </c>
    </row>
    <row r="5" ht="18" customHeight="1">
      <c r="A5" s="15" t="inlineStr">
        <is>
          <t>НАХОДОК: ВЫСОКОЙ</t>
        </is>
      </c>
      <c r="B5" s="7" t="n"/>
      <c r="C5" s="7" t="n"/>
      <c r="D5" s="15" t="inlineStr">
        <is>
          <t>НАХОДОК: СРЕДНЕЙ</t>
        </is>
      </c>
      <c r="E5" s="7" t="n"/>
      <c r="F5" s="7" t="n"/>
      <c r="G5" s="15" t="inlineStr">
        <is>
          <t>НАХОДОК: НИЗКОЙ</t>
        </is>
      </c>
      <c r="H5" s="7" t="n"/>
      <c r="I5" s="7" t="n"/>
      <c r="J5" s="15" t="inlineStr">
        <is>
          <t>КОНТРОЛЕЙ ЭФФЕКТИВНЫ</t>
        </is>
      </c>
      <c r="K5" s="7" t="n"/>
      <c r="L5" s="7" t="n"/>
    </row>
    <row r="6" ht="30" customHeight="1">
      <c r="A6" s="16">
        <f>COUNTIF(Находки!$B:$B,"Высокий")</f>
        <v/>
      </c>
      <c r="B6" s="7" t="n"/>
      <c r="C6" s="7" t="n"/>
      <c r="D6" s="17">
        <f>COUNTIF(Находки!$B:$B,"Средний")</f>
        <v/>
      </c>
      <c r="E6" s="7" t="n"/>
      <c r="F6" s="7" t="n"/>
      <c r="G6" s="18">
        <f>COUNTIF(Находки!$B:$B,"Низкий")</f>
        <v/>
      </c>
      <c r="H6" s="7" t="n"/>
      <c r="I6" s="7" t="n"/>
      <c r="J6" s="19">
        <f>COUNTIF(Контроли!$H:$H,"Эффективен")</f>
        <v/>
      </c>
      <c r="K6" s="7" t="n"/>
      <c r="L6" s="7" t="n"/>
    </row>
    <row r="7" ht="16" customHeight="1">
      <c r="A7" s="20" t="inlineStr">
        <is>
          <t>требуют устранения до эксплуатации</t>
        </is>
      </c>
      <c r="B7" s="7" t="n"/>
      <c r="C7" s="7" t="n"/>
      <c r="D7" s="20" t="inlineStr">
        <is>
          <t>устранить в согласованный срок</t>
        </is>
      </c>
      <c r="E7" s="7" t="n"/>
      <c r="F7" s="7" t="n"/>
      <c r="G7" s="20" t="inlineStr">
        <is>
          <t>принять к сведению</t>
        </is>
      </c>
      <c r="H7" s="7" t="n"/>
      <c r="I7" s="7" t="n"/>
      <c r="J7" s="20" t="inlineStr">
        <is>
          <t>из 13 контролей контура</t>
        </is>
      </c>
      <c r="K7" s="7" t="n"/>
      <c r="L7" s="7" t="n"/>
    </row>
    <row r="9" ht="18" customHeight="1">
      <c r="A9" s="15" t="inlineStr">
        <is>
          <t>ПРОВЕРЕНО ОБЪЕКТОВ</t>
        </is>
      </c>
      <c r="B9" s="7" t="n"/>
      <c r="C9" s="7" t="n"/>
      <c r="D9" s="15" t="inlineStr">
        <is>
          <t>ВЫЯВЛЕНО ОТКЛОНЕНИЙ</t>
        </is>
      </c>
      <c r="E9" s="7" t="n"/>
      <c r="F9" s="7" t="n"/>
      <c r="G9" s="15" t="inlineStr">
        <is>
          <t>ДОЛЯ ОТКЛОНЕНИЙ</t>
        </is>
      </c>
      <c r="H9" s="7" t="n"/>
      <c r="I9" s="7" t="n"/>
      <c r="J9" s="15" t="inlineStr">
        <is>
          <t>ДЕНЕЖНАЯ ОЦЕНКА</t>
        </is>
      </c>
      <c r="K9" s="7" t="n"/>
      <c r="L9" s="7" t="n"/>
    </row>
    <row r="10" ht="30" customHeight="1">
      <c r="A10" s="19" t="n">
        <v>56616</v>
      </c>
      <c r="B10" s="7" t="n"/>
      <c r="C10" s="7" t="n"/>
      <c r="D10" s="21" t="n">
        <v>616</v>
      </c>
      <c r="E10" s="7" t="n"/>
      <c r="F10" s="7" t="n"/>
      <c r="G10" s="22" t="n">
        <v>0.0109</v>
      </c>
      <c r="H10" s="7" t="n"/>
      <c r="I10" s="7" t="n"/>
      <c r="J10" s="23" t="n">
        <v>1219811.15</v>
      </c>
      <c r="K10" s="7" t="n"/>
      <c r="L10" s="7" t="n"/>
    </row>
    <row r="11" ht="16" customHeight="1">
      <c r="A11" s="20" t="inlineStr">
        <is>
          <t>полная популяция, не выборка</t>
        </is>
      </c>
      <c r="B11" s="7" t="n"/>
      <c r="C11" s="7" t="n"/>
      <c r="D11" s="20" t="inlineStr">
        <is>
          <t>каждое расшифровано на листе «Отклонения»</t>
        </is>
      </c>
      <c r="E11" s="7" t="n"/>
      <c r="F11" s="7" t="n"/>
      <c r="G11" s="20" t="inlineStr">
        <is>
          <t>отклонений к проверенным объектам</t>
        </is>
      </c>
      <c r="H11" s="7" t="n"/>
      <c r="I11" s="7" t="n"/>
      <c r="J11" s="20" t="inlineStr">
        <is>
          <t>лей: лишний пробег, перерасход, потери</t>
        </is>
      </c>
      <c r="K11" s="7" t="n"/>
      <c r="L11" s="7" t="n"/>
    </row>
    <row r="14">
      <c r="B14" s="24" t="inlineStr">
        <is>
          <t>Значимость</t>
        </is>
      </c>
      <c r="C14" s="24" t="inlineStr">
        <is>
          <t>Находок</t>
        </is>
      </c>
      <c r="E14" s="24" t="inlineStr">
        <is>
          <t>Оценка</t>
        </is>
      </c>
      <c r="F14" s="24" t="inlineStr">
        <is>
          <t>Контролей</t>
        </is>
      </c>
    </row>
    <row r="15">
      <c r="B15" s="25" t="inlineStr">
        <is>
          <t>Высокий</t>
        </is>
      </c>
      <c r="C15" s="25">
        <f>COUNTIF(Находки!$B:$B,"Высокий")</f>
        <v/>
      </c>
      <c r="E15" s="25" t="inlineStr">
        <is>
          <t>Эффективен</t>
        </is>
      </c>
      <c r="F15" s="25">
        <f>COUNTIF(Контроли!$H:$H,"Эффективен")</f>
        <v/>
      </c>
    </row>
    <row r="16">
      <c r="B16" s="25" t="inlineStr">
        <is>
          <t>Средний</t>
        </is>
      </c>
      <c r="C16" s="25">
        <f>COUNTIF(Находки!$B:$B,"Средний")</f>
        <v/>
      </c>
      <c r="E16" s="25" t="inlineStr">
        <is>
          <t>Требует улучшения</t>
        </is>
      </c>
      <c r="F16" s="25">
        <f>COUNTIF(Контроли!$H:$H,"Требует улучшения")</f>
        <v/>
      </c>
    </row>
    <row r="17">
      <c r="B17" s="25" t="inlineStr">
        <is>
          <t>Низкий</t>
        </is>
      </c>
      <c r="C17" s="25">
        <f>COUNTIF(Находки!$B:$B,"Низкий")</f>
        <v/>
      </c>
      <c r="E17" s="25" t="inlineStr">
        <is>
          <t>Неэффективен</t>
        </is>
      </c>
      <c r="F17" s="25">
        <f>COUNTIF(Контроли!$H:$H,"Неэффективен")</f>
        <v/>
      </c>
    </row>
    <row r="18">
      <c r="E18" s="25" t="inlineStr">
        <is>
          <t>Не тестировался</t>
        </is>
      </c>
      <c r="F18" s="25">
        <f>COUNTIF(Контроли!$H:$H,"Не тестировался")</f>
        <v/>
      </c>
    </row>
    <row r="37">
      <c r="A37" s="11" t="inlineStr">
        <is>
          <t>Как читать заключение</t>
        </is>
      </c>
    </row>
    <row r="38" ht="24" customHeight="1">
      <c r="A38" s="12" t="inlineStr">
        <is>
          <t>•  «Контрольная среда неэффективна» — Выявлены отклонения высокой значимости: числа, которые контур выдаёт бухгалтерии и руководству, не могут использоваться без ручной перепроверки до устранения находок.</t>
        </is>
      </c>
    </row>
    <row r="39" ht="24" customHeight="1">
      <c r="A39" s="12" t="inlineStr">
        <is>
          <t>•  Значимость находки не назначается экспертно: она выводится из доли отклонений и денежной оценки по шкале на листе «Методика».</t>
        </is>
      </c>
    </row>
    <row r="40" ht="24" customHeight="1">
      <c r="A40" s="12" t="inlineStr">
        <is>
          <t>•  Контроль с дефектом дизайна не получает оценку выше «требует улучшения», даже если отклонений в периоде не найдено: контроль, который легко обойти, не доказан отсутствием попыток обхода.</t>
        </is>
      </c>
    </row>
    <row r="41" ht="24" customHeight="1">
      <c r="A41" s="12" t="inlineStr">
        <is>
          <t>•  Оценка «не тестировался» означает, что в данных нет реквизита для проверки. Это не «всё хорошо» — это отсутствие доказательства.</t>
        </is>
      </c>
    </row>
    <row r="43">
      <c r="A43" s="11" t="inlineStr">
        <is>
          <t>Предмет проверки</t>
        </is>
      </c>
    </row>
    <row r="44" ht="24" customHeight="1">
      <c r="A44" s="12" t="inlineStr">
        <is>
          <t>1. Расчёт заработной платы водителей бензовозов по нормативному пробегу (ТЗ «Автоматизация расчёта расходов автопарка» от 18.09.2026).</t>
        </is>
      </c>
    </row>
    <row r="45" ht="24" customHeight="1">
      <c r="A45" s="12" t="inlineStr">
        <is>
          <t>2. Планирование потребности АЗС в топливе, формирование и исполнение рейсов (ТЗ «Автоматизация распределения топлива» от 18.09.2026).</t>
        </is>
      </c>
    </row>
    <row r="46" ht="14" customHeight="1">
      <c r="A46" s="12" t="inlineStr">
        <is>
          <t>3. Контроль фактического пробега и расхода дизельного топлива бензовозами.</t>
        </is>
      </c>
    </row>
    <row r="47" ht="24" customHeight="1">
      <c r="A47" s="12" t="inlineStr">
        <is>
          <t>4. Настройки контура, действующие по периодам: ставка за километр, лимиты резервуаров, состав отсеков и групп АЗС.</t>
        </is>
      </c>
    </row>
  </sheetData>
  <mergeCells count="36">
    <mergeCell ref="J6:L6"/>
    <mergeCell ref="D11:F11"/>
    <mergeCell ref="G10:I10"/>
    <mergeCell ref="G6:I6"/>
    <mergeCell ref="D7:F7"/>
    <mergeCell ref="A43:M43"/>
    <mergeCell ref="A38:M38"/>
    <mergeCell ref="J11:L11"/>
    <mergeCell ref="J7:L7"/>
    <mergeCell ref="A44:M44"/>
    <mergeCell ref="A5:C5"/>
    <mergeCell ref="G5:I5"/>
    <mergeCell ref="A40:M40"/>
    <mergeCell ref="D9:F9"/>
    <mergeCell ref="A39:M39"/>
    <mergeCell ref="A10:C10"/>
    <mergeCell ref="A45:M45"/>
    <mergeCell ref="D5:F5"/>
    <mergeCell ref="A9:C9"/>
    <mergeCell ref="G9:I9"/>
    <mergeCell ref="A41:M41"/>
    <mergeCell ref="D10:F10"/>
    <mergeCell ref="G11:I11"/>
    <mergeCell ref="J5:L5"/>
    <mergeCell ref="A46:M46"/>
    <mergeCell ref="A11:C11"/>
    <mergeCell ref="J10:L10"/>
    <mergeCell ref="A37:M37"/>
    <mergeCell ref="A6:C6"/>
    <mergeCell ref="D6:F6"/>
    <mergeCell ref="A3:M3"/>
    <mergeCell ref="J9:L9"/>
    <mergeCell ref="A7:C7"/>
    <mergeCell ref="G7:I7"/>
    <mergeCell ref="A2:M2"/>
    <mergeCell ref="A47:M47"/>
  </mergeCells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O60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5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 ht="34" customHeight="1">
      <c r="A2" s="13" t="inlineStr">
        <is>
          <t>BI-панель контура</t>
        </is>
      </c>
    </row>
    <row r="3" ht="20" customHeight="1">
      <c r="A3" s="14" t="inlineStr">
        <is>
          <t>Измените значение в жёлтой ячейке — показатели и диаграммы пересчитаются в Excel без выгрузки заново.</t>
        </is>
      </c>
    </row>
    <row r="6">
      <c r="B6" s="26" t="inlineStr">
        <is>
          <t>Месяц</t>
        </is>
      </c>
      <c r="C6" s="27" t="inlineStr">
        <is>
          <t>Все</t>
        </is>
      </c>
      <c r="E6" s="26" t="inlineStr">
        <is>
          <t>Регион</t>
        </is>
      </c>
      <c r="F6" s="27" t="inlineStr">
        <is>
          <t>Все</t>
        </is>
      </c>
      <c r="H6" s="26" t="inlineStr">
        <is>
          <t>Продукт</t>
        </is>
      </c>
      <c r="I6" s="27" t="inlineStr">
        <is>
          <t>Все</t>
        </is>
      </c>
      <c r="K6" s="26" t="inlineStr">
        <is>
          <t>Тип рейса</t>
        </is>
      </c>
      <c r="L6" s="27" t="inlineStr">
        <is>
          <t>Все</t>
        </is>
      </c>
    </row>
    <row r="9">
      <c r="B9" s="28" t="inlineStr">
        <is>
          <t>Поставки — срез по месяцу, региону и продукту</t>
        </is>
      </c>
    </row>
    <row r="10" ht="18" customHeight="1">
      <c r="B10" s="15" t="inlineStr">
        <is>
          <t>ПРИНЯТО НА АЗС, Л</t>
        </is>
      </c>
      <c r="C10" s="7" t="n"/>
      <c r="D10" s="7" t="n"/>
      <c r="E10" s="15" t="inlineStr">
        <is>
          <t>ПОЗИЦИЙ ГРУЗА</t>
        </is>
      </c>
      <c r="F10" s="7" t="n"/>
      <c r="G10" s="7" t="n"/>
      <c r="H10" s="15" t="inlineStr">
        <is>
          <t>ПОТЕРИ ПРИ ПРИЁМКЕ, Л</t>
        </is>
      </c>
      <c r="I10" s="7" t="n"/>
      <c r="J10" s="7" t="n"/>
      <c r="K10" s="15" t="inlineStr">
        <is>
          <t>ОЦЕНКА ПОТЕРЬ, ЛЕЙ</t>
        </is>
      </c>
      <c r="L10" s="7" t="n"/>
      <c r="M10" s="7" t="n"/>
    </row>
    <row r="11" ht="30" customHeight="1">
      <c r="B11" s="19">
        <f>SUMPRODUCT(Куб!$H$2:$H$274,Куб!$D$2:$D$274)</f>
        <v/>
      </c>
      <c r="C11" s="7" t="n"/>
      <c r="D11" s="7" t="n"/>
      <c r="E11" s="19">
        <f>SUMPRODUCT(Куб!$H$2:$H$274,Куб!$E$2:$E$274)</f>
        <v/>
      </c>
      <c r="F11" s="7" t="n"/>
      <c r="G11" s="7" t="n"/>
      <c r="H11" s="21">
        <f>SUMPRODUCT(Куб!$H$2:$H$274,Куб!$F$2:$F$274)</f>
        <v/>
      </c>
      <c r="I11" s="7" t="n"/>
      <c r="J11" s="7" t="n"/>
      <c r="K11" s="23">
        <f>SUMPRODUCT(Куб!$H$2:$H$274,Куб!$G$2:$G$274)</f>
        <v/>
      </c>
      <c r="L11" s="7" t="n"/>
      <c r="M11" s="7" t="n"/>
    </row>
    <row r="12" ht="16" customHeight="1">
      <c r="B12" s="20" t="inlineStr">
        <is>
          <t>по выбранному срезу</t>
        </is>
      </c>
      <c r="C12" s="7" t="n"/>
      <c r="D12" s="7" t="n"/>
      <c r="E12" s="20" t="inlineStr">
        <is>
          <t>отсеков слито</t>
        </is>
      </c>
      <c r="F12" s="7" t="n"/>
      <c r="G12" s="7" t="n"/>
      <c r="H12" s="20" t="inlineStr">
        <is>
          <t>загружено минус принято</t>
        </is>
      </c>
      <c r="I12" s="7" t="n"/>
      <c r="J12" s="7" t="n"/>
      <c r="K12" s="20" t="inlineStr">
        <is>
          <t>по цене продукта</t>
        </is>
      </c>
      <c r="L12" s="7" t="n"/>
      <c r="M12" s="7" t="n"/>
    </row>
    <row r="14">
      <c r="B14" s="28" t="inlineStr">
        <is>
          <t>Рейсы и оплата — срез по месяцу и типу рейса</t>
        </is>
      </c>
    </row>
    <row r="15" ht="18" customHeight="1">
      <c r="B15" s="15" t="inlineStr">
        <is>
          <t>РЕЙСОВ</t>
        </is>
      </c>
      <c r="C15" s="7" t="n"/>
      <c r="D15" s="7" t="n"/>
      <c r="E15" s="15" t="inlineStr">
        <is>
          <t>НОРМАТИВНЫЙ ПРОБЕГ, КМ</t>
        </is>
      </c>
      <c r="F15" s="7" t="n"/>
      <c r="G15" s="7" t="n"/>
      <c r="H15" s="15" t="inlineStr">
        <is>
          <t>ЛИШНИЙ ПРОБЕГ, КМ</t>
        </is>
      </c>
      <c r="I15" s="7" t="n"/>
      <c r="J15" s="7" t="n"/>
      <c r="K15" s="15" t="inlineStr">
        <is>
          <t>НАЧИСЛЕНО, ЛЕЙ</t>
        </is>
      </c>
      <c r="L15" s="7" t="n"/>
      <c r="M15" s="7" t="n"/>
    </row>
    <row r="16" ht="30" customHeight="1">
      <c r="B16" s="19">
        <f>SUMPRODUCT(КубРейсы!$J$2:$J$27,КубРейсы!$C$2:$C$27)</f>
        <v/>
      </c>
      <c r="C16" s="7" t="n"/>
      <c r="D16" s="7" t="n"/>
      <c r="E16" s="19">
        <f>SUMPRODUCT(КубРейсы!$J$2:$J$27,КубРейсы!$D$2:$D$27)</f>
        <v/>
      </c>
      <c r="F16" s="7" t="n"/>
      <c r="G16" s="7" t="n"/>
      <c r="H16" s="21">
        <f>SUMPRODUCT(КубРейсы!$J$2:$J$27,КубРейсы!$F$2:$F$27)</f>
        <v/>
      </c>
      <c r="I16" s="7" t="n"/>
      <c r="J16" s="7" t="n"/>
      <c r="K16" s="29">
        <f>SUMPRODUCT(КубРейсы!$J$2:$J$27,КубРейсы!$G$2:$G$27)</f>
        <v/>
      </c>
      <c r="L16" s="7" t="n"/>
      <c r="M16" s="7" t="n"/>
    </row>
    <row r="17" ht="16" customHeight="1">
      <c r="B17" s="20" t="inlineStr">
        <is>
          <t>без черновиков</t>
        </is>
      </c>
      <c r="C17" s="7" t="n"/>
      <c r="D17" s="7" t="n"/>
      <c r="E17" s="20" t="inlineStr">
        <is>
          <t>основание для оплаты</t>
        </is>
      </c>
      <c r="F17" s="7" t="n"/>
      <c r="G17" s="7" t="n"/>
      <c r="H17" s="20" t="inlineStr">
        <is>
          <t>факт сверх норматива</t>
        </is>
      </c>
      <c r="I17" s="7" t="n"/>
      <c r="J17" s="7" t="n"/>
      <c r="K17" s="20" t="inlineStr">
        <is>
          <t>зарплата водителей по срезу</t>
        </is>
      </c>
      <c r="L17" s="7" t="n"/>
      <c r="M17" s="7" t="n"/>
    </row>
    <row r="19">
      <c r="B19" s="30" t="inlineStr">
        <is>
          <t>Данные диаграмм — пересчитываются вместе со срезом</t>
        </is>
      </c>
    </row>
    <row r="20">
      <c r="B20" s="24" t="inlineStr">
        <is>
          <t>Продукт</t>
        </is>
      </c>
      <c r="C20" s="24" t="inlineStr">
        <is>
          <t>Принято, л</t>
        </is>
      </c>
    </row>
    <row r="21">
      <c r="B21" s="25" t="inlineStr">
        <is>
          <t>A92</t>
        </is>
      </c>
      <c r="C21" s="31">
        <f>SUMPRODUCT((Куб!$C$2:$C$274=$B21)*Куб!$H$2:$H$274*Куб!$D$2:$D$274)</f>
        <v/>
      </c>
    </row>
    <row r="22">
      <c r="B22" s="25" t="inlineStr">
        <is>
          <t>A95</t>
        </is>
      </c>
      <c r="C22" s="31">
        <f>SUMPRODUCT((Куб!$C$2:$C$274=$B22)*Куб!$H$2:$H$274*Куб!$D$2:$D$274)</f>
        <v/>
      </c>
    </row>
    <row r="23">
      <c r="B23" s="25" t="inlineStr">
        <is>
          <t>DIESEL</t>
        </is>
      </c>
      <c r="C23" s="31">
        <f>SUMPRODUCT((Куб!$C$2:$C$274=$B23)*Куб!$H$2:$H$274*Куб!$D$2:$D$274)</f>
        <v/>
      </c>
    </row>
    <row r="24">
      <c r="B24" s="25" t="inlineStr">
        <is>
          <t>GPL</t>
        </is>
      </c>
      <c r="C24" s="31">
        <f>SUMPRODUCT((Куб!$C$2:$C$274=$B24)*Куб!$H$2:$H$274*Куб!$D$2:$D$274)</f>
        <v/>
      </c>
    </row>
    <row r="26">
      <c r="B26" s="24" t="inlineStr">
        <is>
          <t>Месяц</t>
        </is>
      </c>
      <c r="C26" s="24" t="inlineStr">
        <is>
          <t>Принято, л</t>
        </is>
      </c>
      <c r="D26" s="24" t="inlineStr">
        <is>
          <t>Начислено, лей</t>
        </is>
      </c>
    </row>
    <row r="27">
      <c r="B27" s="25" t="inlineStr">
        <is>
          <t>сентябрь 2025</t>
        </is>
      </c>
      <c r="C27" s="31">
        <f>SUMPRODUCT((Куб!$A$2:$A$274="2025-09")*Куб!$I$2:$I$274*Куб!$D$2:$D$274)</f>
        <v/>
      </c>
      <c r="D27" s="31">
        <f>SUMPRODUCT((КубРейсы!$A$2:$A$27="2025-09")*КубРейсы!$K$2:$K$27*КубРейсы!$G$2:$G$27)</f>
        <v/>
      </c>
    </row>
    <row r="28">
      <c r="B28" s="25" t="inlineStr">
        <is>
          <t>октябрь 2025</t>
        </is>
      </c>
      <c r="C28" s="31">
        <f>SUMPRODUCT((Куб!$A$2:$A$274="2025-10")*Куб!$I$2:$I$274*Куб!$D$2:$D$274)</f>
        <v/>
      </c>
      <c r="D28" s="31">
        <f>SUMPRODUCT((КубРейсы!$A$2:$A$27="2025-10")*КубРейсы!$K$2:$K$27*КубРейсы!$G$2:$G$27)</f>
        <v/>
      </c>
    </row>
    <row r="29">
      <c r="B29" s="25" t="inlineStr">
        <is>
          <t>ноябрь 2025</t>
        </is>
      </c>
      <c r="C29" s="31">
        <f>SUMPRODUCT((Куб!$A$2:$A$274="2025-11")*Куб!$I$2:$I$274*Куб!$D$2:$D$274)</f>
        <v/>
      </c>
      <c r="D29" s="31">
        <f>SUMPRODUCT((КубРейсы!$A$2:$A$27="2025-11")*КубРейсы!$K$2:$K$27*КубРейсы!$G$2:$G$27)</f>
        <v/>
      </c>
    </row>
    <row r="30">
      <c r="B30" s="25" t="inlineStr">
        <is>
          <t>декабрь 2025</t>
        </is>
      </c>
      <c r="C30" s="31">
        <f>SUMPRODUCT((Куб!$A$2:$A$274="2025-12")*Куб!$I$2:$I$274*Куб!$D$2:$D$274)</f>
        <v/>
      </c>
      <c r="D30" s="31">
        <f>SUMPRODUCT((КубРейсы!$A$2:$A$27="2025-12")*КубРейсы!$K$2:$K$27*КубРейсы!$G$2:$G$27)</f>
        <v/>
      </c>
    </row>
    <row r="31">
      <c r="B31" s="25" t="inlineStr">
        <is>
          <t>январь 2026</t>
        </is>
      </c>
      <c r="C31" s="31">
        <f>SUMPRODUCT((Куб!$A$2:$A$274="2026-01")*Куб!$I$2:$I$274*Куб!$D$2:$D$274)</f>
        <v/>
      </c>
      <c r="D31" s="31">
        <f>SUMPRODUCT((КубРейсы!$A$2:$A$27="2026-01")*КубРейсы!$K$2:$K$27*КубРейсы!$G$2:$G$27)</f>
        <v/>
      </c>
    </row>
    <row r="32">
      <c r="B32" s="25" t="inlineStr">
        <is>
          <t>февраль 2026</t>
        </is>
      </c>
      <c r="C32" s="31">
        <f>SUMPRODUCT((Куб!$A$2:$A$274="2026-02")*Куб!$I$2:$I$274*Куб!$D$2:$D$274)</f>
        <v/>
      </c>
      <c r="D32" s="31">
        <f>SUMPRODUCT((КубРейсы!$A$2:$A$27="2026-02")*КубРейсы!$K$2:$K$27*КубРейсы!$G$2:$G$27)</f>
        <v/>
      </c>
    </row>
    <row r="33">
      <c r="B33" s="25" t="inlineStr">
        <is>
          <t>март 2026</t>
        </is>
      </c>
      <c r="C33" s="31">
        <f>SUMPRODUCT((Куб!$A$2:$A$274="2026-03")*Куб!$I$2:$I$274*Куб!$D$2:$D$274)</f>
        <v/>
      </c>
      <c r="D33" s="31">
        <f>SUMPRODUCT((КубРейсы!$A$2:$A$27="2026-03")*КубРейсы!$K$2:$K$27*КубРейсы!$G$2:$G$27)</f>
        <v/>
      </c>
    </row>
    <row r="34">
      <c r="B34" s="25" t="inlineStr">
        <is>
          <t>апрель 2026</t>
        </is>
      </c>
      <c r="C34" s="31">
        <f>SUMPRODUCT((Куб!$A$2:$A$274="2026-04")*Куб!$I$2:$I$274*Куб!$D$2:$D$274)</f>
        <v/>
      </c>
      <c r="D34" s="31">
        <f>SUMPRODUCT((КубРейсы!$A$2:$A$27="2026-04")*КубРейсы!$K$2:$K$27*КубРейсы!$G$2:$G$27)</f>
        <v/>
      </c>
    </row>
    <row r="35">
      <c r="B35" s="25" t="inlineStr">
        <is>
          <t>май 2026</t>
        </is>
      </c>
      <c r="C35" s="31">
        <f>SUMPRODUCT((Куб!$A$2:$A$274="2026-05")*Куб!$I$2:$I$274*Куб!$D$2:$D$274)</f>
        <v/>
      </c>
      <c r="D35" s="31">
        <f>SUMPRODUCT((КубРейсы!$A$2:$A$27="2026-05")*КубРейсы!$K$2:$K$27*КубРейсы!$G$2:$G$27)</f>
        <v/>
      </c>
    </row>
    <row r="36">
      <c r="B36" s="25" t="inlineStr">
        <is>
          <t>июнь 2026</t>
        </is>
      </c>
      <c r="C36" s="31">
        <f>SUMPRODUCT((Куб!$A$2:$A$274="2026-06")*Куб!$I$2:$I$274*Куб!$D$2:$D$274)</f>
        <v/>
      </c>
      <c r="D36" s="31">
        <f>SUMPRODUCT((КубРейсы!$A$2:$A$27="2026-06")*КубРейсы!$K$2:$K$27*КубРейсы!$G$2:$G$27)</f>
        <v/>
      </c>
    </row>
    <row r="37">
      <c r="B37" s="25" t="inlineStr">
        <is>
          <t>июль 2026</t>
        </is>
      </c>
      <c r="C37" s="31">
        <f>SUMPRODUCT((Куб!$A$2:$A$274="2026-07")*Куб!$I$2:$I$274*Куб!$D$2:$D$274)</f>
        <v/>
      </c>
      <c r="D37" s="31">
        <f>SUMPRODUCT((КубРейсы!$A$2:$A$27="2026-07")*КубРейсы!$K$2:$K$27*КубРейсы!$G$2:$G$27)</f>
        <v/>
      </c>
    </row>
    <row r="38">
      <c r="B38" s="25" t="inlineStr">
        <is>
          <t>август 2026</t>
        </is>
      </c>
      <c r="C38" s="31">
        <f>SUMPRODUCT((Куб!$A$2:$A$274="2026-08")*Куб!$I$2:$I$274*Куб!$D$2:$D$274)</f>
        <v/>
      </c>
      <c r="D38" s="31">
        <f>SUMPRODUCT((КубРейсы!$A$2:$A$27="2026-08")*КубРейсы!$K$2:$K$27*КубРейсы!$G$2:$G$27)</f>
        <v/>
      </c>
    </row>
    <row r="39">
      <c r="B39" s="25" t="inlineStr">
        <is>
          <t>сентябрь 2026</t>
        </is>
      </c>
      <c r="C39" s="31">
        <f>SUMPRODUCT((Куб!$A$2:$A$274="2026-09")*Куб!$I$2:$I$274*Куб!$D$2:$D$274)</f>
        <v/>
      </c>
      <c r="D39" s="31">
        <f>SUMPRODUCT((КубРейсы!$A$2:$A$27="2026-09")*КубРейсы!$K$2:$K$27*КубРейсы!$G$2:$G$27)</f>
        <v/>
      </c>
    </row>
    <row r="41">
      <c r="B41" s="24" t="inlineStr">
        <is>
          <t>Процедура</t>
        </is>
      </c>
      <c r="C41" s="24" t="inlineStr">
        <is>
          <t>Отклонений</t>
        </is>
      </c>
      <c r="D41" s="24" t="inlineStr">
        <is>
          <t>Название</t>
        </is>
      </c>
    </row>
    <row r="42">
      <c r="B42" s="25" t="inlineStr">
        <is>
          <t>T-01</t>
        </is>
      </c>
      <c r="C42" s="31" t="n">
        <v>18</v>
      </c>
      <c r="D42" s="32" t="inlineStr">
        <is>
          <t>Пересчёт заработной платы водителей</t>
        </is>
      </c>
    </row>
    <row r="43">
      <c r="B43" s="25" t="inlineStr">
        <is>
          <t>T-02</t>
        </is>
      </c>
      <c r="C43" s="31" t="n">
        <v>0</v>
      </c>
      <c r="D43" s="32" t="inlineStr">
        <is>
          <t>Целостность периодов действия ставки</t>
        </is>
      </c>
    </row>
    <row r="44">
      <c r="B44" s="25" t="inlineStr">
        <is>
          <t>T-03</t>
        </is>
      </c>
      <c r="C44" s="31" t="n">
        <v>10</v>
      </c>
      <c r="D44" s="32" t="inlineStr">
        <is>
          <t>Слив отсеками целиком</t>
        </is>
      </c>
    </row>
    <row r="45">
      <c r="B45" s="25" t="inlineStr">
        <is>
          <t>T-04</t>
        </is>
      </c>
      <c r="C45" s="31" t="n">
        <v>5</v>
      </c>
      <c r="D45" s="32" t="inlineStr">
        <is>
          <t>Контроль переполнения резервуара</t>
        </is>
      </c>
    </row>
    <row r="46">
      <c r="B46" s="25" t="inlineStr">
        <is>
          <t>T-05</t>
        </is>
      </c>
      <c r="C46" s="31" t="n">
        <v>197</v>
      </c>
      <c r="D46" s="32" t="inlineStr">
        <is>
          <t>Сверка отгрузки и приёмки</t>
        </is>
      </c>
    </row>
    <row r="47">
      <c r="B47" s="25" t="inlineStr">
        <is>
          <t>T-06</t>
        </is>
      </c>
      <c r="C47" s="31" t="n">
        <v>151</v>
      </c>
      <c r="D47" s="32" t="inlineStr">
        <is>
          <t>Необоснованный пробег</t>
        </is>
      </c>
    </row>
    <row r="48">
      <c r="B48" s="25" t="inlineStr">
        <is>
          <t>T-07</t>
        </is>
      </c>
      <c r="C48" s="31" t="n">
        <v>96</v>
      </c>
      <c r="D48" s="32" t="inlineStr">
        <is>
          <t>Перерасход топлива бензовозом</t>
        </is>
      </c>
    </row>
    <row r="49">
      <c r="B49" s="25" t="inlineStr">
        <is>
          <t>T-08</t>
        </is>
      </c>
      <c r="C49" s="31" t="n">
        <v>19</v>
      </c>
      <c r="D49" s="32" t="inlineStr">
        <is>
          <t>Полнота учёта рейса</t>
        </is>
      </c>
    </row>
    <row r="50">
      <c r="B50" s="25" t="inlineStr">
        <is>
          <t>T-09</t>
        </is>
      </c>
      <c r="C50" s="31" t="n">
        <v>35</v>
      </c>
      <c r="D50" s="32" t="inlineStr">
        <is>
          <t>Хронология исполнения рейса</t>
        </is>
      </c>
    </row>
    <row r="51">
      <c r="B51" s="25" t="inlineStr">
        <is>
          <t>T-10</t>
        </is>
      </c>
      <c r="C51" s="31" t="n">
        <v>74</v>
      </c>
      <c r="D51" s="32" t="inlineStr">
        <is>
          <t>Разделение полномочий</t>
        </is>
      </c>
    </row>
    <row r="52">
      <c r="B52" s="25" t="inlineStr">
        <is>
          <t>T-11</t>
        </is>
      </c>
      <c r="C52" s="31" t="n">
        <v>3</v>
      </c>
      <c r="D52" s="32" t="inlineStr">
        <is>
          <t>Дублирование документов</t>
        </is>
      </c>
    </row>
    <row r="53">
      <c r="B53" s="25" t="inlineStr">
        <is>
          <t>T-12</t>
        </is>
      </c>
      <c r="C53" s="31" t="n">
        <v>2</v>
      </c>
      <c r="D53" s="32" t="inlineStr">
        <is>
          <t>Непротиворечивость справочников</t>
        </is>
      </c>
    </row>
    <row r="54">
      <c r="B54" s="25" t="inlineStr">
        <is>
          <t>T-13</t>
        </is>
      </c>
      <c r="C54" s="31" t="n">
        <v>6</v>
      </c>
      <c r="D54" s="32" t="inlineStr">
        <is>
          <t>Покрытие страхового запаса</t>
        </is>
      </c>
    </row>
    <row r="57">
      <c r="A57" s="11" t="inlineStr">
        <is>
          <t>Что считает панель</t>
        </is>
      </c>
    </row>
    <row r="58" ht="24" customHeight="1">
      <c r="A58" s="12" t="inlineStr">
        <is>
          <t>•  Показатели блока «Поставки» подчиняются трём срезам: месяц, регион, продукт. Блок «Рейсы и оплата» — двум: месяц и тип рейса; регион к рейсу не относится, один рейс обслуживает несколько АЗС.</t>
        </is>
      </c>
    </row>
    <row r="59" ht="24" customHeight="1">
      <c r="A59" s="12" t="inlineStr">
        <is>
          <t>•  Диаграммы динамики намеренно не подчиняются срезу по месяцу: иначе на графике осталась бы одна точка. Срезы по региону и продукту они соблюдают.</t>
        </is>
      </c>
    </row>
    <row r="60" ht="24" customHeight="1">
      <c r="A60" s="12" t="inlineStr">
        <is>
          <t>•  Источник всех чисел — листы «Куб» и «КубРейсы»; колонки «В срезе» на них — формулы, читающие жёлтые ячейки этой панели.</t>
        </is>
      </c>
    </row>
  </sheetData>
  <mergeCells count="30">
    <mergeCell ref="B11:D11"/>
    <mergeCell ref="E10:G10"/>
    <mergeCell ref="B17:D17"/>
    <mergeCell ref="K12:M12"/>
    <mergeCell ref="H17:J17"/>
    <mergeCell ref="E15:G15"/>
    <mergeCell ref="H11:J11"/>
    <mergeCell ref="A3:O3"/>
    <mergeCell ref="B10:D10"/>
    <mergeCell ref="H16:J16"/>
    <mergeCell ref="A57:O57"/>
    <mergeCell ref="A2:O2"/>
    <mergeCell ref="E11:G11"/>
    <mergeCell ref="H12:J12"/>
    <mergeCell ref="K17:M17"/>
    <mergeCell ref="B15:D15"/>
    <mergeCell ref="E16:G16"/>
    <mergeCell ref="H15:J15"/>
    <mergeCell ref="K10:M10"/>
    <mergeCell ref="E12:G12"/>
    <mergeCell ref="A58:O58"/>
    <mergeCell ref="K16:M16"/>
    <mergeCell ref="B16:D16"/>
    <mergeCell ref="K15:M15"/>
    <mergeCell ref="A59:O59"/>
    <mergeCell ref="H10:J10"/>
    <mergeCell ref="A60:O60"/>
    <mergeCell ref="E17:G17"/>
    <mergeCell ref="B12:D12"/>
    <mergeCell ref="K11:M11"/>
  </mergeCells>
  <dataValidations count="4">
    <dataValidation sqref="C6" showDropDown="0" showInputMessage="0" showErrorMessage="0" allowBlank="0" promptTitle="Месяц" prompt="Выберите значение — панель пересчитается" type="list">
      <formula1>"Все,сентябрь 2025,октябрь 2025,ноябрь 2025,декабрь 2025,январь 2026,февраль 2026,март 2026,апрель 2026,май 2026,июнь 2026,июль 2026,август 2026,сентябрь 2026"</formula1>
    </dataValidation>
    <dataValidation sqref="F6" showDropDown="0" showInputMessage="0" showErrorMessage="0" allowBlank="0" promptTitle="Регион" prompt="Выберите значение — панель пересчитается" type="list">
      <formula1>"Все,Бэлць,Кагул,Кишинёв,Комрат,Орхей,Унгень"</formula1>
    </dataValidation>
    <dataValidation sqref="I6" showDropDown="0" showInputMessage="0" showErrorMessage="0" allowBlank="0" promptTitle="Продукт" prompt="Выберите значение — панель пересчитается" type="list">
      <formula1>"Все,A92,A95,DIESEL,GPL"</formula1>
    </dataValidation>
    <dataValidation sqref="L6" showDropDown="0" showInputMessage="0" showErrorMessage="0" allowBlank="0" promptTitle="Тип рейса" prompt="Выберите значение — панель пересчитается" type="list">
      <formula1>"Все,DOMESTIC,IMPORT"</formula1>
    </dataValidation>
  </dataValidations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L36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42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12" customWidth="1" min="10" max="10"/>
    <col width="12" customWidth="1" min="11" max="11"/>
    <col width="16" customWidth="1" min="12" max="12"/>
  </cols>
  <sheetData>
    <row r="2" ht="34" customHeight="1">
      <c r="A2" s="13" t="inlineStr">
        <is>
          <t>Матрица контролей</t>
        </is>
      </c>
    </row>
    <row r="3" ht="20" customHeight="1">
      <c r="A3" s="14" t="inlineStr">
        <is>
          <t>Дизайн — предотвращает ли правило ошибку в принципе. Эффективность — сработало ли оно на данных периода.</t>
        </is>
      </c>
    </row>
    <row r="5" ht="30" customHeight="1">
      <c r="A5" s="33" t="inlineStr">
        <is>
          <t>Код</t>
        </is>
      </c>
      <c r="B5" s="33" t="inlineStr">
        <is>
          <t>Область</t>
        </is>
      </c>
      <c r="C5" s="33" t="inlineStr">
        <is>
          <t>Контроль</t>
        </is>
      </c>
      <c r="D5" s="33" t="inlineStr">
        <is>
          <t>Цель контроля</t>
        </is>
      </c>
      <c r="E5" s="33" t="inlineStr">
        <is>
          <t>Тип</t>
        </is>
      </c>
      <c r="F5" s="33" t="inlineStr">
        <is>
          <t>Дизайн</t>
        </is>
      </c>
      <c r="G5" s="33" t="inlineStr">
        <is>
          <t>Эффективность</t>
        </is>
      </c>
      <c r="H5" s="33" t="inlineStr">
        <is>
          <t>Итоговая оценка</t>
        </is>
      </c>
      <c r="I5" s="33" t="inlineStr">
        <is>
          <t>Покрытие</t>
        </is>
      </c>
      <c r="J5" s="33" t="inlineStr">
        <is>
          <t>Проверено</t>
        </is>
      </c>
      <c r="K5" s="33" t="inlineStr">
        <is>
          <t>Отклонений</t>
        </is>
      </c>
      <c r="L5" s="33" t="inlineStr">
        <is>
          <t>Оценка, лей</t>
        </is>
      </c>
    </row>
    <row r="6" ht="46" customHeight="1">
      <c r="A6" s="34" t="inlineStr">
        <is>
          <t>FLT-C-01</t>
        </is>
      </c>
      <c r="B6" s="34" t="inlineStr">
        <is>
          <t>Расчёты с персоналом</t>
        </is>
      </c>
      <c r="C6" s="35" t="inlineStr">
        <is>
          <t>Автоматический расчёт зарплаты по нормативу</t>
        </is>
      </c>
      <c r="D6" s="35" t="inlineStr">
        <is>
          <t>Зарплата водителя рассчитывается системой по нормативному пробегу и не вводится вручную.</t>
        </is>
      </c>
      <c r="E6" s="34" t="inlineStr">
        <is>
          <t>Автоматический</t>
        </is>
      </c>
      <c r="F6" s="36" t="inlineStr">
        <is>
          <t>Эффективен</t>
        </is>
      </c>
      <c r="G6" s="37" t="inlineStr">
        <is>
          <t>Требует улучшения</t>
        </is>
      </c>
      <c r="H6" s="37" t="inlineStr">
        <is>
          <t>Требует улучшения</t>
        </is>
      </c>
      <c r="I6" s="34" t="inlineStr">
        <is>
          <t>100 % популяции</t>
        </is>
      </c>
      <c r="J6" s="38" t="n">
        <v>3515</v>
      </c>
      <c r="K6" s="38" t="n">
        <v>18</v>
      </c>
      <c r="L6" s="39" t="n">
        <v>2622.71</v>
      </c>
    </row>
    <row r="7" ht="46" customHeight="1">
      <c r="A7" s="40" t="inlineStr">
        <is>
          <t>FLT-C-02</t>
        </is>
      </c>
      <c r="B7" s="40" t="inlineStr">
        <is>
          <t>Расчёты с персоналом</t>
        </is>
      </c>
      <c r="C7" s="41" t="inlineStr">
        <is>
          <t>Ставка применяется по дате рейса</t>
        </is>
      </c>
      <c r="D7" s="41" t="inlineStr">
        <is>
          <t>Изменение ставки не переписывает начисления закрытых периодов.</t>
        </is>
      </c>
      <c r="E7" s="40" t="inlineStr">
        <is>
          <t>Автоматический</t>
        </is>
      </c>
      <c r="F7" s="36" t="inlineStr">
        <is>
          <t>Эффективен</t>
        </is>
      </c>
      <c r="G7" s="37" t="inlineStr">
        <is>
          <t>Требует улучшения</t>
        </is>
      </c>
      <c r="H7" s="37" t="inlineStr">
        <is>
          <t>Требует улучшения</t>
        </is>
      </c>
      <c r="I7" s="40" t="inlineStr">
        <is>
          <t>100 % популяции</t>
        </is>
      </c>
      <c r="J7" s="42" t="n">
        <v>3516</v>
      </c>
      <c r="K7" s="42" t="n">
        <v>18</v>
      </c>
      <c r="L7" s="43" t="n">
        <v>2622.71</v>
      </c>
    </row>
    <row r="8" ht="46" customHeight="1">
      <c r="A8" s="34" t="inlineStr">
        <is>
          <t>FLT-C-03</t>
        </is>
      </c>
      <c r="B8" s="34" t="inlineStr">
        <is>
          <t>Операции: отгрузка и приёмка</t>
        </is>
      </c>
      <c r="C8" s="35" t="inlineStr">
        <is>
          <t>Слив отсеками целиком</t>
        </is>
      </c>
      <c r="D8" s="35" t="inlineStr">
        <is>
          <t>Плановый объём позиции равен паспортному объёму отсека.</t>
        </is>
      </c>
      <c r="E8" s="34" t="inlineStr">
        <is>
          <t>Автоматический</t>
        </is>
      </c>
      <c r="F8" s="36" t="inlineStr">
        <is>
          <t>Эффективен</t>
        </is>
      </c>
      <c r="G8" s="37" t="inlineStr">
        <is>
          <t>Требует улучшения</t>
        </is>
      </c>
      <c r="H8" s="37" t="inlineStr">
        <is>
          <t>Требует улучшения</t>
        </is>
      </c>
      <c r="I8" s="34" t="inlineStr">
        <is>
          <t>100 % популяции</t>
        </is>
      </c>
      <c r="J8" s="38" t="n">
        <v>10576</v>
      </c>
      <c r="K8" s="38" t="n">
        <v>10</v>
      </c>
      <c r="L8" s="39" t="n">
        <v>0</v>
      </c>
    </row>
    <row r="9" ht="46" customHeight="1">
      <c r="A9" s="40" t="inlineStr">
        <is>
          <t>FLT-C-04</t>
        </is>
      </c>
      <c r="B9" s="40" t="inlineStr">
        <is>
          <t>Операции: отгрузка и приёмка</t>
        </is>
      </c>
      <c r="C9" s="41" t="inlineStr">
        <is>
          <t>Запрет переполнения резервуара</t>
        </is>
      </c>
      <c r="D9" s="41" t="inlineStr">
        <is>
          <t>Приёмка не превышает свободную ёмкость резервуара.</t>
        </is>
      </c>
      <c r="E9" s="40" t="inlineStr">
        <is>
          <t>Автоматический</t>
        </is>
      </c>
      <c r="F9" s="36" t="inlineStr">
        <is>
          <t>Эффективен</t>
        </is>
      </c>
      <c r="G9" s="37" t="inlineStr">
        <is>
          <t>Требует улучшения</t>
        </is>
      </c>
      <c r="H9" s="37" t="inlineStr">
        <is>
          <t>Требует улучшения</t>
        </is>
      </c>
      <c r="I9" s="40" t="inlineStr">
        <is>
          <t>100 % популяции</t>
        </is>
      </c>
      <c r="J9" s="42" t="n">
        <v>10576</v>
      </c>
      <c r="K9" s="42" t="n">
        <v>5</v>
      </c>
      <c r="L9" s="43" t="n">
        <v>0</v>
      </c>
    </row>
    <row r="10" ht="46" customHeight="1">
      <c r="A10" s="34" t="inlineStr">
        <is>
          <t>FLT-C-05</t>
        </is>
      </c>
      <c r="B10" s="34" t="inlineStr">
        <is>
          <t>Операции: отгрузка и приёмка</t>
        </is>
      </c>
      <c r="C10" s="35" t="inlineStr">
        <is>
          <t>Сверка отгруженного и принятого</t>
        </is>
      </c>
      <c r="D10" s="35" t="inlineStr">
        <is>
          <t>Расхождение выявляется и фиксируется по каждой поставке.</t>
        </is>
      </c>
      <c r="E10" s="34" t="inlineStr">
        <is>
          <t>Автоматический</t>
        </is>
      </c>
      <c r="F10" s="36" t="inlineStr">
        <is>
          <t>Эффективен</t>
        </is>
      </c>
      <c r="G10" s="37" t="inlineStr">
        <is>
          <t>Требует улучшения</t>
        </is>
      </c>
      <c r="H10" s="37" t="inlineStr">
        <is>
          <t>Требует улучшения</t>
        </is>
      </c>
      <c r="I10" s="34" t="inlineStr">
        <is>
          <t>100 % популяции</t>
        </is>
      </c>
      <c r="J10" s="38" t="n">
        <v>10576</v>
      </c>
      <c r="K10" s="38" t="n">
        <v>197</v>
      </c>
      <c r="L10" s="39" t="n">
        <v>1132934.4</v>
      </c>
    </row>
    <row r="11" ht="46" customHeight="1">
      <c r="A11" s="40" t="inlineStr">
        <is>
          <t>FLT-C-06</t>
        </is>
      </c>
      <c r="B11" s="40" t="inlineStr">
        <is>
          <t>Контроль затрат</t>
        </is>
      </c>
      <c r="C11" s="41" t="inlineStr">
        <is>
          <t>Контроль необоснованного пробега</t>
        </is>
      </c>
      <c r="D11" s="41" t="inlineStr">
        <is>
          <t>Превышение факта над нормативом выявляется и оценивается в деньгах.</t>
        </is>
      </c>
      <c r="E11" s="40" t="inlineStr">
        <is>
          <t>Автоматический</t>
        </is>
      </c>
      <c r="F11" s="36" t="inlineStr">
        <is>
          <t>Эффективен</t>
        </is>
      </c>
      <c r="G11" s="37" t="inlineStr">
        <is>
          <t>Требует улучшения</t>
        </is>
      </c>
      <c r="H11" s="37" t="inlineStr">
        <is>
          <t>Требует улучшения</t>
        </is>
      </c>
      <c r="I11" s="40" t="inlineStr">
        <is>
          <t>100 % популяции</t>
        </is>
      </c>
      <c r="J11" s="42" t="n">
        <v>3534</v>
      </c>
      <c r="K11" s="42" t="n">
        <v>151</v>
      </c>
      <c r="L11" s="43" t="n">
        <v>30259.6</v>
      </c>
    </row>
    <row r="12" ht="46" customHeight="1">
      <c r="A12" s="34" t="inlineStr">
        <is>
          <t>FLT-C-07</t>
        </is>
      </c>
      <c r="B12" s="34" t="inlineStr">
        <is>
          <t>Контроль затрат</t>
        </is>
      </c>
      <c r="C12" s="35" t="inlineStr">
        <is>
          <t>Контроль расхода топлива бензовозом</t>
        </is>
      </c>
      <c r="D12" s="35" t="inlineStr">
        <is>
          <t>Перерасход против нормы автомобиля выявляется.</t>
        </is>
      </c>
      <c r="E12" s="34" t="inlineStr">
        <is>
          <t>Автоматический</t>
        </is>
      </c>
      <c r="F12" s="36" t="inlineStr">
        <is>
          <t>Эффективен</t>
        </is>
      </c>
      <c r="G12" s="37" t="inlineStr">
        <is>
          <t>Требует улучшения</t>
        </is>
      </c>
      <c r="H12" s="37" t="inlineStr">
        <is>
          <t>Требует улучшения</t>
        </is>
      </c>
      <c r="I12" s="34" t="inlineStr">
        <is>
          <t>100 % популяции</t>
        </is>
      </c>
      <c r="J12" s="38" t="n">
        <v>3534</v>
      </c>
      <c r="K12" s="38" t="n">
        <v>96</v>
      </c>
      <c r="L12" s="39" t="n">
        <v>53994.44</v>
      </c>
    </row>
    <row r="13" ht="46" customHeight="1">
      <c r="A13" s="40" t="inlineStr">
        <is>
          <t>FLT-C-08</t>
        </is>
      </c>
      <c r="B13" s="40" t="inlineStr">
        <is>
          <t>Полнота и достоверность учёта</t>
        </is>
      </c>
      <c r="C13" s="41" t="inlineStr">
        <is>
          <t>Полнота реквизитов рейса</t>
        </is>
      </c>
      <c r="D13" s="41" t="inlineStr">
        <is>
          <t>Утверждённый рейс содержит груз, норматив и начисление.</t>
        </is>
      </c>
      <c r="E13" s="40" t="inlineStr">
        <is>
          <t>Автоматический</t>
        </is>
      </c>
      <c r="F13" s="36" t="inlineStr">
        <is>
          <t>Эффективен</t>
        </is>
      </c>
      <c r="G13" s="37" t="inlineStr">
        <is>
          <t>Требует улучшения</t>
        </is>
      </c>
      <c r="H13" s="37" t="inlineStr">
        <is>
          <t>Требует улучшения</t>
        </is>
      </c>
      <c r="I13" s="40" t="inlineStr">
        <is>
          <t>100 % популяции</t>
        </is>
      </c>
      <c r="J13" s="42" t="n">
        <v>3534</v>
      </c>
      <c r="K13" s="42" t="n">
        <v>19</v>
      </c>
      <c r="L13" s="43" t="n">
        <v>0</v>
      </c>
    </row>
    <row r="14" ht="46" customHeight="1">
      <c r="A14" s="34" t="inlineStr">
        <is>
          <t>FLT-C-09</t>
        </is>
      </c>
      <c r="B14" s="34" t="inlineStr">
        <is>
          <t>Полнота и достоверность учёта</t>
        </is>
      </c>
      <c r="C14" s="35" t="inlineStr">
        <is>
          <t>Цепочка статусов исполнения</t>
        </is>
      </c>
      <c r="D14" s="35" t="inlineStr">
        <is>
          <t>Документ нельзя оформить задним числом, пропустив стадии.</t>
        </is>
      </c>
      <c r="E14" s="34" t="inlineStr">
        <is>
          <t>Автоматический</t>
        </is>
      </c>
      <c r="F14" s="37" t="inlineStr">
        <is>
          <t>Требует улучшения</t>
        </is>
      </c>
      <c r="G14" s="37" t="inlineStr">
        <is>
          <t>Требует улучшения</t>
        </is>
      </c>
      <c r="H14" s="37" t="inlineStr">
        <is>
          <t>Требует улучшения</t>
        </is>
      </c>
      <c r="I14" s="34" t="inlineStr">
        <is>
          <t>100 % популяции</t>
        </is>
      </c>
      <c r="J14" s="38" t="n">
        <v>3534</v>
      </c>
      <c r="K14" s="38" t="n">
        <v>35</v>
      </c>
      <c r="L14" s="39" t="n">
        <v>0</v>
      </c>
    </row>
    <row r="15" ht="46" customHeight="1">
      <c r="A15" s="40" t="inlineStr">
        <is>
          <t>FLT-C-10</t>
        </is>
      </c>
      <c r="B15" s="40" t="inlineStr">
        <is>
          <t>Доступ и полномочия</t>
        </is>
      </c>
      <c r="C15" s="41" t="inlineStr">
        <is>
          <t>Разделение полномочий «создал / утвердил»</t>
        </is>
      </c>
      <c r="D15" s="41" t="inlineStr">
        <is>
          <t>Одно лицо не создаёт и не утверждает один и тот же рейс.</t>
        </is>
      </c>
      <c r="E15" s="40" t="inlineStr">
        <is>
          <t>Ручной</t>
        </is>
      </c>
      <c r="F15" s="37" t="inlineStr">
        <is>
          <t>Требует улучшения</t>
        </is>
      </c>
      <c r="G15" s="37" t="inlineStr">
        <is>
          <t>Требует улучшения</t>
        </is>
      </c>
      <c r="H15" s="37" t="inlineStr">
        <is>
          <t>Требует улучшения</t>
        </is>
      </c>
      <c r="I15" s="40" t="inlineStr">
        <is>
          <t>Выборка</t>
        </is>
      </c>
      <c r="J15" s="42" t="n">
        <v>3534</v>
      </c>
      <c r="K15" s="42" t="n">
        <v>74</v>
      </c>
      <c r="L15" s="43" t="n">
        <v>0</v>
      </c>
    </row>
    <row r="16" ht="46" customHeight="1">
      <c r="A16" s="34" t="inlineStr">
        <is>
          <t>FLT-C-11</t>
        </is>
      </c>
      <c r="B16" s="34" t="inlineStr">
        <is>
          <t>Полнота и достоверность учёта</t>
        </is>
      </c>
      <c r="C16" s="35" t="inlineStr">
        <is>
          <t>Защита от двойного учёта</t>
        </is>
      </c>
      <c r="D16" s="35" t="inlineStr">
        <is>
          <t>Рейс и путевой лист не учитываются дважды.</t>
        </is>
      </c>
      <c r="E16" s="34" t="inlineStr">
        <is>
          <t>Автоматический</t>
        </is>
      </c>
      <c r="F16" s="36" t="inlineStr">
        <is>
          <t>Эффективен</t>
        </is>
      </c>
      <c r="G16" s="37" t="inlineStr">
        <is>
          <t>Требует улучшения</t>
        </is>
      </c>
      <c r="H16" s="37" t="inlineStr">
        <is>
          <t>Требует улучшения</t>
        </is>
      </c>
      <c r="I16" s="34" t="inlineStr">
        <is>
          <t>100 % популяции</t>
        </is>
      </c>
      <c r="J16" s="38" t="n">
        <v>3534</v>
      </c>
      <c r="K16" s="38" t="n">
        <v>3</v>
      </c>
      <c r="L16" s="39" t="n">
        <v>0</v>
      </c>
    </row>
    <row r="17" ht="46" customHeight="1">
      <c r="A17" s="40" t="inlineStr">
        <is>
          <t>FLT-C-12</t>
        </is>
      </c>
      <c r="B17" s="40" t="inlineStr">
        <is>
          <t>Справочные данные</t>
        </is>
      </c>
      <c r="C17" s="41" t="inlineStr">
        <is>
          <t>Непротиворечивость справочников</t>
        </is>
      </c>
      <c r="D17" s="41" t="inlineStr">
        <is>
          <t>Паспортные величины не противоречат друг другу.</t>
        </is>
      </c>
      <c r="E17" s="40" t="inlineStr">
        <is>
          <t>Автоматический</t>
        </is>
      </c>
      <c r="F17" s="36" t="inlineStr">
        <is>
          <t>Эффективен</t>
        </is>
      </c>
      <c r="G17" s="37" t="inlineStr">
        <is>
          <t>Требует улучшения</t>
        </is>
      </c>
      <c r="H17" s="37" t="inlineStr">
        <is>
          <t>Требует улучшения</t>
        </is>
      </c>
      <c r="I17" s="40" t="inlineStr">
        <is>
          <t>100 % популяции</t>
        </is>
      </c>
      <c r="J17" s="42" t="n">
        <v>91</v>
      </c>
      <c r="K17" s="42" t="n">
        <v>2</v>
      </c>
      <c r="L17" s="43" t="n">
        <v>0</v>
      </c>
    </row>
    <row r="18" ht="46" customHeight="1">
      <c r="A18" s="34" t="inlineStr">
        <is>
          <t>FLT-C-13</t>
        </is>
      </c>
      <c r="B18" s="34" t="inlineStr">
        <is>
          <t>Непрерывность операций</t>
        </is>
      </c>
      <c r="C18" s="35" t="inlineStr">
        <is>
          <t>Покрытие страхового запаса планом завоза</t>
        </is>
      </c>
      <c r="D18" s="35" t="inlineStr">
        <is>
          <t>АЗС не останавливает продажу из-за отсутствия топлива.</t>
        </is>
      </c>
      <c r="E18" s="34" t="inlineStr">
        <is>
          <t>Автоматический</t>
        </is>
      </c>
      <c r="F18" s="36" t="inlineStr">
        <is>
          <t>Эффективен</t>
        </is>
      </c>
      <c r="G18" s="44" t="inlineStr">
        <is>
          <t>Неэффективен</t>
        </is>
      </c>
      <c r="H18" s="44" t="inlineStr">
        <is>
          <t>Неэффективен</t>
        </is>
      </c>
      <c r="I18" s="34" t="inlineStr">
        <is>
          <t>100 % популяции</t>
        </is>
      </c>
      <c r="J18" s="38" t="n">
        <v>77</v>
      </c>
      <c r="K18" s="38" t="n">
        <v>6</v>
      </c>
      <c r="L18" s="39" t="n">
        <v>0</v>
      </c>
    </row>
    <row r="20" ht="34" customHeight="1">
      <c r="A20" s="13" t="inlineStr">
        <is>
          <t>Обоснование оценки дизайна</t>
        </is>
      </c>
    </row>
    <row r="21" ht="20" customHeight="1">
      <c r="A21" s="14" t="inlineStr">
        <is>
          <t>Почему контроль признан эффективным или требующим улучшения — и какой процедурой это проверено.</t>
        </is>
      </c>
    </row>
    <row r="23" ht="30" customHeight="1">
      <c r="A23" s="33" t="inlineStr">
        <is>
          <t>Код</t>
        </is>
      </c>
      <c r="B23" s="33" t="inlineStr">
        <is>
          <t>Как контроль реализован в системе</t>
        </is>
      </c>
      <c r="C23" s="33" t="inlineStr">
        <is>
          <t>Процедуры проверки</t>
        </is>
      </c>
    </row>
    <row r="24" ht="42" customHeight="1">
      <c r="A24" s="34" t="inlineStr">
        <is>
          <t>FLT-C-01</t>
        </is>
      </c>
      <c r="B24" s="35" t="inlineStr">
        <is>
          <t>Начисление формируется представлением V_FLT_TRIP_PAY; поля для ручного ввода суммы в интерфейсе нет.</t>
        </is>
      </c>
      <c r="C24" s="34" t="inlineStr">
        <is>
          <t>T-01</t>
        </is>
      </c>
    </row>
    <row r="25" ht="42" customHeight="1">
      <c r="A25" s="40" t="inlineStr">
        <is>
          <t>FLT-C-02</t>
        </is>
      </c>
      <c r="B25" s="41" t="inlineStr">
        <is>
          <t>Ставки хранятся периодами (FLT_RATE_PERIODS), резолвер выбирает период по TRIP_DATE, а не по SYSDATE.</t>
        </is>
      </c>
      <c r="C25" s="40" t="inlineStr">
        <is>
          <t>T-02, T-01</t>
        </is>
      </c>
    </row>
    <row r="26" ht="42" customHeight="1">
      <c r="A26" s="34" t="inlineStr">
        <is>
          <t>FLT-C-03</t>
        </is>
      </c>
      <c r="B26" s="35" t="inlineStr">
        <is>
          <t>Подбор отсеков — точное перечисление подмножеств (supply_rules.pick_sections), частичный объём сформировать нельзя.</t>
        </is>
      </c>
      <c r="C26" s="34" t="inlineStr">
        <is>
          <t>T-03</t>
        </is>
      </c>
    </row>
    <row r="27" ht="42" customHeight="1">
      <c r="A27" s="40" t="inlineStr">
        <is>
          <t>FLT-C-04</t>
        </is>
      </c>
      <c r="B27" s="41" t="inlineStr">
        <is>
          <t>Валидация на сервере (supply_rules.validate_loads); проверка выполняется до сохранения факта.</t>
        </is>
      </c>
      <c r="C27" s="40" t="inlineStr">
        <is>
          <t>T-04</t>
        </is>
      </c>
    </row>
    <row r="28" ht="42" customHeight="1">
      <c r="A28" s="34" t="inlineStr">
        <is>
          <t>FLT-C-05</t>
        </is>
      </c>
      <c r="B28" s="35" t="inlineStr">
        <is>
          <t>Карточка исполнения показывает три величины (загружено / по документам / принято) и подсвечивает разницу.</t>
        </is>
      </c>
      <c r="C28" s="34" t="inlineStr">
        <is>
          <t>T-05</t>
        </is>
      </c>
    </row>
    <row r="29" ht="42" customHeight="1">
      <c r="A29" s="40" t="inlineStr">
        <is>
          <t>FLT-C-06</t>
        </is>
      </c>
      <c r="B29" s="41" t="inlineStr">
        <is>
          <t>Порог отклонения — настройка заказчика (KM_DEVIATION_LIMIT), факт приходит из GPS-прослойки.</t>
        </is>
      </c>
      <c r="C29" s="40" t="inlineStr">
        <is>
          <t>T-06</t>
        </is>
      </c>
    </row>
    <row r="30" ht="42" customHeight="1">
      <c r="A30" s="34" t="inlineStr">
        <is>
          <t>FLT-C-07</t>
        </is>
      </c>
      <c r="B30" s="35" t="inlineStr">
        <is>
          <t>Норма хранится в карточке автомобиля (NORM_L_PER_100KM), расчёт нормы рейса автоматический.</t>
        </is>
      </c>
      <c r="C30" s="34" t="inlineStr">
        <is>
          <t>T-07</t>
        </is>
      </c>
    </row>
    <row r="31" ht="42" customHeight="1">
      <c r="A31" s="40" t="inlineStr">
        <is>
          <t>FLT-C-08</t>
        </is>
      </c>
      <c r="B31" s="41" t="inlineStr">
        <is>
          <t>Утверждение недоступно для рейса без позиций; нормативный пробег считается при сохранении маршрута.</t>
        </is>
      </c>
      <c r="C31" s="40" t="inlineStr">
        <is>
          <t>T-08</t>
        </is>
      </c>
    </row>
    <row r="32" ht="42" customHeight="1">
      <c r="A32" s="34" t="inlineStr">
        <is>
          <t>FLT-C-09</t>
        </is>
      </c>
      <c r="B32" s="35" t="inlineStr">
        <is>
          <t>Порядок задан справочником REF_TRIP_STATUS.SORT_NO, но запрет обратного перехода реализован в контроллере, а не ограничением БД — прямая правка таблицы его обойдёт.</t>
        </is>
      </c>
      <c r="C32" s="34" t="inlineStr">
        <is>
          <t>T-09</t>
        </is>
      </c>
    </row>
    <row r="33" ht="42" customHeight="1">
      <c r="A33" s="40" t="inlineStr">
        <is>
          <t>FLT-C-10</t>
        </is>
      </c>
      <c r="B33" s="41" t="inlineStr">
        <is>
          <t>Роли в системе разделены, но техническая блокировка самоутверждения не включена: контроль держится на распределении учётных записей.</t>
        </is>
      </c>
      <c r="C33" s="40" t="inlineStr">
        <is>
          <t>T-10</t>
        </is>
      </c>
    </row>
    <row r="34" ht="42" customHeight="1">
      <c r="A34" s="34" t="inlineStr">
        <is>
          <t>FLT-C-11</t>
        </is>
      </c>
      <c r="B34" s="35" t="inlineStr">
        <is>
          <t>Один бензовоз используется в плане один раз; номер путевого листа уникален.</t>
        </is>
      </c>
      <c r="C34" s="34" t="inlineStr">
        <is>
          <t>T-11</t>
        </is>
      </c>
    </row>
    <row r="35" ht="42" customHeight="1">
      <c r="A35" s="40" t="inlineStr">
        <is>
          <t>FLT-C-12</t>
        </is>
      </c>
      <c r="B35" s="41" t="inlineStr">
        <is>
          <t>Формы настроек отклоняют налив выше ёмкости и сумму отсеков, не равную цистерне.</t>
        </is>
      </c>
      <c r="C35" s="40" t="inlineStr">
        <is>
          <t>T-12</t>
        </is>
      </c>
    </row>
    <row r="36" ht="42" customHeight="1">
      <c r="A36" s="34" t="inlineStr">
        <is>
          <t>FLT-C-13</t>
        </is>
      </c>
      <c r="B36" s="35" t="inlineStr">
        <is>
          <t>Планирование сортирует потребности по дням до страхового запаса; сводка руководителя показывает риск.</t>
        </is>
      </c>
      <c r="C36" s="34" t="inlineStr">
        <is>
          <t>T-13</t>
        </is>
      </c>
    </row>
  </sheetData>
  <mergeCells count="4">
    <mergeCell ref="A20:L20"/>
    <mergeCell ref="A3:L3"/>
    <mergeCell ref="A2:L2"/>
    <mergeCell ref="A21:L21"/>
  </mergeCells>
  <conditionalFormatting sqref="K6:K18">
    <cfRule type="dataBar" priority="1">
      <dataBar showValue="1">
        <cfvo type="num" val="0"/>
        <cfvo type="max"/>
        <color rgb="001D4ED8"/>
      </dataBar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P22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9" customWidth="1" min="4" max="4"/>
    <col width="46" customWidth="1" min="5" max="5"/>
    <col width="40" customWidth="1" min="6" max="6"/>
    <col width="40" customWidth="1" min="7" max="7"/>
    <col width="12" customWidth="1" min="8" max="8"/>
    <col width="12" customWidth="1" min="9" max="9"/>
    <col width="11" customWidth="1" min="10" max="10"/>
    <col width="14" customWidth="1" min="11" max="11"/>
    <col width="12" customWidth="1" min="12" max="12"/>
    <col width="11" customWidth="1" min="13" max="13"/>
    <col width="20" customWidth="1" min="14" max="14"/>
    <col width="14" customWidth="1" min="15" max="15"/>
    <col width="16" customWidth="1" min="16" max="16"/>
  </cols>
  <sheetData>
    <row r="2" ht="34" customHeight="1">
      <c r="A2" s="13" t="inlineStr">
        <is>
          <t>Реестр находок</t>
        </is>
      </c>
    </row>
    <row r="3" ht="20" customHeight="1">
      <c r="A3" s="14" t="inlineStr">
        <is>
          <t>Три последние колонки — для ответа руководства; их заполняет заказчик, остальное считает проверка.</t>
        </is>
      </c>
    </row>
    <row r="5" ht="30" customHeight="1">
      <c r="A5" s="33" t="inlineStr">
        <is>
          <t>№</t>
        </is>
      </c>
      <c r="B5" s="33" t="inlineStr">
        <is>
          <t>Значимость</t>
        </is>
      </c>
      <c r="C5" s="33" t="inlineStr">
        <is>
          <t>Контроль</t>
        </is>
      </c>
      <c r="D5" s="33" t="inlineStr">
        <is>
          <t>Тест</t>
        </is>
      </c>
      <c r="E5" s="33" t="inlineStr">
        <is>
          <t>Наблюдение</t>
        </is>
      </c>
      <c r="F5" s="33" t="inlineStr">
        <is>
          <t>Риск</t>
        </is>
      </c>
      <c r="G5" s="33" t="inlineStr">
        <is>
          <t>Рекомендация</t>
        </is>
      </c>
      <c r="H5" s="33" t="inlineStr">
        <is>
          <t>Отклонений</t>
        </is>
      </c>
      <c r="I5" s="33" t="inlineStr">
        <is>
          <t>Проверено</t>
        </is>
      </c>
      <c r="J5" s="33" t="inlineStr">
        <is>
          <t>Доля</t>
        </is>
      </c>
      <c r="K5" s="33" t="inlineStr">
        <is>
          <t>Оценка, лей</t>
        </is>
      </c>
      <c r="L5" s="33" t="inlineStr">
        <is>
          <t>Вероятн. 1–5</t>
        </is>
      </c>
      <c r="M5" s="33" t="inlineStr">
        <is>
          <t>Влияние 1–5</t>
        </is>
      </c>
      <c r="N5" s="33" t="inlineStr">
        <is>
          <t>Ответственный</t>
        </is>
      </c>
      <c r="O5" s="33" t="inlineStr">
        <is>
          <t>Срок</t>
        </is>
      </c>
      <c r="P5" s="33" t="inlineStr">
        <is>
          <t>Статус устранения</t>
        </is>
      </c>
    </row>
    <row r="6" ht="70" customHeight="1">
      <c r="A6" s="34" t="inlineStr">
        <is>
          <t>F-01</t>
        </is>
      </c>
      <c r="B6" s="44" t="inlineStr">
        <is>
          <t>Высокий</t>
        </is>
      </c>
      <c r="C6" s="34" t="inlineStr">
        <is>
          <t>FLT-C-05</t>
        </is>
      </c>
      <c r="D6" s="34" t="inlineStr">
        <is>
          <t>T-05</t>
        </is>
      </c>
      <c r="E6" s="35" t="inlineStr">
        <is>
          <t>При проверке 10576 объектов (100 % позиций с зафиксированными отгрузкой и приёмкой) выявлено 197 отклонений (1.86 %). Денежная оценка: 1 132 934.40 лея.</t>
        </is>
      </c>
      <c r="F6" s="35" t="inlineStr">
        <is>
          <t>Систематическая недостача при приёмке — признак потерь продукта или недолива на нефтебазе.</t>
        </is>
      </c>
      <c r="G6" s="35" t="inlineStr">
        <is>
          <t>Ввести разбор каждой недостачи выше допуска с обязательным комментарием и сверкой с нефтебазой.</t>
        </is>
      </c>
      <c r="H6" s="38" t="n">
        <v>197</v>
      </c>
      <c r="I6" s="38" t="n">
        <v>10576</v>
      </c>
      <c r="J6" s="45" t="n">
        <v>0.0186</v>
      </c>
      <c r="K6" s="39" t="n">
        <v>1132934.4</v>
      </c>
      <c r="L6" s="46" t="n">
        <v>3</v>
      </c>
      <c r="M6" s="46" t="n">
        <v>5</v>
      </c>
      <c r="N6" s="47" t="inlineStr"/>
      <c r="O6" s="47" t="inlineStr"/>
      <c r="P6" s="47" t="inlineStr"/>
    </row>
    <row r="7" ht="70" customHeight="1">
      <c r="A7" s="40" t="inlineStr">
        <is>
          <t>F-02</t>
        </is>
      </c>
      <c r="B7" s="44" t="inlineStr">
        <is>
          <t>Высокий</t>
        </is>
      </c>
      <c r="C7" s="40" t="inlineStr">
        <is>
          <t>FLT-C-07</t>
        </is>
      </c>
      <c r="D7" s="40" t="inlineStr">
        <is>
          <t>T-07</t>
        </is>
      </c>
      <c r="E7" s="41" t="inlineStr">
        <is>
          <t>При проверке 3534 объектов (100 % рейсов с зафиксированной заправкой) выявлено 96 отклонений (2.72 %). Денежная оценка: 53 994.44 лея.</t>
        </is>
      </c>
      <c r="F7" s="41" t="inlineStr">
        <is>
          <t>Перерасход топлива бензовозом — прямой убыток и возможный слив на сторону.</t>
        </is>
      </c>
      <c r="G7" s="41" t="inlineStr">
        <is>
          <t>Сверять заправки бензовозов с топливными картами и разбирать рейсы с отклонением выше порога.</t>
        </is>
      </c>
      <c r="H7" s="42" t="n">
        <v>96</v>
      </c>
      <c r="I7" s="42" t="n">
        <v>3534</v>
      </c>
      <c r="J7" s="48" t="n">
        <v>0.0272</v>
      </c>
      <c r="K7" s="43" t="n">
        <v>53994.44</v>
      </c>
      <c r="L7" s="49" t="n">
        <v>3</v>
      </c>
      <c r="M7" s="49" t="n">
        <v>5</v>
      </c>
      <c r="N7" s="47" t="inlineStr"/>
      <c r="O7" s="47" t="inlineStr"/>
      <c r="P7" s="47" t="inlineStr"/>
    </row>
    <row r="8" ht="70" customHeight="1">
      <c r="A8" s="34" t="inlineStr">
        <is>
          <t>F-03</t>
        </is>
      </c>
      <c r="B8" s="44" t="inlineStr">
        <is>
          <t>Высокий</t>
        </is>
      </c>
      <c r="C8" s="34" t="inlineStr">
        <is>
          <t>FLT-C-13</t>
        </is>
      </c>
      <c r="D8" s="34" t="inlineStr">
        <is>
          <t>T-13</t>
        </is>
      </c>
      <c r="E8" s="35" t="inlineStr">
        <is>
          <t>При проверке 77 объектов (100 % резервуаров сети) выявлено 6 отклонений (7.79 %).</t>
        </is>
      </c>
      <c r="F8" s="35" t="inlineStr">
        <is>
          <t>Остановка продажи на АЗС из-за отсутствия топлива — потерянная выручка и репутационный ущерб.</t>
        </is>
      </c>
      <c r="G8" s="35" t="inlineStr">
        <is>
          <t>Включить резервуары ниже страхового запаса в план завоза принудительно, с уведомлением логисту.</t>
        </is>
      </c>
      <c r="H8" s="38" t="n">
        <v>6</v>
      </c>
      <c r="I8" s="38" t="n">
        <v>77</v>
      </c>
      <c r="J8" s="45" t="n">
        <v>0.0779</v>
      </c>
      <c r="K8" s="39" t="n">
        <v>0</v>
      </c>
      <c r="L8" s="46" t="n">
        <v>4</v>
      </c>
      <c r="M8" s="46" t="n">
        <v>2</v>
      </c>
      <c r="N8" s="47" t="inlineStr"/>
      <c r="O8" s="47" t="inlineStr"/>
      <c r="P8" s="47" t="inlineStr"/>
    </row>
    <row r="9" ht="70" customHeight="1">
      <c r="A9" s="40" t="inlineStr">
        <is>
          <t>F-04</t>
        </is>
      </c>
      <c r="B9" s="37" t="inlineStr">
        <is>
          <t>Средний</t>
        </is>
      </c>
      <c r="C9" s="40" t="inlineStr">
        <is>
          <t>FLT-C-06</t>
        </is>
      </c>
      <c r="D9" s="40" t="inlineStr">
        <is>
          <t>T-06</t>
        </is>
      </c>
      <c r="E9" s="41" t="inlineStr">
        <is>
          <t>При проверке 3534 объектов (100 % рейсов с зафиксированным фактическим пробегом) выявлено 151 отклонений (4.27 %). Денежная оценка: 30 259.60 лея.</t>
        </is>
      </c>
      <c r="F9" s="41" t="inlineStr">
        <is>
          <t>Лишние километры оплачиваются водителю и не создают поставки.</t>
        </is>
      </c>
      <c r="G9" s="41" t="inlineStr">
        <is>
          <t>Требовать обоснование при утверждении рейса с отклонением выше порога.</t>
        </is>
      </c>
      <c r="H9" s="42" t="n">
        <v>151</v>
      </c>
      <c r="I9" s="42" t="n">
        <v>3534</v>
      </c>
      <c r="J9" s="48" t="n">
        <v>0.04269999999999999</v>
      </c>
      <c r="K9" s="43" t="n">
        <v>30259.6</v>
      </c>
      <c r="L9" s="49" t="n">
        <v>3</v>
      </c>
      <c r="M9" s="49" t="n">
        <v>4</v>
      </c>
      <c r="N9" s="47" t="inlineStr"/>
      <c r="O9" s="47" t="inlineStr"/>
      <c r="P9" s="47" t="inlineStr"/>
    </row>
    <row r="10" ht="70" customHeight="1">
      <c r="A10" s="34" t="inlineStr">
        <is>
          <t>F-05</t>
        </is>
      </c>
      <c r="B10" s="37" t="inlineStr">
        <is>
          <t>Средний</t>
        </is>
      </c>
      <c r="C10" s="34" t="inlineStr">
        <is>
          <t>FLT-C-10</t>
        </is>
      </c>
      <c r="D10" s="34" t="inlineStr">
        <is>
          <t>T-10</t>
        </is>
      </c>
      <c r="E10" s="35" t="inlineStr">
        <is>
          <t>При проверке 3534 объектов (100 % утверждённых рейсов с заполненными автором и утвердившим) выявлено 74 отклонений (2.09 %).</t>
        </is>
      </c>
      <c r="F10" s="35" t="inlineStr">
        <is>
          <t>Самоутверждение рейса снимает единственный контроль над основанием для начисления зарплаты.</t>
        </is>
      </c>
      <c r="G10" s="35" t="inlineStr">
        <is>
          <t>Включить техническую блокировку: утвердить рейс может только учётная запись, отличная от создавшей.</t>
        </is>
      </c>
      <c r="H10" s="38" t="n">
        <v>74</v>
      </c>
      <c r="I10" s="38" t="n">
        <v>3534</v>
      </c>
      <c r="J10" s="45" t="n">
        <v>0.0209</v>
      </c>
      <c r="K10" s="39" t="n">
        <v>0</v>
      </c>
      <c r="L10" s="46" t="n">
        <v>3</v>
      </c>
      <c r="M10" s="46" t="n">
        <v>2</v>
      </c>
      <c r="N10" s="47" t="inlineStr"/>
      <c r="O10" s="47" t="inlineStr"/>
      <c r="P10" s="47" t="inlineStr"/>
    </row>
    <row r="11" ht="70" customHeight="1">
      <c r="A11" s="40" t="inlineStr">
        <is>
          <t>F-06</t>
        </is>
      </c>
      <c r="B11" s="37" t="inlineStr">
        <is>
          <t>Средний</t>
        </is>
      </c>
      <c r="C11" s="40" t="inlineStr">
        <is>
          <t>FLT-C-12</t>
        </is>
      </c>
      <c r="D11" s="40" t="inlineStr">
        <is>
          <t>T-12</t>
        </is>
      </c>
      <c r="E11" s="41" t="inlineStr">
        <is>
          <t>При проверке 91 объектов (100 % резервуаров и бензовозов) выявлено 2 отклонений (2.20 %).</t>
        </is>
      </c>
      <c r="F11" s="41" t="inlineStr">
        <is>
          <t>Ошибка в справочнике тиражируется во все расчёты периода и обнаруживается только при инвентаризации.</t>
        </is>
      </c>
      <c r="G11" s="41" t="inlineStr">
        <is>
          <t>Проверять неравенства при сохранении карточки и ежемесячно прогонять контроль справочников.</t>
        </is>
      </c>
      <c r="H11" s="42" t="n">
        <v>2</v>
      </c>
      <c r="I11" s="42" t="n">
        <v>91</v>
      </c>
      <c r="J11" s="48" t="n">
        <v>0.022</v>
      </c>
      <c r="K11" s="43" t="n">
        <v>0</v>
      </c>
      <c r="L11" s="49" t="n">
        <v>3</v>
      </c>
      <c r="M11" s="49" t="n">
        <v>1</v>
      </c>
      <c r="N11" s="47" t="inlineStr"/>
      <c r="O11" s="47" t="inlineStr"/>
      <c r="P11" s="47" t="inlineStr"/>
    </row>
    <row r="12" ht="70" customHeight="1">
      <c r="A12" s="34" t="inlineStr">
        <is>
          <t>F-07</t>
        </is>
      </c>
      <c r="B12" s="36" t="inlineStr">
        <is>
          <t>Низкий</t>
        </is>
      </c>
      <c r="C12" s="34" t="inlineStr">
        <is>
          <t>FLT-C-01</t>
        </is>
      </c>
      <c r="D12" s="34" t="inlineStr">
        <is>
          <t>T-01</t>
        </is>
      </c>
      <c r="E12" s="35" t="inlineStr">
        <is>
          <t>При проверке 3515 объектов (100 % рейсов периода со статусом не «черновик») выявлено 18 отклонений (0.51 %). Денежная оценка: 2 622.71 лея.</t>
        </is>
      </c>
      <c r="F12" s="35" t="inlineStr">
        <is>
          <t>Начисление, не соответствующее нормативу, попадает в расчётную ведомость и в себестоимость литра.</t>
        </is>
      </c>
      <c r="G12" s="35" t="inlineStr">
        <is>
          <t>Заблокировать сохранение рейса, у которого начисление отличается от расчётного, и вывести расхождение в журнал для разбора.</t>
        </is>
      </c>
      <c r="H12" s="38" t="n">
        <v>18</v>
      </c>
      <c r="I12" s="38" t="n">
        <v>3515</v>
      </c>
      <c r="J12" s="45" t="n">
        <v>0.0051</v>
      </c>
      <c r="K12" s="39" t="n">
        <v>2622.71</v>
      </c>
      <c r="L12" s="46" t="n">
        <v>2</v>
      </c>
      <c r="M12" s="46" t="n">
        <v>3</v>
      </c>
      <c r="N12" s="47" t="inlineStr"/>
      <c r="O12" s="47" t="inlineStr"/>
      <c r="P12" s="47" t="inlineStr"/>
    </row>
    <row r="13" ht="70" customHeight="1">
      <c r="A13" s="40" t="inlineStr">
        <is>
          <t>F-08</t>
        </is>
      </c>
      <c r="B13" s="36" t="inlineStr">
        <is>
          <t>Низкий</t>
        </is>
      </c>
      <c r="C13" s="40" t="inlineStr">
        <is>
          <t>FLT-C-03</t>
        </is>
      </c>
      <c r="D13" s="40" t="inlineStr">
        <is>
          <t>T-03</t>
        </is>
      </c>
      <c r="E13" s="41" t="inlineStr">
        <is>
          <t>При проверке 10576 объектов (100 % позиций рейсов с назначенным отсеком) выявлено 10 отклонений (0.09 %).</t>
        </is>
      </c>
      <c r="F13" s="41" t="inlineStr">
        <is>
          <t>Частичный слив нечем измерить: остаток в отсеке становится неучтённым топливом.</t>
        </is>
      </c>
      <c r="G13" s="41" t="inlineStr">
        <is>
          <t>Оставить подбор отсеков только автоматическим, ручное изменение объёма позиции запретить.</t>
        </is>
      </c>
      <c r="H13" s="42" t="n">
        <v>10</v>
      </c>
      <c r="I13" s="42" t="n">
        <v>10576</v>
      </c>
      <c r="J13" s="48" t="n">
        <v>0.0009</v>
      </c>
      <c r="K13" s="43" t="n">
        <v>0</v>
      </c>
      <c r="L13" s="49" t="n">
        <v>1</v>
      </c>
      <c r="M13" s="49" t="n">
        <v>2</v>
      </c>
      <c r="N13" s="47" t="inlineStr"/>
      <c r="O13" s="47" t="inlineStr"/>
      <c r="P13" s="47" t="inlineStr"/>
    </row>
    <row r="14" ht="70" customHeight="1">
      <c r="A14" s="34" t="inlineStr">
        <is>
          <t>F-09</t>
        </is>
      </c>
      <c r="B14" s="36" t="inlineStr">
        <is>
          <t>Низкий</t>
        </is>
      </c>
      <c r="C14" s="34" t="inlineStr">
        <is>
          <t>FLT-C-04</t>
        </is>
      </c>
      <c r="D14" s="34" t="inlineStr">
        <is>
          <t>T-04</t>
        </is>
      </c>
      <c r="E14" s="35" t="inlineStr">
        <is>
          <t>При проверке 10576 объектов (100 % позиций с зафиксированным объёмом) выявлено 5 отклонений (0.05 %).</t>
        </is>
      </c>
      <c r="F14" s="35" t="inlineStr">
        <is>
          <t>Перелив резервуара — пролив продукта, экологический инцидент и прямые потери.</t>
        </is>
      </c>
      <c r="G14" s="35" t="inlineStr">
        <is>
          <t>Держать проверку на сервере (не в форме) и логировать каждую попытку превышения.</t>
        </is>
      </c>
      <c r="H14" s="38" t="n">
        <v>5</v>
      </c>
      <c r="I14" s="38" t="n">
        <v>10576</v>
      </c>
      <c r="J14" s="45" t="n">
        <v>0.0005</v>
      </c>
      <c r="K14" s="39" t="n">
        <v>0</v>
      </c>
      <c r="L14" s="46" t="n">
        <v>1</v>
      </c>
      <c r="M14" s="46" t="n">
        <v>1</v>
      </c>
      <c r="N14" s="47" t="inlineStr"/>
      <c r="O14" s="47" t="inlineStr"/>
      <c r="P14" s="47" t="inlineStr"/>
    </row>
    <row r="15" ht="70" customHeight="1">
      <c r="A15" s="40" t="inlineStr">
        <is>
          <t>F-10</t>
        </is>
      </c>
      <c r="B15" s="36" t="inlineStr">
        <is>
          <t>Низкий</t>
        </is>
      </c>
      <c r="C15" s="40" t="inlineStr">
        <is>
          <t>FLT-C-08</t>
        </is>
      </c>
      <c r="D15" s="40" t="inlineStr">
        <is>
          <t>T-08</t>
        </is>
      </c>
      <c r="E15" s="41" t="inlineStr">
        <is>
          <t>При проверке 3534 объектов (100 % рейсов периода со статусом не «черновик») выявлено 19 отклонений (0.54 %).</t>
        </is>
      </c>
      <c r="F15" s="41" t="inlineStr">
        <is>
          <t>Неполный рейс не может служить основанием для начисления и списания, но участвует в отчётности.</t>
        </is>
      </c>
      <c r="G15" s="41" t="inlineStr">
        <is>
          <t>Запретить утверждение рейса без позиций груза и рассчитанного норматива.</t>
        </is>
      </c>
      <c r="H15" s="42" t="n">
        <v>19</v>
      </c>
      <c r="I15" s="42" t="n">
        <v>3534</v>
      </c>
      <c r="J15" s="48" t="n">
        <v>0.0054</v>
      </c>
      <c r="K15" s="43" t="n">
        <v>0</v>
      </c>
      <c r="L15" s="49" t="n">
        <v>2</v>
      </c>
      <c r="M15" s="49" t="n">
        <v>2</v>
      </c>
      <c r="N15" s="47" t="inlineStr"/>
      <c r="O15" s="47" t="inlineStr"/>
      <c r="P15" s="47" t="inlineStr"/>
    </row>
    <row r="16" ht="70" customHeight="1">
      <c r="A16" s="34" t="inlineStr">
        <is>
          <t>F-11</t>
        </is>
      </c>
      <c r="B16" s="36" t="inlineStr">
        <is>
          <t>Низкий</t>
        </is>
      </c>
      <c r="C16" s="34" t="inlineStr">
        <is>
          <t>FLT-C-09</t>
        </is>
      </c>
      <c r="D16" s="34" t="inlineStr">
        <is>
          <t>T-09</t>
        </is>
      </c>
      <c r="E16" s="35" t="inlineStr">
        <is>
          <t>При проверке 3534 объектов (100 % рейсов с журналом статусов) выявлено 35 отклонений (0.99 %).</t>
        </is>
      </c>
      <c r="F16" s="35" t="inlineStr">
        <is>
          <t>Оформление задним числом скрывает простои и фактические сроки доставки.</t>
        </is>
      </c>
      <c r="G16" s="35" t="inlineStr">
        <is>
          <t>Перенести проверку порядка статусов в ограничение базы данных (триггер), чтобы её нельзя было обойти прямой правкой таблицы.</t>
        </is>
      </c>
      <c r="H16" s="38" t="n">
        <v>35</v>
      </c>
      <c r="I16" s="38" t="n">
        <v>3534</v>
      </c>
      <c r="J16" s="45" t="n">
        <v>0.009899999999999999</v>
      </c>
      <c r="K16" s="39" t="n">
        <v>0</v>
      </c>
      <c r="L16" s="46" t="n">
        <v>2</v>
      </c>
      <c r="M16" s="46" t="n">
        <v>2</v>
      </c>
      <c r="N16" s="47" t="inlineStr"/>
      <c r="O16" s="47" t="inlineStr"/>
      <c r="P16" s="47" t="inlineStr"/>
    </row>
    <row r="17" ht="70" customHeight="1">
      <c r="A17" s="40" t="inlineStr">
        <is>
          <t>F-12</t>
        </is>
      </c>
      <c r="B17" s="36" t="inlineStr">
        <is>
          <t>Низкий</t>
        </is>
      </c>
      <c r="C17" s="40" t="inlineStr">
        <is>
          <t>FLT-C-11</t>
        </is>
      </c>
      <c r="D17" s="40" t="inlineStr">
        <is>
          <t>T-11</t>
        </is>
      </c>
      <c r="E17" s="41" t="inlineStr">
        <is>
          <t>При проверке 3534 объектов (100 % рейсов периода со статусом не «черновик») выявлено 3 отклонений (0.08 %).</t>
        </is>
      </c>
      <c r="F17" s="41" t="inlineStr">
        <is>
          <t>Двойной учёт рейса удваивает и зарплату, и списание топлива.</t>
        </is>
      </c>
      <c r="G17" s="41" t="inlineStr">
        <is>
          <t>Добавить уникальный ключ на номер путевого листа и предупреждение при повторной постановке бензовоза.</t>
        </is>
      </c>
      <c r="H17" s="42" t="n">
        <v>3</v>
      </c>
      <c r="I17" s="42" t="n">
        <v>3534</v>
      </c>
      <c r="J17" s="48" t="n">
        <v>0.0008</v>
      </c>
      <c r="K17" s="43" t="n">
        <v>0</v>
      </c>
      <c r="L17" s="49" t="n">
        <v>1</v>
      </c>
      <c r="M17" s="49" t="n">
        <v>1</v>
      </c>
      <c r="N17" s="47" t="inlineStr"/>
      <c r="O17" s="47" t="inlineStr"/>
      <c r="P17" s="47" t="inlineStr"/>
    </row>
    <row r="19">
      <c r="A19" s="11" t="inlineStr">
        <is>
          <t>Заполняет заказчик</t>
        </is>
      </c>
    </row>
    <row r="20" ht="24" customHeight="1">
      <c r="A20" s="12" t="inlineStr">
        <is>
          <t>•  Жёлтые ячейки колонок «Ответственный», «Срок» и «Статус устранения» — единственные, которые вносит заказчик. Например: «Морару И., руководитель транспортного отдела» / «31.10.2026» / «Принято, в работе».</t>
        </is>
      </c>
    </row>
    <row r="21" ht="24" customHeight="1">
      <c r="A21" s="12" t="inlineStr">
        <is>
          <t>•  Остальные колонки рассчитаны проверкой; их правка разрывает связь с листами «Тесты» и «Отклонения» и делает отчёт непроверяемым.</t>
        </is>
      </c>
    </row>
    <row r="22" ht="24" customHeight="1">
      <c r="A22" s="12" t="inlineStr">
        <is>
          <t>•  Значимость: «Высокий» — доля отклонений ≥ 5 % либо денежная оценка ≥ 50 000 лей; «Средний» — ≥ 1 % либо ≥ 5 000 лей; «Низкий» — всё остальное.</t>
        </is>
      </c>
    </row>
  </sheetData>
  <mergeCells count="6">
    <mergeCell ref="A2:P2"/>
    <mergeCell ref="A22:P22"/>
    <mergeCell ref="A20:P20"/>
    <mergeCell ref="A21:P21"/>
    <mergeCell ref="A3:P3"/>
    <mergeCell ref="A19:P19"/>
  </mergeCells>
  <conditionalFormatting sqref="K6:K17">
    <cfRule type="dataBar" priority="1">
      <dataBar showValue="1">
        <cfvo type="num" val="0"/>
        <cfvo type="max"/>
        <color rgb="00A8261E"/>
      </dataBar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H33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2" ht="34" customHeight="1">
      <c r="A2" s="13" t="inlineStr">
        <is>
          <t>Карта рисков: вероятность × влияние</t>
        </is>
      </c>
    </row>
    <row r="3" ht="20" customHeight="1">
      <c r="A3" s="14" t="inlineStr">
        <is>
          <t>Обе координаты выведены из результата тестирования — из доли отклонений и денежной оценки, а не назначены.</t>
        </is>
      </c>
    </row>
    <row r="6" ht="42" customHeight="1">
      <c r="B6" s="50" t="inlineStr">
        <is>
          <t>ВЛИЯНИЕ</t>
        </is>
      </c>
      <c r="C6" s="51" t="n">
        <v>5</v>
      </c>
      <c r="D6" s="52" t="inlineStr"/>
      <c r="E6" s="52" t="inlineStr"/>
      <c r="F6" s="53" t="inlineStr">
        <is>
          <t>F-01, F-02</t>
        </is>
      </c>
      <c r="G6" s="53" t="inlineStr"/>
      <c r="H6" s="53" t="inlineStr"/>
    </row>
    <row r="7" ht="42" customHeight="1">
      <c r="C7" s="51" t="n">
        <v>4</v>
      </c>
      <c r="D7" s="54" t="inlineStr"/>
      <c r="E7" s="52" t="inlineStr"/>
      <c r="F7" s="52" t="inlineStr">
        <is>
          <t>F-04</t>
        </is>
      </c>
      <c r="G7" s="53" t="inlineStr"/>
      <c r="H7" s="53" t="inlineStr"/>
    </row>
    <row r="8" ht="42" customHeight="1">
      <c r="C8" s="51" t="n">
        <v>3</v>
      </c>
      <c r="D8" s="54" t="inlineStr"/>
      <c r="E8" s="54" t="inlineStr">
        <is>
          <t>F-07</t>
        </is>
      </c>
      <c r="F8" s="52" t="inlineStr"/>
      <c r="G8" s="52" t="inlineStr"/>
      <c r="H8" s="53" t="inlineStr"/>
    </row>
    <row r="9" ht="42" customHeight="1">
      <c r="C9" s="51" t="n">
        <v>2</v>
      </c>
      <c r="D9" s="54" t="inlineStr">
        <is>
          <t>F-08</t>
        </is>
      </c>
      <c r="E9" s="54" t="inlineStr">
        <is>
          <t>F-10, F-11</t>
        </is>
      </c>
      <c r="F9" s="54" t="inlineStr">
        <is>
          <t>F-05</t>
        </is>
      </c>
      <c r="G9" s="52" t="inlineStr">
        <is>
          <t>F-03</t>
        </is>
      </c>
      <c r="H9" s="52" t="inlineStr"/>
    </row>
    <row r="10" ht="42" customHeight="1">
      <c r="C10" s="51" t="n">
        <v>1</v>
      </c>
      <c r="D10" s="54" t="inlineStr">
        <is>
          <t>F-09, F-12</t>
        </is>
      </c>
      <c r="E10" s="54" t="inlineStr"/>
      <c r="F10" s="54" t="inlineStr">
        <is>
          <t>F-06</t>
        </is>
      </c>
      <c r="G10" s="54" t="inlineStr"/>
      <c r="H10" s="52" t="inlineStr"/>
    </row>
    <row r="11">
      <c r="C11" s="7" t="inlineStr"/>
      <c r="D11" s="51" t="n">
        <v>1</v>
      </c>
      <c r="E11" s="51" t="n">
        <v>2</v>
      </c>
      <c r="F11" s="51" t="n">
        <v>3</v>
      </c>
      <c r="G11" s="51" t="n">
        <v>4</v>
      </c>
      <c r="H11" s="51" t="n">
        <v>5</v>
      </c>
    </row>
    <row r="12">
      <c r="D12" s="50" t="inlineStr">
        <is>
          <t>ВЕРОЯТНОСТЬ</t>
        </is>
      </c>
    </row>
    <row r="14" ht="34" customHeight="1">
      <c r="A14" s="13" t="inlineStr">
        <is>
          <t>Находки на карте</t>
        </is>
      </c>
    </row>
    <row r="16" ht="30" customHeight="1">
      <c r="A16" s="33" t="inlineStr">
        <is>
          <t>№</t>
        </is>
      </c>
      <c r="B16" s="33" t="inlineStr">
        <is>
          <t>Находка</t>
        </is>
      </c>
      <c r="C16" s="33" t="inlineStr">
        <is>
          <t>Значимость</t>
        </is>
      </c>
      <c r="D16" s="33" t="inlineStr">
        <is>
          <t>Вероятность</t>
        </is>
      </c>
      <c r="E16" s="33" t="inlineStr">
        <is>
          <t>Влияние</t>
        </is>
      </c>
      <c r="F16" s="33" t="inlineStr">
        <is>
          <t>Ранг</t>
        </is>
      </c>
    </row>
    <row r="17" ht="30" customHeight="1">
      <c r="A17" s="34" t="inlineStr">
        <is>
          <t>F-01</t>
        </is>
      </c>
      <c r="B17" s="35" t="inlineStr">
        <is>
          <t>Сверка отгрузки и приёмки</t>
        </is>
      </c>
      <c r="C17" s="44" t="inlineStr">
        <is>
          <t>Высокий</t>
        </is>
      </c>
      <c r="D17" s="46" t="n">
        <v>3</v>
      </c>
      <c r="E17" s="46" t="n">
        <v>5</v>
      </c>
      <c r="F17" s="46" t="n">
        <v>15</v>
      </c>
    </row>
    <row r="18" ht="30" customHeight="1">
      <c r="A18" s="40" t="inlineStr">
        <is>
          <t>F-02</t>
        </is>
      </c>
      <c r="B18" s="41" t="inlineStr">
        <is>
          <t>Перерасход топлива бензовозом</t>
        </is>
      </c>
      <c r="C18" s="44" t="inlineStr">
        <is>
          <t>Высокий</t>
        </is>
      </c>
      <c r="D18" s="49" t="n">
        <v>3</v>
      </c>
      <c r="E18" s="49" t="n">
        <v>5</v>
      </c>
      <c r="F18" s="49" t="n">
        <v>15</v>
      </c>
    </row>
    <row r="19" ht="30" customHeight="1">
      <c r="A19" s="34" t="inlineStr">
        <is>
          <t>F-04</t>
        </is>
      </c>
      <c r="B19" s="35" t="inlineStr">
        <is>
          <t>Необоснованный пробег</t>
        </is>
      </c>
      <c r="C19" s="37" t="inlineStr">
        <is>
          <t>Средний</t>
        </is>
      </c>
      <c r="D19" s="46" t="n">
        <v>3</v>
      </c>
      <c r="E19" s="46" t="n">
        <v>4</v>
      </c>
      <c r="F19" s="46" t="n">
        <v>12</v>
      </c>
    </row>
    <row r="20" ht="30" customHeight="1">
      <c r="A20" s="40" t="inlineStr">
        <is>
          <t>F-03</t>
        </is>
      </c>
      <c r="B20" s="41" t="inlineStr">
        <is>
          <t>Покрытие страхового запаса</t>
        </is>
      </c>
      <c r="C20" s="44" t="inlineStr">
        <is>
          <t>Высокий</t>
        </is>
      </c>
      <c r="D20" s="49" t="n">
        <v>4</v>
      </c>
      <c r="E20" s="49" t="n">
        <v>2</v>
      </c>
      <c r="F20" s="49" t="n">
        <v>8</v>
      </c>
    </row>
    <row r="21" ht="30" customHeight="1">
      <c r="A21" s="34" t="inlineStr">
        <is>
          <t>F-05</t>
        </is>
      </c>
      <c r="B21" s="35" t="inlineStr">
        <is>
          <t>Разделение полномочий</t>
        </is>
      </c>
      <c r="C21" s="37" t="inlineStr">
        <is>
          <t>Средний</t>
        </is>
      </c>
      <c r="D21" s="46" t="n">
        <v>3</v>
      </c>
      <c r="E21" s="46" t="n">
        <v>2</v>
      </c>
      <c r="F21" s="46" t="n">
        <v>6</v>
      </c>
    </row>
    <row r="22" ht="30" customHeight="1">
      <c r="A22" s="40" t="inlineStr">
        <is>
          <t>F-07</t>
        </is>
      </c>
      <c r="B22" s="41" t="inlineStr">
        <is>
          <t>Пересчёт заработной платы водителей</t>
        </is>
      </c>
      <c r="C22" s="36" t="inlineStr">
        <is>
          <t>Низкий</t>
        </is>
      </c>
      <c r="D22" s="49" t="n">
        <v>2</v>
      </c>
      <c r="E22" s="49" t="n">
        <v>3</v>
      </c>
      <c r="F22" s="49" t="n">
        <v>6</v>
      </c>
    </row>
    <row r="23" ht="30" customHeight="1">
      <c r="A23" s="34" t="inlineStr">
        <is>
          <t>F-10</t>
        </is>
      </c>
      <c r="B23" s="35" t="inlineStr">
        <is>
          <t>Полнота учёта рейса</t>
        </is>
      </c>
      <c r="C23" s="36" t="inlineStr">
        <is>
          <t>Низкий</t>
        </is>
      </c>
      <c r="D23" s="46" t="n">
        <v>2</v>
      </c>
      <c r="E23" s="46" t="n">
        <v>2</v>
      </c>
      <c r="F23" s="46" t="n">
        <v>4</v>
      </c>
    </row>
    <row r="24" ht="30" customHeight="1">
      <c r="A24" s="40" t="inlineStr">
        <is>
          <t>F-11</t>
        </is>
      </c>
      <c r="B24" s="41" t="inlineStr">
        <is>
          <t>Хронология исполнения рейса</t>
        </is>
      </c>
      <c r="C24" s="36" t="inlineStr">
        <is>
          <t>Низкий</t>
        </is>
      </c>
      <c r="D24" s="49" t="n">
        <v>2</v>
      </c>
      <c r="E24" s="49" t="n">
        <v>2</v>
      </c>
      <c r="F24" s="49" t="n">
        <v>4</v>
      </c>
    </row>
    <row r="25" ht="30" customHeight="1">
      <c r="A25" s="34" t="inlineStr">
        <is>
          <t>F-06</t>
        </is>
      </c>
      <c r="B25" s="35" t="inlineStr">
        <is>
          <t>Непротиворечивость справочников</t>
        </is>
      </c>
      <c r="C25" s="37" t="inlineStr">
        <is>
          <t>Средний</t>
        </is>
      </c>
      <c r="D25" s="46" t="n">
        <v>3</v>
      </c>
      <c r="E25" s="46" t="n">
        <v>1</v>
      </c>
      <c r="F25" s="46" t="n">
        <v>3</v>
      </c>
    </row>
    <row r="26" ht="30" customHeight="1">
      <c r="A26" s="40" t="inlineStr">
        <is>
          <t>F-08</t>
        </is>
      </c>
      <c r="B26" s="41" t="inlineStr">
        <is>
          <t>Слив отсеками целиком</t>
        </is>
      </c>
      <c r="C26" s="36" t="inlineStr">
        <is>
          <t>Низкий</t>
        </is>
      </c>
      <c r="D26" s="49" t="n">
        <v>1</v>
      </c>
      <c r="E26" s="49" t="n">
        <v>2</v>
      </c>
      <c r="F26" s="49" t="n">
        <v>2</v>
      </c>
    </row>
    <row r="27" ht="30" customHeight="1">
      <c r="A27" s="34" t="inlineStr">
        <is>
          <t>F-09</t>
        </is>
      </c>
      <c r="B27" s="35" t="inlineStr">
        <is>
          <t>Контроль переполнения резервуара</t>
        </is>
      </c>
      <c r="C27" s="36" t="inlineStr">
        <is>
          <t>Низкий</t>
        </is>
      </c>
      <c r="D27" s="46" t="n">
        <v>1</v>
      </c>
      <c r="E27" s="46" t="n">
        <v>1</v>
      </c>
      <c r="F27" s="46" t="n">
        <v>1</v>
      </c>
    </row>
    <row r="28" ht="30" customHeight="1">
      <c r="A28" s="40" t="inlineStr">
        <is>
          <t>F-12</t>
        </is>
      </c>
      <c r="B28" s="41" t="inlineStr">
        <is>
          <t>Дублирование документов</t>
        </is>
      </c>
      <c r="C28" s="36" t="inlineStr">
        <is>
          <t>Низкий</t>
        </is>
      </c>
      <c r="D28" s="49" t="n">
        <v>1</v>
      </c>
      <c r="E28" s="49" t="n">
        <v>1</v>
      </c>
      <c r="F28" s="49" t="n">
        <v>1</v>
      </c>
    </row>
    <row r="30">
      <c r="A30" s="11" t="inlineStr">
        <is>
          <t>Шкала</t>
        </is>
      </c>
    </row>
    <row r="31" ht="24" customHeight="1">
      <c r="A31" s="12" t="inlineStr">
        <is>
          <t>•  Вероятность 5 — отклонения более чем в 10 % проверенных объектов; 4 — свыше 5 %; 3 — свыше 1 %; 2 — свыше 0,1 %; 1 — единичные.</t>
        </is>
      </c>
    </row>
    <row r="32" ht="24" customHeight="1">
      <c r="A32" s="12" t="inlineStr">
        <is>
          <t>•  Влияние 5 — денежная оценка от 50 000 лей; 4 — от 5 000; 3 — от 500; 2 — оценка ниже 500 лей либо более пяти случаев; 1 — единичный случай без денежной оценки.</t>
        </is>
      </c>
    </row>
    <row r="33" ht="14" customHeight="1">
      <c r="A33" s="12" t="inlineStr">
        <is>
          <t>•  Ранг = вероятность × влияние. Красная зона — устранять до перевода контура в промышленную эксплуатацию.</t>
        </is>
      </c>
    </row>
  </sheetData>
  <mergeCells count="9">
    <mergeCell ref="D12:H12"/>
    <mergeCell ref="A3:H3"/>
    <mergeCell ref="A30:H30"/>
    <mergeCell ref="A2:H2"/>
    <mergeCell ref="A33:H33"/>
    <mergeCell ref="B6:B10"/>
    <mergeCell ref="A14:H14"/>
    <mergeCell ref="A32:H32"/>
    <mergeCell ref="A31:H31"/>
  </mergeCells>
  <conditionalFormatting sqref="F17:F28">
    <cfRule type="colorScale" priority="1">
      <colorScale>
        <cfvo type="min"/>
        <cfvo type="max"/>
        <color rgb="00D8F0E5"/>
        <color rgb="00F8D8D5"/>
      </colorScale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J25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4" customWidth="1" min="3" max="3"/>
    <col width="46" customWidth="1" min="4" max="4"/>
    <col width="30" customWidth="1" min="5" max="5"/>
    <col width="13" customWidth="1" min="6" max="6"/>
    <col width="13" customWidth="1" min="7" max="7"/>
    <col width="12" customWidth="1" min="8" max="8"/>
    <col width="14" customWidth="1" min="9" max="9"/>
    <col width="16" customWidth="1" min="10" max="10"/>
  </cols>
  <sheetData>
    <row r="2" ht="34" customHeight="1">
      <c r="A2" s="13" t="inlineStr">
        <is>
          <t>Выполненные процедуры</t>
        </is>
      </c>
    </row>
    <row r="3" ht="20" customHeight="1">
      <c r="A3" s="14" t="inlineStr">
        <is>
          <t>Пересчёт выполнен отдельной реализацией формул, не использующей проверяемый код: совпадение результата не может быть следствием общей ошибки.</t>
        </is>
      </c>
    </row>
    <row r="5" ht="30" customHeight="1">
      <c r="A5" s="33" t="inlineStr">
        <is>
          <t>Код</t>
        </is>
      </c>
      <c r="B5" s="33" t="inlineStr">
        <is>
          <t>Процедура</t>
        </is>
      </c>
      <c r="C5" s="33" t="inlineStr">
        <is>
          <t>Что должно выполняться</t>
        </is>
      </c>
      <c r="D5" s="33" t="inlineStr">
        <is>
          <t>Как проверено</t>
        </is>
      </c>
      <c r="E5" s="33" t="inlineStr">
        <is>
          <t>Охват</t>
        </is>
      </c>
      <c r="F5" s="33" t="inlineStr">
        <is>
          <t>Проверено</t>
        </is>
      </c>
      <c r="G5" s="33" t="inlineStr">
        <is>
          <t>Отклонений</t>
        </is>
      </c>
      <c r="H5" s="33" t="inlineStr">
        <is>
          <t>Доля</t>
        </is>
      </c>
      <c r="I5" s="33" t="inlineStr">
        <is>
          <t>Оценка, лей</t>
        </is>
      </c>
      <c r="J5" s="33" t="inlineStr">
        <is>
          <t>Результат</t>
        </is>
      </c>
    </row>
    <row r="6" ht="64" customHeight="1">
      <c r="A6" s="34" t="inlineStr">
        <is>
          <t>T-01</t>
        </is>
      </c>
      <c r="B6" s="35" t="inlineStr">
        <is>
          <t>Пересчёт заработной платы водителей</t>
        </is>
      </c>
      <c r="C6" s="35" t="inlineStr">
        <is>
          <t>Начисление соответствует нормативному пробегу и ставке, действовавшей на дату рейса.</t>
        </is>
      </c>
      <c r="D6" s="35" t="inlineStr">
        <is>
          <t>Пересчёт: норм. км × ставка(дата рейса) + доплата за внутренний рейс. Сравнение с начислением в системе, допуск 0,01 лея.</t>
        </is>
      </c>
      <c r="E6" s="35" t="inlineStr">
        <is>
          <t>100 % рейсов периода со статусом не «черновик»</t>
        </is>
      </c>
      <c r="F6" s="38" t="n">
        <v>3515</v>
      </c>
      <c r="G6" s="38" t="n">
        <v>18</v>
      </c>
      <c r="H6" s="45" t="n">
        <v>0.0051</v>
      </c>
      <c r="I6" s="39" t="n">
        <v>2622.71</v>
      </c>
      <c r="J6" s="44" t="inlineStr">
        <is>
          <t>Отклонения</t>
        </is>
      </c>
    </row>
    <row r="7" ht="64" customHeight="1">
      <c r="A7" s="40" t="inlineStr">
        <is>
          <t>T-02</t>
        </is>
      </c>
      <c r="B7" s="41" t="inlineStr">
        <is>
          <t>Целостность периодов действия ставки</t>
        </is>
      </c>
      <c r="C7" s="41" t="inlineStr">
        <is>
          <t>На любую дату действует ровно одна ставка; изменение ставки не меняет уже начисленное за прошлый период.</t>
        </is>
      </c>
      <c r="D7" s="41" t="inlineStr">
        <is>
          <t>Сортировка периодов по дате начала, проверка смежности: предыдущий закрыт строго до начала следующего.</t>
        </is>
      </c>
      <c r="E7" s="41" t="inlineStr">
        <is>
          <t>100 % периодов действия ставки</t>
        </is>
      </c>
      <c r="F7" s="42" t="n">
        <v>1</v>
      </c>
      <c r="G7" s="42" t="n">
        <v>0</v>
      </c>
      <c r="H7" s="48" t="n">
        <v>0</v>
      </c>
      <c r="I7" s="43" t="n">
        <v>0</v>
      </c>
      <c r="J7" s="36" t="inlineStr">
        <is>
          <t>Без отклонений</t>
        </is>
      </c>
    </row>
    <row r="8" ht="64" customHeight="1">
      <c r="A8" s="34" t="inlineStr">
        <is>
          <t>T-03</t>
        </is>
      </c>
      <c r="B8" s="35" t="inlineStr">
        <is>
          <t>Слив отсеками целиком</t>
        </is>
      </c>
      <c r="C8" s="35" t="inlineStr">
        <is>
          <t>Отсек бензовоза сливается на АЗС полностью: частичный слив ТЗ запрещает (нет поверенного средства измерения остатка в отсеке).</t>
        </is>
      </c>
      <c r="D8" s="35" t="inlineStr">
        <is>
          <t>Сверка планового объёма каждой позиции с паспортным объёмом назначенного отсека, допуск 0,5 л.</t>
        </is>
      </c>
      <c r="E8" s="35" t="inlineStr">
        <is>
          <t>100 % позиций рейсов с назначенным отсеком</t>
        </is>
      </c>
      <c r="F8" s="38" t="n">
        <v>10576</v>
      </c>
      <c r="G8" s="38" t="n">
        <v>10</v>
      </c>
      <c r="H8" s="45" t="n">
        <v>0.0009</v>
      </c>
      <c r="I8" s="39" t="n">
        <v>0</v>
      </c>
      <c r="J8" s="44" t="inlineStr">
        <is>
          <t>Отклонения</t>
        </is>
      </c>
    </row>
    <row r="9" ht="64" customHeight="1">
      <c r="A9" s="40" t="inlineStr">
        <is>
          <t>T-04</t>
        </is>
      </c>
      <c r="B9" s="41" t="inlineStr">
        <is>
          <t>Контроль переполнения резервуара</t>
        </is>
      </c>
      <c r="C9" s="41" t="inlineStr">
        <is>
          <t>Приёмка не может превысить допустимый налив резервуара, а для ещё не выполненной поставки — свободную ёмкость на сегодня.</t>
        </is>
      </c>
      <c r="D9" s="41" t="inlineStr">
        <is>
          <t>Для запланированных поставок: приёмка против (допустимый налив − остаток). Для исполненных: приёмка против допустимого налива (состояние резервуара на дату слива контур не хранит). Допуск 0,5 л.</t>
        </is>
      </c>
      <c r="E9" s="41" t="inlineStr">
        <is>
          <t>100 % позиций с зафиксированным объёмом</t>
        </is>
      </c>
      <c r="F9" s="42" t="n">
        <v>10576</v>
      </c>
      <c r="G9" s="42" t="n">
        <v>5</v>
      </c>
      <c r="H9" s="48" t="n">
        <v>0.0005</v>
      </c>
      <c r="I9" s="43" t="n">
        <v>0</v>
      </c>
      <c r="J9" s="44" t="inlineStr">
        <is>
          <t>Отклонения</t>
        </is>
      </c>
    </row>
    <row r="10" ht="64" customHeight="1">
      <c r="A10" s="34" t="inlineStr">
        <is>
          <t>T-05</t>
        </is>
      </c>
      <c r="B10" s="35" t="inlineStr">
        <is>
          <t>Сверка отгрузки и приёмки</t>
        </is>
      </c>
      <c r="C10" s="35" t="inlineStr">
        <is>
          <t>Расхождение между налитым на нефтебазе и принятым на АЗС не превышает технологического допуска.</t>
        </is>
      </c>
      <c r="D10" s="35" t="inlineStr">
        <is>
          <t>Разница «загружено − принято» по каждой позиции против допуска 50 л; денежная оценка по цене ДТ.</t>
        </is>
      </c>
      <c r="E10" s="35" t="inlineStr">
        <is>
          <t>100 % позиций с зафиксированными отгрузкой и приёмкой</t>
        </is>
      </c>
      <c r="F10" s="38" t="n">
        <v>10576</v>
      </c>
      <c r="G10" s="38" t="n">
        <v>197</v>
      </c>
      <c r="H10" s="45" t="n">
        <v>0.0186</v>
      </c>
      <c r="I10" s="39" t="n">
        <v>1132934.4</v>
      </c>
      <c r="J10" s="44" t="inlineStr">
        <is>
          <t>Отклонения</t>
        </is>
      </c>
    </row>
    <row r="11" ht="64" customHeight="1">
      <c r="A11" s="40" t="inlineStr">
        <is>
          <t>T-06</t>
        </is>
      </c>
      <c r="B11" s="41" t="inlineStr">
        <is>
          <t>Необоснованный пробег</t>
        </is>
      </c>
      <c r="C11" s="41" t="inlineStr">
        <is>
          <t>Фактический пробег не превышает нормативный более чем на 5 %.</t>
        </is>
      </c>
      <c r="D11" s="41" t="inlineStr">
        <is>
          <t>Расчёт отклонения по каждому рейсу с фактом GPS; денежная оценка лишних километров по действующей ставке.</t>
        </is>
      </c>
      <c r="E11" s="41" t="inlineStr">
        <is>
          <t>100 % рейсов с зафиксированным фактическим пробегом</t>
        </is>
      </c>
      <c r="F11" s="42" t="n">
        <v>3534</v>
      </c>
      <c r="G11" s="42" t="n">
        <v>151</v>
      </c>
      <c r="H11" s="48" t="n">
        <v>0.04269999999999999</v>
      </c>
      <c r="I11" s="43" t="n">
        <v>30259.6</v>
      </c>
      <c r="J11" s="44" t="inlineStr">
        <is>
          <t>Отклонения</t>
        </is>
      </c>
    </row>
    <row r="12" ht="64" customHeight="1">
      <c r="A12" s="34" t="inlineStr">
        <is>
          <t>T-07</t>
        </is>
      </c>
      <c r="B12" s="35" t="inlineStr">
        <is>
          <t>Перерасход топлива бензовозом</t>
        </is>
      </c>
      <c r="C12" s="35" t="inlineStr">
        <is>
          <t>Фактический расход ДТ не превышает норму автомобиля более чем на 5 %.</t>
        </is>
      </c>
      <c r="D12" s="35" t="inlineStr">
        <is>
          <t>Норма рейса = норм. км × норма л/100 км автомобиля; сравнение с фактической заправкой, денежная оценка по цене ДТ.</t>
        </is>
      </c>
      <c r="E12" s="35" t="inlineStr">
        <is>
          <t>100 % рейсов с зафиксированной заправкой</t>
        </is>
      </c>
      <c r="F12" s="38" t="n">
        <v>3534</v>
      </c>
      <c r="G12" s="38" t="n">
        <v>96</v>
      </c>
      <c r="H12" s="45" t="n">
        <v>0.0272</v>
      </c>
      <c r="I12" s="39" t="n">
        <v>53994.44</v>
      </c>
      <c r="J12" s="44" t="inlineStr">
        <is>
          <t>Отклонения</t>
        </is>
      </c>
    </row>
    <row r="13" ht="64" customHeight="1">
      <c r="A13" s="40" t="inlineStr">
        <is>
          <t>T-08</t>
        </is>
      </c>
      <c r="B13" s="41" t="inlineStr">
        <is>
          <t>Полнота учёта рейса</t>
        </is>
      </c>
      <c r="C13" s="41" t="inlineStr">
        <is>
          <t>Утверждённый рейс содержит груз, нормативный пробег и начисление — иначе он не может быть основанием ни для зарплаты, ни для списания топлива.</t>
        </is>
      </c>
      <c r="D13" s="41" t="inlineStr">
        <is>
          <t>Проверка наличия связанных записей у каждого рейса не в статусе «черновик».</t>
        </is>
      </c>
      <c r="E13" s="41" t="inlineStr">
        <is>
          <t>100 % рейсов периода со статусом не «черновик»</t>
        </is>
      </c>
      <c r="F13" s="42" t="n">
        <v>3534</v>
      </c>
      <c r="G13" s="42" t="n">
        <v>19</v>
      </c>
      <c r="H13" s="48" t="n">
        <v>0.0054</v>
      </c>
      <c r="I13" s="43" t="n">
        <v>0</v>
      </c>
      <c r="J13" s="44" t="inlineStr">
        <is>
          <t>Отклонения</t>
        </is>
      </c>
    </row>
    <row r="14" ht="64" customHeight="1">
      <c r="A14" s="34" t="inlineStr">
        <is>
          <t>T-09</t>
        </is>
      </c>
      <c r="B14" s="35" t="inlineStr">
        <is>
          <t>Хронология исполнения рейса</t>
        </is>
      </c>
      <c r="C14" s="35" t="inlineStr">
        <is>
          <t>Статусы меняются строго по цепочке: заявка → загрузка → в пути → доставлено → утверждено. Пропуск стадии означает, что документ оформлен задним числом.</t>
        </is>
      </c>
      <c r="D14" s="35" t="inlineStr">
        <is>
          <t>Проверка последовательности записей журнала статусов каждого рейса против эталонной цепочки.</t>
        </is>
      </c>
      <c r="E14" s="35" t="inlineStr">
        <is>
          <t>100 % рейсов с журналом статусов</t>
        </is>
      </c>
      <c r="F14" s="38" t="n">
        <v>3534</v>
      </c>
      <c r="G14" s="38" t="n">
        <v>35</v>
      </c>
      <c r="H14" s="45" t="n">
        <v>0.009899999999999999</v>
      </c>
      <c r="I14" s="39" t="n">
        <v>0</v>
      </c>
      <c r="J14" s="44" t="inlineStr">
        <is>
          <t>Отклонения</t>
        </is>
      </c>
    </row>
    <row r="15" ht="64" customHeight="1">
      <c r="A15" s="40" t="inlineStr">
        <is>
          <t>T-10</t>
        </is>
      </c>
      <c r="B15" s="41" t="inlineStr">
        <is>
          <t>Разделение полномочий</t>
        </is>
      </c>
      <c r="C15" s="41" t="inlineStr">
        <is>
          <t>Создание рейса и его утверждение выполняют разные сотрудники: утверждённый рейс — основание для начисления зарплаты.</t>
        </is>
      </c>
      <c r="D15" s="41" t="inlineStr">
        <is>
          <t>Сравнение автора и утвердившего по каждому утверждённому рейсу.</t>
        </is>
      </c>
      <c r="E15" s="41" t="inlineStr">
        <is>
          <t>100 % утверждённых рейсов с заполненными автором и утвердившим</t>
        </is>
      </c>
      <c r="F15" s="42" t="n">
        <v>3534</v>
      </c>
      <c r="G15" s="42" t="n">
        <v>74</v>
      </c>
      <c r="H15" s="48" t="n">
        <v>0.0209</v>
      </c>
      <c r="I15" s="43" t="n">
        <v>0</v>
      </c>
      <c r="J15" s="44" t="inlineStr">
        <is>
          <t>Отклонения</t>
        </is>
      </c>
    </row>
    <row r="16" ht="64" customHeight="1">
      <c r="A16" s="34" t="inlineStr">
        <is>
          <t>T-11</t>
        </is>
      </c>
      <c r="B16" s="35" t="inlineStr">
        <is>
          <t>Дублирование документов</t>
        </is>
      </c>
      <c r="C16" s="35" t="inlineStr">
        <is>
          <t>Один и тот же рейс не может быть учтён дважды — ни через второй путевой лист, ни через полностью повторённый документ.</t>
        </is>
      </c>
      <c r="D16" s="35" t="inlineStr">
        <is>
          <t>Поиск повторов по номеру путевого листа и по полному совпадению реквизитов (бензовоз, дата, водитель, нормативный пробег) по всей популяции рейсов. Два разных рейса одной машины за день отклонением не считаются.</t>
        </is>
      </c>
      <c r="E16" s="35" t="inlineStr">
        <is>
          <t>100 % рейсов периода со статусом не «черновик»</t>
        </is>
      </c>
      <c r="F16" s="38" t="n">
        <v>3534</v>
      </c>
      <c r="G16" s="38" t="n">
        <v>3</v>
      </c>
      <c r="H16" s="45" t="n">
        <v>0.0008</v>
      </c>
      <c r="I16" s="39" t="n">
        <v>0</v>
      </c>
      <c r="J16" s="44" t="inlineStr">
        <is>
          <t>Отклонения</t>
        </is>
      </c>
    </row>
    <row r="17" ht="64" customHeight="1">
      <c r="A17" s="40" t="inlineStr">
        <is>
          <t>T-12</t>
        </is>
      </c>
      <c r="B17" s="41" t="inlineStr">
        <is>
          <t>Непротиворечивость справочников</t>
        </is>
      </c>
      <c r="C17" s="41" t="inlineStr">
        <is>
          <t>Паспортные величины резервуаров и бензовозов не противоречат друг другу: на них опираются все последующие расчёты.</t>
        </is>
      </c>
      <c r="D17" s="41" t="inlineStr">
        <is>
          <t>Проверка неравенств: налив ≤ ёмкость, страховой запас ≤ налив, остаток ≤ ёмкость, сумма отсеков = ёмкость цистерны.</t>
        </is>
      </c>
      <c r="E17" s="41" t="inlineStr">
        <is>
          <t>100 % резервуаров и бензовозов</t>
        </is>
      </c>
      <c r="F17" s="42" t="n">
        <v>91</v>
      </c>
      <c r="G17" s="42" t="n">
        <v>2</v>
      </c>
      <c r="H17" s="48" t="n">
        <v>0.022</v>
      </c>
      <c r="I17" s="43" t="n">
        <v>0</v>
      </c>
      <c r="J17" s="44" t="inlineStr">
        <is>
          <t>Отклонения</t>
        </is>
      </c>
    </row>
    <row r="18" ht="64" customHeight="1">
      <c r="A18" s="34" t="inlineStr">
        <is>
          <t>T-13</t>
        </is>
      </c>
      <c r="B18" s="35" t="inlineStr">
        <is>
          <t>Покрытие страхового запаса</t>
        </is>
      </c>
      <c r="C18" s="35" t="inlineStr">
        <is>
          <t>Резервуар с остатком ниже страхового запаса включён в план завоза: иначе АЗС останавливает продажу.</t>
        </is>
      </c>
      <c r="D18" s="35" t="inlineStr">
        <is>
          <t>Сопоставление резервуаров ниже страхового запаса с позициями запланированных рейсов.</t>
        </is>
      </c>
      <c r="E18" s="35" t="inlineStr">
        <is>
          <t>100 % резервуаров сети</t>
        </is>
      </c>
      <c r="F18" s="38" t="n">
        <v>77</v>
      </c>
      <c r="G18" s="38" t="n">
        <v>6</v>
      </c>
      <c r="H18" s="45" t="n">
        <v>0.0779</v>
      </c>
      <c r="I18" s="39" t="n">
        <v>0</v>
      </c>
      <c r="J18" s="44" t="inlineStr">
        <is>
          <t>Отклонения</t>
        </is>
      </c>
    </row>
    <row r="20">
      <c r="A20" s="11" t="inlineStr">
        <is>
          <t>Методика</t>
        </is>
      </c>
    </row>
    <row r="21" ht="24" customHeight="1">
      <c r="A21" s="12" t="inlineStr">
        <is>
          <t>1. Тестирование полной популяции (data &amp; analytics): каждый документ периода пересчитан независимо, выборочный метод применён только там, где контроль не отражён в данных.</t>
        </is>
      </c>
    </row>
    <row r="22" ht="24" customHeight="1">
      <c r="A22" s="12" t="inlineStr">
        <is>
          <t>2. Пересчёт выполнен отдельной реализацией формул (modules/autopark/audit.py), не использующей проверяемый код расчёта, — совпадение результата не может быть следствием общей ошибки.</t>
        </is>
      </c>
    </row>
    <row r="23" ht="24" customHeight="1">
      <c r="A23" s="12" t="inlineStr">
        <is>
          <t>3. Оценка контроля даётся по двум измерениям: дизайн (предотвращает ли правило ошибку в принципе) и операционная эффективность (срабатывало ли оно на данных периода).</t>
        </is>
      </c>
    </row>
    <row r="24" ht="24" customHeight="1">
      <c r="A24" s="12" t="inlineStr">
        <is>
          <t>4. Контроль с дефектом дизайна не получает оценку выше «требует улучшения», даже если отклонений в периоде не обнаружено.</t>
        </is>
      </c>
    </row>
    <row r="25" ht="14" customHeight="1">
      <c r="A25" s="12" t="inlineStr">
        <is>
          <t>5. Значимость находки определяется долей отклонений и денежной оценкой, а не экспертным суждением.</t>
        </is>
      </c>
    </row>
  </sheetData>
  <mergeCells count="8">
    <mergeCell ref="A23:J23"/>
    <mergeCell ref="A22:J22"/>
    <mergeCell ref="A3:J3"/>
    <mergeCell ref="A21:J21"/>
    <mergeCell ref="A20:J20"/>
    <mergeCell ref="A24:J24"/>
    <mergeCell ref="A2:J2"/>
    <mergeCell ref="A25:J25"/>
  </mergeCells>
  <conditionalFormatting sqref="G6:G18">
    <cfRule type="dataBar" priority="1">
      <dataBar showValue="1">
        <cfvo type="num" val="0"/>
        <cfvo type="max"/>
        <color rgb="00A8261E"/>
      </dataBar>
    </cfRule>
  </conditionalFormatting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J666"/>
  <sheetViews>
    <sheetView showGridLines="0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34" customHeight="1">
      <c r="A2" s="13" t="inlineStr">
        <is>
          <t>Расшифровка отклонений</t>
        </is>
      </c>
    </row>
    <row r="3" ht="20" customHeight="1">
      <c r="A3" s="14" t="inlineStr">
        <is>
          <t>Каждый выявленный случай с реквизитами документа — чтобы находку можно было проверить, а не принять на веру.</t>
        </is>
      </c>
    </row>
    <row r="5" ht="22" customHeight="1">
      <c r="A5" s="55" t="inlineStr">
        <is>
          <t>T-01 · Пересчёт заработной платы водителей · отклонений: 18 из 3515 проверенных</t>
        </is>
      </c>
    </row>
    <row r="6" ht="30" customHeight="1">
      <c r="A6" s="33" t="inlineStr">
        <is>
          <t>Рейс</t>
        </is>
      </c>
      <c r="B6" s="33" t="inlineStr">
        <is>
          <t>Дата</t>
        </is>
      </c>
      <c r="C6" s="33" t="inlineStr">
        <is>
          <t>Водитель</t>
        </is>
      </c>
      <c r="D6" s="33" t="inlineStr">
        <is>
          <t>Тип</t>
        </is>
      </c>
      <c r="E6" s="33" t="inlineStr">
        <is>
          <t>Норм. км</t>
        </is>
      </c>
      <c r="F6" s="33" t="inlineStr">
        <is>
          <t>Ставка</t>
        </is>
      </c>
      <c r="G6" s="33" t="inlineStr">
        <is>
          <t>Пересчёт аудитора, лей</t>
        </is>
      </c>
      <c r="H6" s="33" t="inlineStr">
        <is>
          <t>В системе, лей</t>
        </is>
      </c>
      <c r="I6" s="33" t="inlineStr">
        <is>
          <t>Расхождение, лей</t>
        </is>
      </c>
    </row>
    <row r="7">
      <c r="A7" s="46" t="n">
        <v>62</v>
      </c>
      <c r="B7" s="34" t="inlineStr">
        <is>
          <t>2025-09-06</t>
        </is>
      </c>
      <c r="C7" s="34" t="inlineStr">
        <is>
          <t>Rusu Victor</t>
        </is>
      </c>
      <c r="D7" s="34" t="inlineStr">
        <is>
          <t>DOMESTIC</t>
        </is>
      </c>
      <c r="E7" s="46" t="n">
        <v>189.3</v>
      </c>
      <c r="F7" s="46" t="n">
        <v>2.75</v>
      </c>
      <c r="G7" s="46" t="n">
        <v>1120.58</v>
      </c>
      <c r="H7" s="46" t="n">
        <v>1267.83</v>
      </c>
      <c r="I7" s="46" t="n">
        <v>147.25</v>
      </c>
    </row>
    <row r="8">
      <c r="A8" s="49" t="n">
        <v>108</v>
      </c>
      <c r="B8" s="40" t="inlineStr">
        <is>
          <t>2025-09-12</t>
        </is>
      </c>
      <c r="C8" s="40" t="inlineStr">
        <is>
          <t>Sirbu Dumitru</t>
        </is>
      </c>
      <c r="D8" s="40" t="inlineStr">
        <is>
          <t>DOMESTIC</t>
        </is>
      </c>
      <c r="E8" s="49" t="n">
        <v>258.7</v>
      </c>
      <c r="F8" s="49" t="n">
        <v>2.75</v>
      </c>
      <c r="G8" s="49" t="n">
        <v>1311.42</v>
      </c>
      <c r="H8" s="49" t="n">
        <v>1495.97</v>
      </c>
      <c r="I8" s="49" t="n">
        <v>184.55</v>
      </c>
    </row>
    <row r="9">
      <c r="A9" s="46" t="n">
        <v>133</v>
      </c>
      <c r="B9" s="34" t="inlineStr">
        <is>
          <t>2025-09-16</t>
        </is>
      </c>
      <c r="C9" s="34" t="inlineStr">
        <is>
          <t>Rotaru Igor</t>
        </is>
      </c>
      <c r="D9" s="34" t="inlineStr">
        <is>
          <t>DOMESTIC</t>
        </is>
      </c>
      <c r="E9" s="46" t="n">
        <v>296.7</v>
      </c>
      <c r="F9" s="46" t="n">
        <v>2.75</v>
      </c>
      <c r="G9" s="46" t="n">
        <v>1415.92</v>
      </c>
      <c r="H9" s="46" t="n">
        <v>1520.98</v>
      </c>
      <c r="I9" s="46" t="n">
        <v>105.06</v>
      </c>
    </row>
    <row r="10">
      <c r="A10" s="49" t="n">
        <v>397</v>
      </c>
      <c r="B10" s="40" t="inlineStr">
        <is>
          <t>2025-10-15</t>
        </is>
      </c>
      <c r="C10" s="40" t="inlineStr">
        <is>
          <t>Cazacu Petru</t>
        </is>
      </c>
      <c r="D10" s="40" t="inlineStr">
        <is>
          <t>DOMESTIC</t>
        </is>
      </c>
      <c r="E10" s="49" t="n">
        <v>210.5</v>
      </c>
      <c r="F10" s="49" t="n">
        <v>2.75</v>
      </c>
      <c r="G10" s="49" t="n">
        <v>1178.88</v>
      </c>
      <c r="H10" s="49" t="n">
        <v>1251.18</v>
      </c>
      <c r="I10" s="49" t="n">
        <v>72.31</v>
      </c>
    </row>
    <row r="11">
      <c r="A11" s="46" t="n">
        <v>516</v>
      </c>
      <c r="B11" s="34" t="inlineStr">
        <is>
          <t>2025-10-29</t>
        </is>
      </c>
      <c r="C11" s="34" t="inlineStr">
        <is>
          <t>Rotaru Dumitru</t>
        </is>
      </c>
      <c r="D11" s="34" t="inlineStr">
        <is>
          <t>DOMESTIC</t>
        </is>
      </c>
      <c r="E11" s="46" t="n">
        <v>291.4</v>
      </c>
      <c r="F11" s="46" t="n">
        <v>2.75</v>
      </c>
      <c r="G11" s="46" t="n">
        <v>1401.35</v>
      </c>
      <c r="H11" s="46" t="n">
        <v>1513.41</v>
      </c>
      <c r="I11" s="46" t="n">
        <v>112.06</v>
      </c>
    </row>
    <row r="12">
      <c r="A12" s="49" t="n">
        <v>723</v>
      </c>
      <c r="B12" s="40" t="inlineStr">
        <is>
          <t>2025-11-24</t>
        </is>
      </c>
      <c r="C12" s="40" t="inlineStr">
        <is>
          <t>Cazacu Mihai</t>
        </is>
      </c>
      <c r="D12" s="40" t="inlineStr">
        <is>
          <t>DOMESTIC</t>
        </is>
      </c>
      <c r="E12" s="49" t="n">
        <v>309</v>
      </c>
      <c r="F12" s="49" t="n">
        <v>2.75</v>
      </c>
      <c r="G12" s="49" t="n">
        <v>1449.75</v>
      </c>
      <c r="H12" s="49" t="n">
        <v>1538.33</v>
      </c>
      <c r="I12" s="49" t="n">
        <v>88.58</v>
      </c>
    </row>
    <row r="13">
      <c r="A13" s="46" t="n">
        <v>990</v>
      </c>
      <c r="B13" s="34" t="inlineStr">
        <is>
          <t>2025-12-22</t>
        </is>
      </c>
      <c r="C13" s="34" t="inlineStr">
        <is>
          <t>Grosu Petru</t>
        </is>
      </c>
      <c r="D13" s="34" t="inlineStr">
        <is>
          <t>IMPORT</t>
        </is>
      </c>
      <c r="E13" s="46" t="n">
        <v>977</v>
      </c>
      <c r="F13" s="46" t="n">
        <v>2.75</v>
      </c>
      <c r="G13" s="46" t="n">
        <v>2686.75</v>
      </c>
      <c r="H13" s="46" t="n">
        <v>2934.15</v>
      </c>
      <c r="I13" s="46" t="n">
        <v>247.4</v>
      </c>
    </row>
    <row r="14">
      <c r="A14" s="49" t="n">
        <v>1563</v>
      </c>
      <c r="B14" s="40" t="inlineStr">
        <is>
          <t>2026-02-23</t>
        </is>
      </c>
      <c r="C14" s="40" t="inlineStr">
        <is>
          <t>Rusu Petru</t>
        </is>
      </c>
      <c r="D14" s="40" t="inlineStr">
        <is>
          <t>DOMESTIC</t>
        </is>
      </c>
      <c r="E14" s="49" t="n">
        <v>293.5</v>
      </c>
      <c r="F14" s="49" t="n">
        <v>2.75</v>
      </c>
      <c r="G14" s="49" t="n">
        <v>1407.12</v>
      </c>
      <c r="H14" s="49" t="n">
        <v>1550.23</v>
      </c>
      <c r="I14" s="49" t="n">
        <v>143.11</v>
      </c>
    </row>
    <row r="15">
      <c r="A15" s="46" t="n">
        <v>1756</v>
      </c>
      <c r="B15" s="34" t="inlineStr">
        <is>
          <t>2026-03-17</t>
        </is>
      </c>
      <c r="C15" s="34" t="inlineStr">
        <is>
          <t>Grosu Petru</t>
        </is>
      </c>
      <c r="D15" s="34" t="inlineStr">
        <is>
          <t>DOMESTIC</t>
        </is>
      </c>
      <c r="E15" s="46" t="n">
        <v>399.7</v>
      </c>
      <c r="F15" s="46" t="n">
        <v>2.75</v>
      </c>
      <c r="G15" s="46" t="n">
        <v>1699.17</v>
      </c>
      <c r="H15" s="46" t="n">
        <v>1993.45</v>
      </c>
      <c r="I15" s="46" t="n">
        <v>294.28</v>
      </c>
    </row>
    <row r="16">
      <c r="A16" s="49" t="n">
        <v>1895</v>
      </c>
      <c r="B16" s="40" t="inlineStr">
        <is>
          <t>2026-03-31</t>
        </is>
      </c>
      <c r="C16" s="40" t="inlineStr">
        <is>
          <t>Popa Mihai</t>
        </is>
      </c>
      <c r="D16" s="40" t="inlineStr">
        <is>
          <t>DOMESTIC</t>
        </is>
      </c>
      <c r="E16" s="49" t="n">
        <v>194.6</v>
      </c>
      <c r="F16" s="49" t="n">
        <v>2.75</v>
      </c>
      <c r="G16" s="49" t="n">
        <v>1135.15</v>
      </c>
      <c r="H16" s="49" t="n">
        <v>1219.5</v>
      </c>
      <c r="I16" s="49" t="n">
        <v>84.34999999999999</v>
      </c>
    </row>
    <row r="17">
      <c r="A17" s="46" t="n">
        <v>2002</v>
      </c>
      <c r="B17" s="34" t="inlineStr">
        <is>
          <t>2026-04-11</t>
        </is>
      </c>
      <c r="C17" s="34" t="inlineStr">
        <is>
          <t>Cebotari Andrei</t>
        </is>
      </c>
      <c r="D17" s="34" t="inlineStr">
        <is>
          <t>DOMESTIC</t>
        </is>
      </c>
      <c r="E17" s="46" t="n">
        <v>446.8</v>
      </c>
      <c r="F17" s="46" t="n">
        <v>2.75</v>
      </c>
      <c r="G17" s="46" t="n">
        <v>1828.7</v>
      </c>
      <c r="H17" s="46" t="n">
        <v>1906.43</v>
      </c>
      <c r="I17" s="46" t="n">
        <v>77.73</v>
      </c>
    </row>
    <row r="18">
      <c r="A18" s="49" t="n">
        <v>2433</v>
      </c>
      <c r="B18" s="40" t="inlineStr">
        <is>
          <t>2026-05-29</t>
        </is>
      </c>
      <c r="C18" s="40" t="inlineStr">
        <is>
          <t>Bejan Mihai</t>
        </is>
      </c>
      <c r="D18" s="40" t="inlineStr">
        <is>
          <t>DOMESTIC</t>
        </is>
      </c>
      <c r="E18" s="49" t="n">
        <v>232.7</v>
      </c>
      <c r="F18" s="49" t="n">
        <v>2.75</v>
      </c>
      <c r="G18" s="49" t="n">
        <v>1239.92</v>
      </c>
      <c r="H18" s="49" t="n">
        <v>1279.92</v>
      </c>
      <c r="I18" s="49" t="n">
        <v>40</v>
      </c>
    </row>
    <row r="19">
      <c r="A19" s="46" t="n">
        <v>2610</v>
      </c>
      <c r="B19" s="34" t="inlineStr">
        <is>
          <t>2026-06-19</t>
        </is>
      </c>
      <c r="C19" s="34" t="inlineStr">
        <is>
          <t>Negru Alexandru</t>
        </is>
      </c>
      <c r="D19" s="34" t="inlineStr">
        <is>
          <t>DOMESTIC</t>
        </is>
      </c>
      <c r="E19" s="46" t="n">
        <v>448.8</v>
      </c>
      <c r="F19" s="46" t="n">
        <v>2.75</v>
      </c>
      <c r="G19" s="46" t="n">
        <v>1834.2</v>
      </c>
      <c r="H19" s="46" t="n">
        <v>2157.88</v>
      </c>
      <c r="I19" s="46" t="n">
        <v>323.68</v>
      </c>
    </row>
    <row r="20">
      <c r="A20" s="49" t="n">
        <v>2669</v>
      </c>
      <c r="B20" s="40" t="inlineStr">
        <is>
          <t>2026-06-26</t>
        </is>
      </c>
      <c r="C20" s="40" t="inlineStr">
        <is>
          <t>Rotaru Dumitru</t>
        </is>
      </c>
      <c r="D20" s="40" t="inlineStr">
        <is>
          <t>DOMESTIC</t>
        </is>
      </c>
      <c r="E20" s="49" t="n">
        <v>463.9</v>
      </c>
      <c r="F20" s="49" t="n">
        <v>2.75</v>
      </c>
      <c r="G20" s="49" t="n">
        <v>1875.72</v>
      </c>
      <c r="H20" s="49" t="n">
        <v>2143.26</v>
      </c>
      <c r="I20" s="49" t="n">
        <v>267.54</v>
      </c>
    </row>
    <row r="21">
      <c r="A21" s="46" t="n">
        <v>3134</v>
      </c>
      <c r="B21" s="34" t="inlineStr">
        <is>
          <t>2026-08-17</t>
        </is>
      </c>
      <c r="C21" s="34" t="inlineStr">
        <is>
          <t>Bejan Mihai</t>
        </is>
      </c>
      <c r="D21" s="34" t="inlineStr">
        <is>
          <t>DOMESTIC</t>
        </is>
      </c>
      <c r="E21" s="46" t="n">
        <v>147.6</v>
      </c>
      <c r="F21" s="46" t="n">
        <v>2.75</v>
      </c>
      <c r="G21" s="46" t="n">
        <v>1005.9</v>
      </c>
      <c r="H21" s="46" t="n">
        <v>1068.29</v>
      </c>
      <c r="I21" s="46" t="n">
        <v>62.39</v>
      </c>
    </row>
    <row r="22">
      <c r="A22" s="49" t="n">
        <v>3230</v>
      </c>
      <c r="B22" s="40" t="inlineStr">
        <is>
          <t>2026-08-27</t>
        </is>
      </c>
      <c r="C22" s="40" t="inlineStr">
        <is>
          <t>Cazacu Mihai</t>
        </is>
      </c>
      <c r="D22" s="40" t="inlineStr">
        <is>
          <t>DOMESTIC</t>
        </is>
      </c>
      <c r="E22" s="49" t="n">
        <v>281.9</v>
      </c>
      <c r="F22" s="49" t="n">
        <v>2.75</v>
      </c>
      <c r="G22" s="49" t="n">
        <v>1375.22</v>
      </c>
      <c r="H22" s="49" t="n">
        <v>1443.83</v>
      </c>
      <c r="I22" s="49" t="n">
        <v>68.61</v>
      </c>
    </row>
    <row r="23">
      <c r="A23" s="46" t="n">
        <v>3255</v>
      </c>
      <c r="B23" s="34" t="inlineStr">
        <is>
          <t>2026-08-29</t>
        </is>
      </c>
      <c r="C23" s="34" t="inlineStr">
        <is>
          <t>Stratan Dumitru</t>
        </is>
      </c>
      <c r="D23" s="34" t="inlineStr">
        <is>
          <t>DOMESTIC</t>
        </is>
      </c>
      <c r="E23" s="46" t="n">
        <v>222.9</v>
      </c>
      <c r="F23" s="46" t="n">
        <v>2.75</v>
      </c>
      <c r="G23" s="46" t="n">
        <v>1212.97</v>
      </c>
      <c r="H23" s="46" t="n">
        <v>1333.54</v>
      </c>
      <c r="I23" s="46" t="n">
        <v>120.57</v>
      </c>
    </row>
    <row r="24">
      <c r="A24" s="49" t="n">
        <v>3334</v>
      </c>
      <c r="B24" s="40" t="inlineStr">
        <is>
          <t>2026-09-08</t>
        </is>
      </c>
      <c r="C24" s="40" t="inlineStr">
        <is>
          <t>Chirica Igor</t>
        </is>
      </c>
      <c r="D24" s="40" t="inlineStr">
        <is>
          <t>DOMESTIC</t>
        </is>
      </c>
      <c r="E24" s="49" t="n">
        <v>320.9</v>
      </c>
      <c r="F24" s="49" t="n">
        <v>3.5</v>
      </c>
      <c r="G24" s="49" t="n">
        <v>1123.15</v>
      </c>
      <c r="H24" s="49" t="n">
        <v>1306.43</v>
      </c>
      <c r="I24" s="49" t="n">
        <v>183.28</v>
      </c>
    </row>
    <row r="27" ht="22" customHeight="1">
      <c r="A27" s="55" t="inlineStr">
        <is>
          <t>T-03 · Слив отсеками целиком · отклонений: 10 из 10576 проверенных</t>
        </is>
      </c>
    </row>
    <row r="28" ht="30" customHeight="1">
      <c r="A28" s="33" t="inlineStr">
        <is>
          <t>Рейс</t>
        </is>
      </c>
      <c r="B28" s="33" t="inlineStr">
        <is>
          <t>АЗС</t>
        </is>
      </c>
      <c r="C28" s="33" t="inlineStr">
        <is>
          <t>Продукт</t>
        </is>
      </c>
      <c r="D28" s="33" t="inlineStr">
        <is>
          <t>Отсек</t>
        </is>
      </c>
      <c r="E28" s="33" t="inlineStr">
        <is>
          <t>Объём отсека, л</t>
        </is>
      </c>
      <c r="F28" s="33" t="inlineStr">
        <is>
          <t>В позиции, л</t>
        </is>
      </c>
      <c r="G28" s="33" t="inlineStr">
        <is>
          <t>Расхождение, л</t>
        </is>
      </c>
    </row>
    <row r="29">
      <c r="A29" s="46" t="n">
        <v>201</v>
      </c>
      <c r="B29" s="34" t="inlineStr">
        <is>
          <t>КОМ-24</t>
        </is>
      </c>
      <c r="C29" s="34" t="inlineStr">
        <is>
          <t>A92</t>
        </is>
      </c>
      <c r="D29" s="46" t="n">
        <v>3</v>
      </c>
      <c r="E29" s="46" t="n">
        <v>4000</v>
      </c>
      <c r="F29" s="46" t="n">
        <v>3171</v>
      </c>
      <c r="G29" s="46" t="n">
        <v>-829</v>
      </c>
    </row>
    <row r="30">
      <c r="A30" s="49" t="n">
        <v>1150</v>
      </c>
      <c r="B30" s="40" t="inlineStr">
        <is>
          <t>КОМ-18</t>
        </is>
      </c>
      <c r="C30" s="40" t="inlineStr">
        <is>
          <t>A95</t>
        </is>
      </c>
      <c r="D30" s="49" t="n">
        <v>27</v>
      </c>
      <c r="E30" s="49" t="n">
        <v>6000</v>
      </c>
      <c r="F30" s="49" t="n">
        <v>4736</v>
      </c>
      <c r="G30" s="49" t="n">
        <v>-1264</v>
      </c>
    </row>
    <row r="31">
      <c r="A31" s="46" t="n">
        <v>1371</v>
      </c>
      <c r="B31" s="34" t="inlineStr">
        <is>
          <t>БЭЛ-14</t>
        </is>
      </c>
      <c r="C31" s="34" t="inlineStr">
        <is>
          <t>A92</t>
        </is>
      </c>
      <c r="D31" s="46" t="n">
        <v>53</v>
      </c>
      <c r="E31" s="46" t="n">
        <v>3000</v>
      </c>
      <c r="F31" s="46" t="n">
        <v>2350</v>
      </c>
      <c r="G31" s="46" t="n">
        <v>-650</v>
      </c>
    </row>
    <row r="32">
      <c r="A32" s="49" t="n">
        <v>1493</v>
      </c>
      <c r="B32" s="40" t="inlineStr">
        <is>
          <t>УНГ-05</t>
        </is>
      </c>
      <c r="C32" s="40" t="inlineStr">
        <is>
          <t>DIESEL</t>
        </is>
      </c>
      <c r="D32" s="49" t="n">
        <v>10</v>
      </c>
      <c r="E32" s="49" t="n">
        <v>6000</v>
      </c>
      <c r="F32" s="49" t="n">
        <v>3814</v>
      </c>
      <c r="G32" s="49" t="n">
        <v>-2186</v>
      </c>
    </row>
    <row r="33">
      <c r="A33" s="46" t="n">
        <v>2402</v>
      </c>
      <c r="B33" s="34" t="inlineStr">
        <is>
          <t>УНГ-17</t>
        </is>
      </c>
      <c r="C33" s="34" t="inlineStr">
        <is>
          <t>A92</t>
        </is>
      </c>
      <c r="D33" s="46" t="n">
        <v>13</v>
      </c>
      <c r="E33" s="46" t="n">
        <v>6000</v>
      </c>
      <c r="F33" s="46" t="n">
        <v>4934</v>
      </c>
      <c r="G33" s="46" t="n">
        <v>-1066</v>
      </c>
    </row>
    <row r="34">
      <c r="A34" s="49" t="n">
        <v>2699</v>
      </c>
      <c r="B34" s="40" t="inlineStr">
        <is>
          <t>КАГ-09</t>
        </is>
      </c>
      <c r="C34" s="40" t="inlineStr">
        <is>
          <t>A95</t>
        </is>
      </c>
      <c r="D34" s="49" t="n">
        <v>17</v>
      </c>
      <c r="E34" s="49" t="n">
        <v>4000</v>
      </c>
      <c r="F34" s="49" t="n">
        <v>2846</v>
      </c>
      <c r="G34" s="49" t="n">
        <v>-1154</v>
      </c>
    </row>
    <row r="35">
      <c r="A35" s="46" t="n">
        <v>3377</v>
      </c>
      <c r="B35" s="34" t="inlineStr">
        <is>
          <t>УНГ-05</t>
        </is>
      </c>
      <c r="C35" s="34" t="inlineStr">
        <is>
          <t>A92</t>
        </is>
      </c>
      <c r="D35" s="46" t="n">
        <v>45</v>
      </c>
      <c r="E35" s="46" t="n">
        <v>4000</v>
      </c>
      <c r="F35" s="46" t="n">
        <v>3165</v>
      </c>
      <c r="G35" s="46" t="n">
        <v>-835</v>
      </c>
    </row>
    <row r="36">
      <c r="A36" s="49" t="n">
        <v>3406</v>
      </c>
      <c r="B36" s="40" t="inlineStr">
        <is>
          <t>КИШ-19</t>
        </is>
      </c>
      <c r="C36" s="40" t="inlineStr">
        <is>
          <t>A92</t>
        </is>
      </c>
      <c r="D36" s="49" t="n">
        <v>20</v>
      </c>
      <c r="E36" s="49" t="n">
        <v>5000</v>
      </c>
      <c r="F36" s="49" t="n">
        <v>2918</v>
      </c>
      <c r="G36" s="49" t="n">
        <v>-2082</v>
      </c>
    </row>
    <row r="37">
      <c r="A37" s="46" t="n">
        <v>3428</v>
      </c>
      <c r="B37" s="34" t="inlineStr">
        <is>
          <t>УНГ-05</t>
        </is>
      </c>
      <c r="C37" s="34" t="inlineStr">
        <is>
          <t>DIESEL</t>
        </is>
      </c>
      <c r="D37" s="46" t="n">
        <v>15</v>
      </c>
      <c r="E37" s="46" t="n">
        <v>4000</v>
      </c>
      <c r="F37" s="46" t="n">
        <v>3118</v>
      </c>
      <c r="G37" s="46" t="n">
        <v>-882</v>
      </c>
    </row>
    <row r="38">
      <c r="A38" s="49" t="n">
        <v>3487</v>
      </c>
      <c r="B38" s="40" t="inlineStr">
        <is>
          <t>УНГ-17</t>
        </is>
      </c>
      <c r="C38" s="40" t="inlineStr">
        <is>
          <t>DIESEL</t>
        </is>
      </c>
      <c r="D38" s="49" t="n">
        <v>19</v>
      </c>
      <c r="E38" s="49" t="n">
        <v>5000</v>
      </c>
      <c r="F38" s="49" t="n">
        <v>2813</v>
      </c>
      <c r="G38" s="49" t="n">
        <v>-2187</v>
      </c>
    </row>
    <row r="41" ht="22" customHeight="1">
      <c r="A41" s="55" t="inlineStr">
        <is>
          <t>T-04 · Контроль переполнения резервуара · отклонений: 5 из 10576 проверенных</t>
        </is>
      </c>
    </row>
    <row r="42" ht="30" customHeight="1">
      <c r="A42" s="33" t="inlineStr">
        <is>
          <t>Рейс</t>
        </is>
      </c>
      <c r="B42" s="33" t="inlineStr">
        <is>
          <t>АЗС</t>
        </is>
      </c>
      <c r="C42" s="33" t="inlineStr">
        <is>
          <t>Продукт</t>
        </is>
      </c>
      <c r="D42" s="33" t="inlineStr">
        <is>
          <t>База сравнения</t>
        </is>
      </c>
      <c r="E42" s="33" t="inlineStr">
        <is>
          <t>Допустимый налив, л</t>
        </is>
      </c>
      <c r="F42" s="33" t="inlineStr">
        <is>
          <t>Остаток, л</t>
        </is>
      </c>
      <c r="G42" s="33" t="inlineStr">
        <is>
          <t>Предел, л</t>
        </is>
      </c>
      <c r="H42" s="33" t="inlineStr">
        <is>
          <t>Принято, л</t>
        </is>
      </c>
      <c r="I42" s="33" t="inlineStr">
        <is>
          <t>Превышение, л</t>
        </is>
      </c>
    </row>
    <row r="43">
      <c r="A43" s="46" t="n">
        <v>917</v>
      </c>
      <c r="B43" s="34" t="inlineStr">
        <is>
          <t>КИШ-01</t>
        </is>
      </c>
      <c r="C43" s="34" t="inlineStr">
        <is>
          <t>A92</t>
        </is>
      </c>
      <c r="D43" s="34" t="inlineStr">
        <is>
          <t>допустимый налив резервуара</t>
        </is>
      </c>
      <c r="E43" s="46" t="n">
        <v>28500</v>
      </c>
      <c r="F43" s="46" t="n">
        <v>20728</v>
      </c>
      <c r="G43" s="46" t="n">
        <v>28500</v>
      </c>
      <c r="H43" s="46" t="n">
        <v>29273</v>
      </c>
      <c r="I43" s="46" t="n">
        <v>773</v>
      </c>
    </row>
    <row r="44">
      <c r="A44" s="49" t="n">
        <v>1102</v>
      </c>
      <c r="B44" s="40" t="inlineStr">
        <is>
          <t>ОРХ-16</t>
        </is>
      </c>
      <c r="C44" s="40" t="inlineStr">
        <is>
          <t>A92</t>
        </is>
      </c>
      <c r="D44" s="40" t="inlineStr">
        <is>
          <t>допустимый налив резервуара</t>
        </is>
      </c>
      <c r="E44" s="49" t="n">
        <v>23750</v>
      </c>
      <c r="F44" s="49" t="n">
        <v>15842</v>
      </c>
      <c r="G44" s="49" t="n">
        <v>23750</v>
      </c>
      <c r="H44" s="49" t="n">
        <v>24471</v>
      </c>
      <c r="I44" s="49" t="n">
        <v>721</v>
      </c>
    </row>
    <row r="45">
      <c r="A45" s="46" t="n">
        <v>1739</v>
      </c>
      <c r="B45" s="34" t="inlineStr">
        <is>
          <t>БЭЛ-02</t>
        </is>
      </c>
      <c r="C45" s="34" t="inlineStr">
        <is>
          <t>DIESEL</t>
        </is>
      </c>
      <c r="D45" s="34" t="inlineStr">
        <is>
          <t>допустимый налив резервуара</t>
        </is>
      </c>
      <c r="E45" s="46" t="n">
        <v>38000</v>
      </c>
      <c r="F45" s="46" t="n">
        <v>14226</v>
      </c>
      <c r="G45" s="46" t="n">
        <v>38000</v>
      </c>
      <c r="H45" s="46" t="n">
        <v>39950</v>
      </c>
      <c r="I45" s="46" t="n">
        <v>1950</v>
      </c>
    </row>
    <row r="46">
      <c r="A46" s="49" t="n">
        <v>1958</v>
      </c>
      <c r="B46" s="40" t="inlineStr">
        <is>
          <t>ОРХ-10</t>
        </is>
      </c>
      <c r="C46" s="40" t="inlineStr">
        <is>
          <t>A92</t>
        </is>
      </c>
      <c r="D46" s="40" t="inlineStr">
        <is>
          <t>допустимый налив резервуара</t>
        </is>
      </c>
      <c r="E46" s="49" t="n">
        <v>19000</v>
      </c>
      <c r="F46" s="49" t="n">
        <v>13409</v>
      </c>
      <c r="G46" s="49" t="n">
        <v>19000</v>
      </c>
      <c r="H46" s="49" t="n">
        <v>20545</v>
      </c>
      <c r="I46" s="49" t="n">
        <v>1545</v>
      </c>
    </row>
    <row r="47">
      <c r="A47" s="46" t="n">
        <v>2820</v>
      </c>
      <c r="B47" s="34" t="inlineStr">
        <is>
          <t>КАГ-21</t>
        </is>
      </c>
      <c r="C47" s="34" t="inlineStr">
        <is>
          <t>A95</t>
        </is>
      </c>
      <c r="D47" s="34" t="inlineStr">
        <is>
          <t>допустимый налив резервуара</t>
        </is>
      </c>
      <c r="E47" s="46" t="n">
        <v>19000</v>
      </c>
      <c r="F47" s="46" t="n">
        <v>16835</v>
      </c>
      <c r="G47" s="46" t="n">
        <v>19000</v>
      </c>
      <c r="H47" s="46" t="n">
        <v>20314</v>
      </c>
      <c r="I47" s="46" t="n">
        <v>1314</v>
      </c>
    </row>
    <row r="50" ht="22" customHeight="1">
      <c r="A50" s="55" t="inlineStr">
        <is>
          <t>T-05 · Сверка отгрузки и приёмки · отклонений: 197 из 10576 проверенных</t>
        </is>
      </c>
    </row>
    <row r="51" ht="30" customHeight="1">
      <c r="A51" s="33" t="inlineStr">
        <is>
          <t>Рейс</t>
        </is>
      </c>
      <c r="B51" s="33" t="inlineStr">
        <is>
          <t>АЗС</t>
        </is>
      </c>
      <c r="C51" s="33" t="inlineStr">
        <is>
          <t>Продукт</t>
        </is>
      </c>
      <c r="D51" s="33" t="inlineStr">
        <is>
          <t>Загружено, л</t>
        </is>
      </c>
      <c r="E51" s="33" t="inlineStr">
        <is>
          <t>По документам, л</t>
        </is>
      </c>
      <c r="F51" s="33" t="inlineStr">
        <is>
          <t>Принято, л</t>
        </is>
      </c>
      <c r="G51" s="33" t="inlineStr">
        <is>
          <t>Потери, л</t>
        </is>
      </c>
      <c r="H51" s="33" t="inlineStr">
        <is>
          <t>Оценка, лей</t>
        </is>
      </c>
    </row>
    <row r="52">
      <c r="A52" s="46" t="n">
        <v>2</v>
      </c>
      <c r="B52" s="34" t="inlineStr">
        <is>
          <t>БЭЛ-02</t>
        </is>
      </c>
      <c r="C52" s="34" t="inlineStr">
        <is>
          <t>A92</t>
        </is>
      </c>
      <c r="D52" s="46" t="n">
        <v>6000</v>
      </c>
      <c r="E52" s="46" t="n">
        <v>6000</v>
      </c>
      <c r="F52" s="46" t="n">
        <v>5588</v>
      </c>
      <c r="G52" s="46" t="n">
        <v>412</v>
      </c>
      <c r="H52" s="46" t="n">
        <v>9640.799999999999</v>
      </c>
    </row>
    <row r="53">
      <c r="A53" s="49" t="n">
        <v>3</v>
      </c>
      <c r="B53" s="40" t="inlineStr">
        <is>
          <t>КИШ-19</t>
        </is>
      </c>
      <c r="C53" s="40" t="inlineStr">
        <is>
          <t>DIESEL</t>
        </is>
      </c>
      <c r="D53" s="49" t="n">
        <v>5000</v>
      </c>
      <c r="E53" s="49" t="n">
        <v>5000</v>
      </c>
      <c r="F53" s="49" t="n">
        <v>4930</v>
      </c>
      <c r="G53" s="49" t="n">
        <v>70</v>
      </c>
      <c r="H53" s="49" t="n">
        <v>1638</v>
      </c>
    </row>
    <row r="54">
      <c r="A54" s="46" t="n">
        <v>36</v>
      </c>
      <c r="B54" s="34" t="inlineStr">
        <is>
          <t>БЭЛ-20</t>
        </is>
      </c>
      <c r="C54" s="34" t="inlineStr">
        <is>
          <t>DIESEL</t>
        </is>
      </c>
      <c r="D54" s="46" t="n">
        <v>6000</v>
      </c>
      <c r="E54" s="46" t="n">
        <v>6000</v>
      </c>
      <c r="F54" s="46" t="n">
        <v>5895</v>
      </c>
      <c r="G54" s="46" t="n">
        <v>105</v>
      </c>
      <c r="H54" s="46" t="n">
        <v>2457</v>
      </c>
    </row>
    <row r="55">
      <c r="A55" s="49" t="n">
        <v>36</v>
      </c>
      <c r="B55" s="40" t="inlineStr">
        <is>
          <t>КОМ-06</t>
        </is>
      </c>
      <c r="C55" s="40" t="inlineStr">
        <is>
          <t>GPL</t>
        </is>
      </c>
      <c r="D55" s="49" t="n">
        <v>6000</v>
      </c>
      <c r="E55" s="49" t="n">
        <v>6000</v>
      </c>
      <c r="F55" s="49" t="n">
        <v>5589</v>
      </c>
      <c r="G55" s="49" t="n">
        <v>411</v>
      </c>
      <c r="H55" s="49" t="n">
        <v>9617.4</v>
      </c>
    </row>
    <row r="56">
      <c r="A56" s="46" t="n">
        <v>41</v>
      </c>
      <c r="B56" s="34" t="inlineStr">
        <is>
          <t>УНГ-05</t>
        </is>
      </c>
      <c r="C56" s="34" t="inlineStr">
        <is>
          <t>A95</t>
        </is>
      </c>
      <c r="D56" s="46" t="n">
        <v>6000</v>
      </c>
      <c r="E56" s="46" t="n">
        <v>6000</v>
      </c>
      <c r="F56" s="46" t="n">
        <v>5767</v>
      </c>
      <c r="G56" s="46" t="n">
        <v>233</v>
      </c>
      <c r="H56" s="46" t="n">
        <v>5452.2</v>
      </c>
    </row>
    <row r="57">
      <c r="A57" s="49" t="n">
        <v>47</v>
      </c>
      <c r="B57" s="40" t="inlineStr">
        <is>
          <t>ОРХ-16</t>
        </is>
      </c>
      <c r="C57" s="40" t="inlineStr">
        <is>
          <t>A92</t>
        </is>
      </c>
      <c r="D57" s="49" t="n">
        <v>5000</v>
      </c>
      <c r="E57" s="49" t="n">
        <v>5000</v>
      </c>
      <c r="F57" s="49" t="n">
        <v>4779</v>
      </c>
      <c r="G57" s="49" t="n">
        <v>221</v>
      </c>
      <c r="H57" s="49" t="n">
        <v>5171.4</v>
      </c>
    </row>
    <row r="58">
      <c r="A58" s="46" t="n">
        <v>57</v>
      </c>
      <c r="B58" s="34" t="inlineStr">
        <is>
          <t>ОРХ-22</t>
        </is>
      </c>
      <c r="C58" s="34" t="inlineStr">
        <is>
          <t>A95</t>
        </is>
      </c>
      <c r="D58" s="46" t="n">
        <v>4000</v>
      </c>
      <c r="E58" s="46" t="n">
        <v>4000</v>
      </c>
      <c r="F58" s="46" t="n">
        <v>3582</v>
      </c>
      <c r="G58" s="46" t="n">
        <v>418</v>
      </c>
      <c r="H58" s="46" t="n">
        <v>9781.200000000001</v>
      </c>
    </row>
    <row r="59">
      <c r="A59" s="49" t="n">
        <v>63</v>
      </c>
      <c r="B59" s="40" t="inlineStr">
        <is>
          <t>КИШ-19</t>
        </is>
      </c>
      <c r="C59" s="40" t="inlineStr">
        <is>
          <t>A95</t>
        </is>
      </c>
      <c r="D59" s="49" t="n">
        <v>3000</v>
      </c>
      <c r="E59" s="49" t="n">
        <v>3000</v>
      </c>
      <c r="F59" s="49" t="n">
        <v>2641</v>
      </c>
      <c r="G59" s="49" t="n">
        <v>359</v>
      </c>
      <c r="H59" s="49" t="n">
        <v>8400.6</v>
      </c>
    </row>
    <row r="60">
      <c r="A60" s="46" t="n">
        <v>93</v>
      </c>
      <c r="B60" s="34" t="inlineStr">
        <is>
          <t>КОМ-06</t>
        </is>
      </c>
      <c r="C60" s="34" t="inlineStr">
        <is>
          <t>DIESEL</t>
        </is>
      </c>
      <c r="D60" s="46" t="n">
        <v>6000</v>
      </c>
      <c r="E60" s="46" t="n">
        <v>6000</v>
      </c>
      <c r="F60" s="46" t="n">
        <v>5630</v>
      </c>
      <c r="G60" s="46" t="n">
        <v>370</v>
      </c>
      <c r="H60" s="46" t="n">
        <v>8658</v>
      </c>
    </row>
    <row r="61">
      <c r="A61" s="49" t="n">
        <v>117</v>
      </c>
      <c r="B61" s="40" t="inlineStr">
        <is>
          <t>УНГ-05</t>
        </is>
      </c>
      <c r="C61" s="40" t="inlineStr">
        <is>
          <t>A95</t>
        </is>
      </c>
      <c r="D61" s="49" t="n">
        <v>4000</v>
      </c>
      <c r="E61" s="49" t="n">
        <v>4000</v>
      </c>
      <c r="F61" s="49" t="n">
        <v>3823</v>
      </c>
      <c r="G61" s="49" t="n">
        <v>177</v>
      </c>
      <c r="H61" s="49" t="n">
        <v>4141.8</v>
      </c>
    </row>
    <row r="62">
      <c r="A62" s="46" t="n">
        <v>147</v>
      </c>
      <c r="B62" s="34" t="inlineStr">
        <is>
          <t>КОМ-06</t>
        </is>
      </c>
      <c r="C62" s="34" t="inlineStr">
        <is>
          <t>DIESEL</t>
        </is>
      </c>
      <c r="D62" s="46" t="n">
        <v>4000</v>
      </c>
      <c r="E62" s="46" t="n">
        <v>4000</v>
      </c>
      <c r="F62" s="46" t="n">
        <v>3900</v>
      </c>
      <c r="G62" s="46" t="n">
        <v>100</v>
      </c>
      <c r="H62" s="46" t="n">
        <v>2340</v>
      </c>
    </row>
    <row r="63">
      <c r="A63" s="49" t="n">
        <v>204</v>
      </c>
      <c r="B63" s="40" t="inlineStr">
        <is>
          <t>УНГ-11</t>
        </is>
      </c>
      <c r="C63" s="40" t="inlineStr">
        <is>
          <t>A95</t>
        </is>
      </c>
      <c r="D63" s="49" t="n">
        <v>5000</v>
      </c>
      <c r="E63" s="49" t="n">
        <v>5000</v>
      </c>
      <c r="F63" s="49" t="n">
        <v>4693</v>
      </c>
      <c r="G63" s="49" t="n">
        <v>307</v>
      </c>
      <c r="H63" s="49" t="n">
        <v>7183.8</v>
      </c>
    </row>
    <row r="64">
      <c r="A64" s="46" t="n">
        <v>228</v>
      </c>
      <c r="B64" s="34" t="inlineStr">
        <is>
          <t>УНГ-17</t>
        </is>
      </c>
      <c r="C64" s="34" t="inlineStr">
        <is>
          <t>DIESEL</t>
        </is>
      </c>
      <c r="D64" s="46" t="n">
        <v>5000</v>
      </c>
      <c r="E64" s="46" t="n">
        <v>5000</v>
      </c>
      <c r="F64" s="46" t="n">
        <v>4617</v>
      </c>
      <c r="G64" s="46" t="n">
        <v>383</v>
      </c>
      <c r="H64" s="46" t="n">
        <v>8962.200000000001</v>
      </c>
    </row>
    <row r="65">
      <c r="A65" s="49" t="n">
        <v>231</v>
      </c>
      <c r="B65" s="40" t="inlineStr">
        <is>
          <t>УНГ-05</t>
        </is>
      </c>
      <c r="C65" s="40" t="inlineStr">
        <is>
          <t>A95</t>
        </is>
      </c>
      <c r="D65" s="49" t="n">
        <v>6000</v>
      </c>
      <c r="E65" s="49" t="n">
        <v>6000</v>
      </c>
      <c r="F65" s="49" t="n">
        <v>5710</v>
      </c>
      <c r="G65" s="49" t="n">
        <v>290</v>
      </c>
      <c r="H65" s="49" t="n">
        <v>6786</v>
      </c>
    </row>
    <row r="66">
      <c r="A66" s="46" t="n">
        <v>251</v>
      </c>
      <c r="B66" s="34" t="inlineStr">
        <is>
          <t>КАГ-03</t>
        </is>
      </c>
      <c r="C66" s="34" t="inlineStr">
        <is>
          <t>A95</t>
        </is>
      </c>
      <c r="D66" s="46" t="n">
        <v>6000</v>
      </c>
      <c r="E66" s="46" t="n">
        <v>6000</v>
      </c>
      <c r="F66" s="46" t="n">
        <v>5671</v>
      </c>
      <c r="G66" s="46" t="n">
        <v>329</v>
      </c>
      <c r="H66" s="46" t="n">
        <v>7698.6</v>
      </c>
    </row>
    <row r="67">
      <c r="A67" s="49" t="n">
        <v>252</v>
      </c>
      <c r="B67" s="40" t="inlineStr">
        <is>
          <t>УНГ-23</t>
        </is>
      </c>
      <c r="C67" s="40" t="inlineStr">
        <is>
          <t>A95</t>
        </is>
      </c>
      <c r="D67" s="49" t="n">
        <v>6000</v>
      </c>
      <c r="E67" s="49" t="n">
        <v>6000</v>
      </c>
      <c r="F67" s="49" t="n">
        <v>5746</v>
      </c>
      <c r="G67" s="49" t="n">
        <v>254</v>
      </c>
      <c r="H67" s="49" t="n">
        <v>5943.6</v>
      </c>
    </row>
    <row r="68">
      <c r="A68" s="46" t="n">
        <v>257</v>
      </c>
      <c r="B68" s="34" t="inlineStr">
        <is>
          <t>КОМ-06</t>
        </is>
      </c>
      <c r="C68" s="34" t="inlineStr">
        <is>
          <t>A92</t>
        </is>
      </c>
      <c r="D68" s="46" t="n">
        <v>4000</v>
      </c>
      <c r="E68" s="46" t="n">
        <v>4000</v>
      </c>
      <c r="F68" s="46" t="n">
        <v>3698</v>
      </c>
      <c r="G68" s="46" t="n">
        <v>302</v>
      </c>
      <c r="H68" s="46" t="n">
        <v>7066.8</v>
      </c>
    </row>
    <row r="69">
      <c r="A69" s="49" t="n">
        <v>259</v>
      </c>
      <c r="B69" s="40" t="inlineStr">
        <is>
          <t>КИШ-01</t>
        </is>
      </c>
      <c r="C69" s="40" t="inlineStr">
        <is>
          <t>A95</t>
        </is>
      </c>
      <c r="D69" s="49" t="n">
        <v>5000</v>
      </c>
      <c r="E69" s="49" t="n">
        <v>5000</v>
      </c>
      <c r="F69" s="49" t="n">
        <v>4834</v>
      </c>
      <c r="G69" s="49" t="n">
        <v>166</v>
      </c>
      <c r="H69" s="49" t="n">
        <v>3884.4</v>
      </c>
    </row>
    <row r="70">
      <c r="A70" s="46" t="n">
        <v>260</v>
      </c>
      <c r="B70" s="34" t="inlineStr">
        <is>
          <t>КОМ-06</t>
        </is>
      </c>
      <c r="C70" s="34" t="inlineStr">
        <is>
          <t>GPL</t>
        </is>
      </c>
      <c r="D70" s="46" t="n">
        <v>3000</v>
      </c>
      <c r="E70" s="46" t="n">
        <v>3000</v>
      </c>
      <c r="F70" s="46" t="n">
        <v>2701</v>
      </c>
      <c r="G70" s="46" t="n">
        <v>299</v>
      </c>
      <c r="H70" s="46" t="n">
        <v>6996.6</v>
      </c>
    </row>
    <row r="71">
      <c r="A71" s="49" t="n">
        <v>300</v>
      </c>
      <c r="B71" s="40" t="inlineStr">
        <is>
          <t>КОМ-06</t>
        </is>
      </c>
      <c r="C71" s="40" t="inlineStr">
        <is>
          <t>GPL</t>
        </is>
      </c>
      <c r="D71" s="49" t="n">
        <v>6000</v>
      </c>
      <c r="E71" s="49" t="n">
        <v>6000</v>
      </c>
      <c r="F71" s="49" t="n">
        <v>5645</v>
      </c>
      <c r="G71" s="49" t="n">
        <v>355</v>
      </c>
      <c r="H71" s="49" t="n">
        <v>8307</v>
      </c>
    </row>
    <row r="72">
      <c r="A72" s="46" t="n">
        <v>333</v>
      </c>
      <c r="B72" s="34" t="inlineStr">
        <is>
          <t>УНГ-23</t>
        </is>
      </c>
      <c r="C72" s="34" t="inlineStr">
        <is>
          <t>A92</t>
        </is>
      </c>
      <c r="D72" s="46" t="n">
        <v>4000</v>
      </c>
      <c r="E72" s="46" t="n">
        <v>4000</v>
      </c>
      <c r="F72" s="46" t="n">
        <v>3756</v>
      </c>
      <c r="G72" s="46" t="n">
        <v>244</v>
      </c>
      <c r="H72" s="46" t="n">
        <v>5709.6</v>
      </c>
    </row>
    <row r="73">
      <c r="A73" s="49" t="n">
        <v>338</v>
      </c>
      <c r="B73" s="40" t="inlineStr">
        <is>
          <t>КАГ-15</t>
        </is>
      </c>
      <c r="C73" s="40" t="inlineStr">
        <is>
          <t>A95</t>
        </is>
      </c>
      <c r="D73" s="49" t="n">
        <v>6000</v>
      </c>
      <c r="E73" s="49" t="n">
        <v>6000</v>
      </c>
      <c r="F73" s="49" t="n">
        <v>5758</v>
      </c>
      <c r="G73" s="49" t="n">
        <v>242</v>
      </c>
      <c r="H73" s="49" t="n">
        <v>5662.8</v>
      </c>
    </row>
    <row r="74">
      <c r="A74" s="46" t="n">
        <v>367</v>
      </c>
      <c r="B74" s="34" t="inlineStr">
        <is>
          <t>КАГ-15</t>
        </is>
      </c>
      <c r="C74" s="34" t="inlineStr">
        <is>
          <t>DIESEL</t>
        </is>
      </c>
      <c r="D74" s="46" t="n">
        <v>6000</v>
      </c>
      <c r="E74" s="46" t="n">
        <v>6000</v>
      </c>
      <c r="F74" s="46" t="n">
        <v>5591</v>
      </c>
      <c r="G74" s="46" t="n">
        <v>409</v>
      </c>
      <c r="H74" s="46" t="n">
        <v>9570.6</v>
      </c>
    </row>
    <row r="75">
      <c r="A75" s="49" t="n">
        <v>389</v>
      </c>
      <c r="B75" s="40" t="inlineStr">
        <is>
          <t>КАГ-03</t>
        </is>
      </c>
      <c r="C75" s="40" t="inlineStr">
        <is>
          <t>A95</t>
        </is>
      </c>
      <c r="D75" s="49" t="n">
        <v>5000</v>
      </c>
      <c r="E75" s="49" t="n">
        <v>5000</v>
      </c>
      <c r="F75" s="49" t="n">
        <v>4897</v>
      </c>
      <c r="G75" s="49" t="n">
        <v>103</v>
      </c>
      <c r="H75" s="49" t="n">
        <v>2410.2</v>
      </c>
    </row>
    <row r="76">
      <c r="A76" s="46" t="n">
        <v>472</v>
      </c>
      <c r="B76" s="34" t="inlineStr">
        <is>
          <t>КОМ-24</t>
        </is>
      </c>
      <c r="C76" s="34" t="inlineStr">
        <is>
          <t>A95</t>
        </is>
      </c>
      <c r="D76" s="46" t="n">
        <v>4000</v>
      </c>
      <c r="E76" s="46" t="n">
        <v>4000</v>
      </c>
      <c r="F76" s="46" t="n">
        <v>3690</v>
      </c>
      <c r="G76" s="46" t="n">
        <v>310</v>
      </c>
      <c r="H76" s="46" t="n">
        <v>7254</v>
      </c>
    </row>
    <row r="77">
      <c r="A77" s="49" t="n">
        <v>510</v>
      </c>
      <c r="B77" s="40" t="inlineStr">
        <is>
          <t>ОРХ-04</t>
        </is>
      </c>
      <c r="C77" s="40" t="inlineStr">
        <is>
          <t>A95</t>
        </is>
      </c>
      <c r="D77" s="49" t="n">
        <v>4000</v>
      </c>
      <c r="E77" s="49" t="n">
        <v>4000</v>
      </c>
      <c r="F77" s="49" t="n">
        <v>3593</v>
      </c>
      <c r="G77" s="49" t="n">
        <v>407</v>
      </c>
      <c r="H77" s="49" t="n">
        <v>9523.799999999999</v>
      </c>
    </row>
    <row r="78">
      <c r="A78" s="46" t="n">
        <v>527</v>
      </c>
      <c r="B78" s="34" t="inlineStr">
        <is>
          <t>КАГ-21</t>
        </is>
      </c>
      <c r="C78" s="34" t="inlineStr">
        <is>
          <t>DIESEL</t>
        </is>
      </c>
      <c r="D78" s="46" t="n">
        <v>6000</v>
      </c>
      <c r="E78" s="46" t="n">
        <v>6000</v>
      </c>
      <c r="F78" s="46" t="n">
        <v>5619</v>
      </c>
      <c r="G78" s="46" t="n">
        <v>381</v>
      </c>
      <c r="H78" s="46" t="n">
        <v>8915.4</v>
      </c>
    </row>
    <row r="79">
      <c r="A79" s="49" t="n">
        <v>537</v>
      </c>
      <c r="B79" s="40" t="inlineStr">
        <is>
          <t>КИШ-13</t>
        </is>
      </c>
      <c r="C79" s="40" t="inlineStr">
        <is>
          <t>A95</t>
        </is>
      </c>
      <c r="D79" s="49" t="n">
        <v>6000</v>
      </c>
      <c r="E79" s="49" t="n">
        <v>6000</v>
      </c>
      <c r="F79" s="49" t="n">
        <v>5863</v>
      </c>
      <c r="G79" s="49" t="n">
        <v>137</v>
      </c>
      <c r="H79" s="49" t="n">
        <v>3205.8</v>
      </c>
    </row>
    <row r="80">
      <c r="A80" s="46" t="n">
        <v>563</v>
      </c>
      <c r="B80" s="34" t="inlineStr">
        <is>
          <t>БЭЛ-02</t>
        </is>
      </c>
      <c r="C80" s="34" t="inlineStr">
        <is>
          <t>A92</t>
        </is>
      </c>
      <c r="D80" s="46" t="n">
        <v>3000</v>
      </c>
      <c r="E80" s="46" t="n">
        <v>3000</v>
      </c>
      <c r="F80" s="46" t="n">
        <v>2855</v>
      </c>
      <c r="G80" s="46" t="n">
        <v>145</v>
      </c>
      <c r="H80" s="46" t="n">
        <v>3393</v>
      </c>
    </row>
    <row r="81">
      <c r="A81" s="49" t="n">
        <v>591</v>
      </c>
      <c r="B81" s="40" t="inlineStr">
        <is>
          <t>УНГ-23</t>
        </is>
      </c>
      <c r="C81" s="40" t="inlineStr">
        <is>
          <t>A92</t>
        </is>
      </c>
      <c r="D81" s="49" t="n">
        <v>6000</v>
      </c>
      <c r="E81" s="49" t="n">
        <v>6000</v>
      </c>
      <c r="F81" s="49" t="n">
        <v>5919</v>
      </c>
      <c r="G81" s="49" t="n">
        <v>81</v>
      </c>
      <c r="H81" s="49" t="n">
        <v>1895.4</v>
      </c>
    </row>
    <row r="82">
      <c r="A82" s="46" t="n">
        <v>611</v>
      </c>
      <c r="B82" s="34" t="inlineStr">
        <is>
          <t>УНГ-11</t>
        </is>
      </c>
      <c r="C82" s="34" t="inlineStr">
        <is>
          <t>DIESEL</t>
        </is>
      </c>
      <c r="D82" s="46" t="n">
        <v>5000</v>
      </c>
      <c r="E82" s="46" t="n">
        <v>5000</v>
      </c>
      <c r="F82" s="46" t="n">
        <v>4642</v>
      </c>
      <c r="G82" s="46" t="n">
        <v>358</v>
      </c>
      <c r="H82" s="46" t="n">
        <v>8377.200000000001</v>
      </c>
    </row>
    <row r="83">
      <c r="A83" s="49" t="n">
        <v>627</v>
      </c>
      <c r="B83" s="40" t="inlineStr">
        <is>
          <t>КАГ-21</t>
        </is>
      </c>
      <c r="C83" s="40" t="inlineStr">
        <is>
          <t>DIESEL</t>
        </is>
      </c>
      <c r="D83" s="49" t="n">
        <v>6000</v>
      </c>
      <c r="E83" s="49" t="n">
        <v>6000</v>
      </c>
      <c r="F83" s="49" t="n">
        <v>5694</v>
      </c>
      <c r="G83" s="49" t="n">
        <v>306</v>
      </c>
      <c r="H83" s="49" t="n">
        <v>7160.4</v>
      </c>
    </row>
    <row r="84">
      <c r="A84" s="46" t="n">
        <v>680</v>
      </c>
      <c r="B84" s="34" t="inlineStr">
        <is>
          <t>ОРХ-16</t>
        </is>
      </c>
      <c r="C84" s="34" t="inlineStr">
        <is>
          <t>DIESEL</t>
        </is>
      </c>
      <c r="D84" s="46" t="n">
        <v>4000</v>
      </c>
      <c r="E84" s="46" t="n">
        <v>4000</v>
      </c>
      <c r="F84" s="46" t="n">
        <v>3712</v>
      </c>
      <c r="G84" s="46" t="n">
        <v>288</v>
      </c>
      <c r="H84" s="46" t="n">
        <v>6739.2</v>
      </c>
    </row>
    <row r="85">
      <c r="A85" s="49" t="n">
        <v>705</v>
      </c>
      <c r="B85" s="40" t="inlineStr">
        <is>
          <t>КОМ-06</t>
        </is>
      </c>
      <c r="C85" s="40" t="inlineStr">
        <is>
          <t>GPL</t>
        </is>
      </c>
      <c r="D85" s="49" t="n">
        <v>5000</v>
      </c>
      <c r="E85" s="49" t="n">
        <v>5000</v>
      </c>
      <c r="F85" s="49" t="n">
        <v>4880</v>
      </c>
      <c r="G85" s="49" t="n">
        <v>120</v>
      </c>
      <c r="H85" s="49" t="n">
        <v>2808</v>
      </c>
    </row>
    <row r="86">
      <c r="A86" s="46" t="n">
        <v>736</v>
      </c>
      <c r="B86" s="34" t="inlineStr">
        <is>
          <t>БЭЛ-08</t>
        </is>
      </c>
      <c r="C86" s="34" t="inlineStr">
        <is>
          <t>DIESEL</t>
        </is>
      </c>
      <c r="D86" s="46" t="n">
        <v>5000</v>
      </c>
      <c r="E86" s="46" t="n">
        <v>5000</v>
      </c>
      <c r="F86" s="46" t="n">
        <v>4807</v>
      </c>
      <c r="G86" s="46" t="n">
        <v>193</v>
      </c>
      <c r="H86" s="46" t="n">
        <v>4516.2</v>
      </c>
    </row>
    <row r="87">
      <c r="A87" s="49" t="n">
        <v>758</v>
      </c>
      <c r="B87" s="40" t="inlineStr">
        <is>
          <t>ОРХ-10</t>
        </is>
      </c>
      <c r="C87" s="40" t="inlineStr">
        <is>
          <t>DIESEL</t>
        </is>
      </c>
      <c r="D87" s="49" t="n">
        <v>5000</v>
      </c>
      <c r="E87" s="49" t="n">
        <v>5000</v>
      </c>
      <c r="F87" s="49" t="n">
        <v>4679</v>
      </c>
      <c r="G87" s="49" t="n">
        <v>321</v>
      </c>
      <c r="H87" s="49" t="n">
        <v>7511.4</v>
      </c>
    </row>
    <row r="88">
      <c r="A88" s="46" t="n">
        <v>766</v>
      </c>
      <c r="B88" s="34" t="inlineStr">
        <is>
          <t>КОМ-18</t>
        </is>
      </c>
      <c r="C88" s="34" t="inlineStr">
        <is>
          <t>DIESEL</t>
        </is>
      </c>
      <c r="D88" s="46" t="n">
        <v>5000</v>
      </c>
      <c r="E88" s="46" t="n">
        <v>5000</v>
      </c>
      <c r="F88" s="46" t="n">
        <v>4619</v>
      </c>
      <c r="G88" s="46" t="n">
        <v>381</v>
      </c>
      <c r="H88" s="46" t="n">
        <v>8915.4</v>
      </c>
    </row>
    <row r="89">
      <c r="A89" s="49" t="n">
        <v>807</v>
      </c>
      <c r="B89" s="40" t="inlineStr">
        <is>
          <t>УНГ-11</t>
        </is>
      </c>
      <c r="C89" s="40" t="inlineStr">
        <is>
          <t>A92</t>
        </is>
      </c>
      <c r="D89" s="49" t="n">
        <v>4000</v>
      </c>
      <c r="E89" s="49" t="n">
        <v>4000</v>
      </c>
      <c r="F89" s="49" t="n">
        <v>3771</v>
      </c>
      <c r="G89" s="49" t="n">
        <v>229</v>
      </c>
      <c r="H89" s="49" t="n">
        <v>5358.6</v>
      </c>
    </row>
    <row r="90">
      <c r="A90" s="46" t="n">
        <v>816</v>
      </c>
      <c r="B90" s="34" t="inlineStr">
        <is>
          <t>КИШ-19</t>
        </is>
      </c>
      <c r="C90" s="34" t="inlineStr">
        <is>
          <t>DIESEL</t>
        </is>
      </c>
      <c r="D90" s="46" t="n">
        <v>3000</v>
      </c>
      <c r="E90" s="46" t="n">
        <v>3000</v>
      </c>
      <c r="F90" s="46" t="n">
        <v>2701</v>
      </c>
      <c r="G90" s="46" t="n">
        <v>299</v>
      </c>
      <c r="H90" s="46" t="n">
        <v>6996.6</v>
      </c>
    </row>
    <row r="91">
      <c r="A91" s="49" t="n">
        <v>872</v>
      </c>
      <c r="B91" s="40" t="inlineStr">
        <is>
          <t>УНГ-23</t>
        </is>
      </c>
      <c r="C91" s="40" t="inlineStr">
        <is>
          <t>A95</t>
        </is>
      </c>
      <c r="D91" s="49" t="n">
        <v>4000</v>
      </c>
      <c r="E91" s="49" t="n">
        <v>4000</v>
      </c>
      <c r="F91" s="49" t="n">
        <v>3741</v>
      </c>
      <c r="G91" s="49" t="n">
        <v>259</v>
      </c>
      <c r="H91" s="49" t="n">
        <v>6060.6</v>
      </c>
    </row>
    <row r="92">
      <c r="A92" s="46" t="n">
        <v>879</v>
      </c>
      <c r="B92" s="34" t="inlineStr">
        <is>
          <t>БЭЛ-20</t>
        </is>
      </c>
      <c r="C92" s="34" t="inlineStr">
        <is>
          <t>A95</t>
        </is>
      </c>
      <c r="D92" s="46" t="n">
        <v>6000</v>
      </c>
      <c r="E92" s="46" t="n">
        <v>6000</v>
      </c>
      <c r="F92" s="46" t="n">
        <v>5830</v>
      </c>
      <c r="G92" s="46" t="n">
        <v>170</v>
      </c>
      <c r="H92" s="46" t="n">
        <v>3978</v>
      </c>
    </row>
    <row r="93">
      <c r="A93" s="49" t="n">
        <v>892</v>
      </c>
      <c r="B93" s="40" t="inlineStr">
        <is>
          <t>КАГ-15</t>
        </is>
      </c>
      <c r="C93" s="40" t="inlineStr">
        <is>
          <t>A95</t>
        </is>
      </c>
      <c r="D93" s="49" t="n">
        <v>5000</v>
      </c>
      <c r="E93" s="49" t="n">
        <v>5000</v>
      </c>
      <c r="F93" s="49" t="n">
        <v>4589</v>
      </c>
      <c r="G93" s="49" t="n">
        <v>411</v>
      </c>
      <c r="H93" s="49" t="n">
        <v>9617.4</v>
      </c>
    </row>
    <row r="94">
      <c r="A94" s="46" t="n">
        <v>899</v>
      </c>
      <c r="B94" s="34" t="inlineStr">
        <is>
          <t>БЭЛ-02</t>
        </is>
      </c>
      <c r="C94" s="34" t="inlineStr">
        <is>
          <t>A95</t>
        </is>
      </c>
      <c r="D94" s="46" t="n">
        <v>6000</v>
      </c>
      <c r="E94" s="46" t="n">
        <v>6000</v>
      </c>
      <c r="F94" s="46" t="n">
        <v>5791</v>
      </c>
      <c r="G94" s="46" t="n">
        <v>209</v>
      </c>
      <c r="H94" s="46" t="n">
        <v>4890.6</v>
      </c>
    </row>
    <row r="95">
      <c r="A95" s="49" t="n">
        <v>915</v>
      </c>
      <c r="B95" s="40" t="inlineStr">
        <is>
          <t>УНГ-17</t>
        </is>
      </c>
      <c r="C95" s="40" t="inlineStr">
        <is>
          <t>A95</t>
        </is>
      </c>
      <c r="D95" s="49" t="n">
        <v>5000</v>
      </c>
      <c r="E95" s="49" t="n">
        <v>5000</v>
      </c>
      <c r="F95" s="49" t="n">
        <v>4795</v>
      </c>
      <c r="G95" s="49" t="n">
        <v>205</v>
      </c>
      <c r="H95" s="49" t="n">
        <v>4797</v>
      </c>
    </row>
    <row r="96">
      <c r="A96" s="46" t="n">
        <v>930</v>
      </c>
      <c r="B96" s="34" t="inlineStr">
        <is>
          <t>ОРХ-10</t>
        </is>
      </c>
      <c r="C96" s="34" t="inlineStr">
        <is>
          <t>A92</t>
        </is>
      </c>
      <c r="D96" s="46" t="n">
        <v>4000</v>
      </c>
      <c r="E96" s="46" t="n">
        <v>4000</v>
      </c>
      <c r="F96" s="46" t="n">
        <v>3933</v>
      </c>
      <c r="G96" s="46" t="n">
        <v>67</v>
      </c>
      <c r="H96" s="46" t="n">
        <v>1567.8</v>
      </c>
    </row>
    <row r="97">
      <c r="A97" s="49" t="n">
        <v>959</v>
      </c>
      <c r="B97" s="40" t="inlineStr">
        <is>
          <t>КАГ-15</t>
        </is>
      </c>
      <c r="C97" s="40" t="inlineStr">
        <is>
          <t>A92</t>
        </is>
      </c>
      <c r="D97" s="49" t="n">
        <v>4000</v>
      </c>
      <c r="E97" s="49" t="n">
        <v>4000</v>
      </c>
      <c r="F97" s="49" t="n">
        <v>3593</v>
      </c>
      <c r="G97" s="49" t="n">
        <v>407</v>
      </c>
      <c r="H97" s="49" t="n">
        <v>9523.799999999999</v>
      </c>
    </row>
    <row r="98">
      <c r="A98" s="46" t="n">
        <v>976</v>
      </c>
      <c r="B98" s="34" t="inlineStr">
        <is>
          <t>КИШ-13</t>
        </is>
      </c>
      <c r="C98" s="34" t="inlineStr">
        <is>
          <t>DIESEL</t>
        </is>
      </c>
      <c r="D98" s="46" t="n">
        <v>5000</v>
      </c>
      <c r="E98" s="46" t="n">
        <v>5000</v>
      </c>
      <c r="F98" s="46" t="n">
        <v>4841</v>
      </c>
      <c r="G98" s="46" t="n">
        <v>159</v>
      </c>
      <c r="H98" s="46" t="n">
        <v>3720.6</v>
      </c>
    </row>
    <row r="99">
      <c r="A99" s="49" t="n">
        <v>1003</v>
      </c>
      <c r="B99" s="40" t="inlineStr">
        <is>
          <t>КАГ-21</t>
        </is>
      </c>
      <c r="C99" s="40" t="inlineStr">
        <is>
          <t>DIESEL</t>
        </is>
      </c>
      <c r="D99" s="49" t="n">
        <v>4000</v>
      </c>
      <c r="E99" s="49" t="n">
        <v>4000</v>
      </c>
      <c r="F99" s="49" t="n">
        <v>3832</v>
      </c>
      <c r="G99" s="49" t="n">
        <v>168</v>
      </c>
      <c r="H99" s="49" t="n">
        <v>3931.2</v>
      </c>
    </row>
    <row r="100">
      <c r="A100" s="46" t="n">
        <v>1028</v>
      </c>
      <c r="B100" s="34" t="inlineStr">
        <is>
          <t>ОРХ-04</t>
        </is>
      </c>
      <c r="C100" s="34" t="inlineStr">
        <is>
          <t>A92</t>
        </is>
      </c>
      <c r="D100" s="46" t="n">
        <v>5000</v>
      </c>
      <c r="E100" s="46" t="n">
        <v>5000</v>
      </c>
      <c r="F100" s="46" t="n">
        <v>4913</v>
      </c>
      <c r="G100" s="46" t="n">
        <v>87</v>
      </c>
      <c r="H100" s="46" t="n">
        <v>2035.8</v>
      </c>
    </row>
    <row r="101">
      <c r="A101" s="49" t="n">
        <v>1037</v>
      </c>
      <c r="B101" s="40" t="inlineStr">
        <is>
          <t>КОМ-06</t>
        </is>
      </c>
      <c r="C101" s="40" t="inlineStr">
        <is>
          <t>A95</t>
        </is>
      </c>
      <c r="D101" s="49" t="n">
        <v>6000</v>
      </c>
      <c r="E101" s="49" t="n">
        <v>6000</v>
      </c>
      <c r="F101" s="49" t="n">
        <v>5875</v>
      </c>
      <c r="G101" s="49" t="n">
        <v>125</v>
      </c>
      <c r="H101" s="49" t="n">
        <v>2925</v>
      </c>
    </row>
    <row r="102">
      <c r="A102" s="46" t="n">
        <v>1088</v>
      </c>
      <c r="B102" s="34" t="inlineStr">
        <is>
          <t>ОРХ-16</t>
        </is>
      </c>
      <c r="C102" s="34" t="inlineStr">
        <is>
          <t>A95</t>
        </is>
      </c>
      <c r="D102" s="46" t="n">
        <v>4000</v>
      </c>
      <c r="E102" s="46" t="n">
        <v>4000</v>
      </c>
      <c r="F102" s="46" t="n">
        <v>3867</v>
      </c>
      <c r="G102" s="46" t="n">
        <v>133</v>
      </c>
      <c r="H102" s="46" t="n">
        <v>3112.2</v>
      </c>
    </row>
    <row r="103">
      <c r="A103" s="49" t="n">
        <v>1107</v>
      </c>
      <c r="B103" s="40" t="inlineStr">
        <is>
          <t>КОМ-24</t>
        </is>
      </c>
      <c r="C103" s="40" t="inlineStr">
        <is>
          <t>A92</t>
        </is>
      </c>
      <c r="D103" s="49" t="n">
        <v>4000</v>
      </c>
      <c r="E103" s="49" t="n">
        <v>4000</v>
      </c>
      <c r="F103" s="49" t="n">
        <v>3934</v>
      </c>
      <c r="G103" s="49" t="n">
        <v>66</v>
      </c>
      <c r="H103" s="49" t="n">
        <v>1544.4</v>
      </c>
    </row>
    <row r="104">
      <c r="A104" s="46" t="n">
        <v>1108</v>
      </c>
      <c r="B104" s="34" t="inlineStr">
        <is>
          <t>КОМ-24</t>
        </is>
      </c>
      <c r="C104" s="34" t="inlineStr">
        <is>
          <t>A95</t>
        </is>
      </c>
      <c r="D104" s="46" t="n">
        <v>5000</v>
      </c>
      <c r="E104" s="46" t="n">
        <v>5000</v>
      </c>
      <c r="F104" s="46" t="n">
        <v>4875</v>
      </c>
      <c r="G104" s="46" t="n">
        <v>125</v>
      </c>
      <c r="H104" s="46" t="n">
        <v>2925</v>
      </c>
    </row>
    <row r="105">
      <c r="A105" s="49" t="n">
        <v>1126</v>
      </c>
      <c r="B105" s="40" t="inlineStr">
        <is>
          <t>КОМ-12</t>
        </is>
      </c>
      <c r="C105" s="40" t="inlineStr">
        <is>
          <t>GPL</t>
        </is>
      </c>
      <c r="D105" s="49" t="n">
        <v>5000</v>
      </c>
      <c r="E105" s="49" t="n">
        <v>5000</v>
      </c>
      <c r="F105" s="49" t="n">
        <v>4642</v>
      </c>
      <c r="G105" s="49" t="n">
        <v>358</v>
      </c>
      <c r="H105" s="49" t="n">
        <v>8377.200000000001</v>
      </c>
    </row>
    <row r="106">
      <c r="A106" s="46" t="n">
        <v>1132</v>
      </c>
      <c r="B106" s="34" t="inlineStr">
        <is>
          <t>ОРХ-04</t>
        </is>
      </c>
      <c r="C106" s="34" t="inlineStr">
        <is>
          <t>A95</t>
        </is>
      </c>
      <c r="D106" s="46" t="n">
        <v>4000</v>
      </c>
      <c r="E106" s="46" t="n">
        <v>4000</v>
      </c>
      <c r="F106" s="46" t="n">
        <v>3783</v>
      </c>
      <c r="G106" s="46" t="n">
        <v>217</v>
      </c>
      <c r="H106" s="46" t="n">
        <v>5077.8</v>
      </c>
    </row>
    <row r="107">
      <c r="A107" s="49" t="n">
        <v>1137</v>
      </c>
      <c r="B107" s="40" t="inlineStr">
        <is>
          <t>КАГ-03</t>
        </is>
      </c>
      <c r="C107" s="40" t="inlineStr">
        <is>
          <t>A95</t>
        </is>
      </c>
      <c r="D107" s="49" t="n">
        <v>5000</v>
      </c>
      <c r="E107" s="49" t="n">
        <v>5000</v>
      </c>
      <c r="F107" s="49" t="n">
        <v>4850</v>
      </c>
      <c r="G107" s="49" t="n">
        <v>150</v>
      </c>
      <c r="H107" s="49" t="n">
        <v>3510</v>
      </c>
    </row>
    <row r="108">
      <c r="A108" s="46" t="n">
        <v>1172</v>
      </c>
      <c r="B108" s="34" t="inlineStr">
        <is>
          <t>БЭЛ-08</t>
        </is>
      </c>
      <c r="C108" s="34" t="inlineStr">
        <is>
          <t>A95</t>
        </is>
      </c>
      <c r="D108" s="46" t="n">
        <v>5000</v>
      </c>
      <c r="E108" s="46" t="n">
        <v>5000</v>
      </c>
      <c r="F108" s="46" t="n">
        <v>4663</v>
      </c>
      <c r="G108" s="46" t="n">
        <v>337</v>
      </c>
      <c r="H108" s="46" t="n">
        <v>7885.8</v>
      </c>
    </row>
    <row r="109">
      <c r="A109" s="49" t="n">
        <v>1173</v>
      </c>
      <c r="B109" s="40" t="inlineStr">
        <is>
          <t>КИШ-07</t>
        </is>
      </c>
      <c r="C109" s="40" t="inlineStr">
        <is>
          <t>DIESEL</t>
        </is>
      </c>
      <c r="D109" s="49" t="n">
        <v>5000</v>
      </c>
      <c r="E109" s="49" t="n">
        <v>5000</v>
      </c>
      <c r="F109" s="49" t="n">
        <v>4872</v>
      </c>
      <c r="G109" s="49" t="n">
        <v>128</v>
      </c>
      <c r="H109" s="49" t="n">
        <v>2995.2</v>
      </c>
    </row>
    <row r="110">
      <c r="A110" s="46" t="n">
        <v>1175</v>
      </c>
      <c r="B110" s="34" t="inlineStr">
        <is>
          <t>КОМ-12</t>
        </is>
      </c>
      <c r="C110" s="34" t="inlineStr">
        <is>
          <t>A95</t>
        </is>
      </c>
      <c r="D110" s="46" t="n">
        <v>5000</v>
      </c>
      <c r="E110" s="46" t="n">
        <v>5000</v>
      </c>
      <c r="F110" s="46" t="n">
        <v>4801</v>
      </c>
      <c r="G110" s="46" t="n">
        <v>199</v>
      </c>
      <c r="H110" s="46" t="n">
        <v>4656.6</v>
      </c>
    </row>
    <row r="111">
      <c r="A111" s="49" t="n">
        <v>1178</v>
      </c>
      <c r="B111" s="40" t="inlineStr">
        <is>
          <t>ОРХ-10</t>
        </is>
      </c>
      <c r="C111" s="40" t="inlineStr">
        <is>
          <t>A92</t>
        </is>
      </c>
      <c r="D111" s="49" t="n">
        <v>6000</v>
      </c>
      <c r="E111" s="49" t="n">
        <v>6000</v>
      </c>
      <c r="F111" s="49" t="n">
        <v>5670</v>
      </c>
      <c r="G111" s="49" t="n">
        <v>330</v>
      </c>
      <c r="H111" s="49" t="n">
        <v>7722</v>
      </c>
    </row>
    <row r="112">
      <c r="A112" s="46" t="n">
        <v>1206</v>
      </c>
      <c r="B112" s="34" t="inlineStr">
        <is>
          <t>КИШ-01</t>
        </is>
      </c>
      <c r="C112" s="34" t="inlineStr">
        <is>
          <t>A92</t>
        </is>
      </c>
      <c r="D112" s="46" t="n">
        <v>5000</v>
      </c>
      <c r="E112" s="46" t="n">
        <v>5000</v>
      </c>
      <c r="F112" s="46" t="n">
        <v>4756</v>
      </c>
      <c r="G112" s="46" t="n">
        <v>244</v>
      </c>
      <c r="H112" s="46" t="n">
        <v>5709.6</v>
      </c>
    </row>
    <row r="113">
      <c r="A113" s="49" t="n">
        <v>1212</v>
      </c>
      <c r="B113" s="40" t="inlineStr">
        <is>
          <t>ОРХ-10</t>
        </is>
      </c>
      <c r="C113" s="40" t="inlineStr">
        <is>
          <t>A95</t>
        </is>
      </c>
      <c r="D113" s="49" t="n">
        <v>6000</v>
      </c>
      <c r="E113" s="49" t="n">
        <v>6000</v>
      </c>
      <c r="F113" s="49" t="n">
        <v>5850</v>
      </c>
      <c r="G113" s="49" t="n">
        <v>150</v>
      </c>
      <c r="H113" s="49" t="n">
        <v>3510</v>
      </c>
    </row>
    <row r="114">
      <c r="A114" s="46" t="n">
        <v>1240</v>
      </c>
      <c r="B114" s="34" t="inlineStr">
        <is>
          <t>КОМ-18</t>
        </is>
      </c>
      <c r="C114" s="34" t="inlineStr">
        <is>
          <t>A95</t>
        </is>
      </c>
      <c r="D114" s="46" t="n">
        <v>4000</v>
      </c>
      <c r="E114" s="46" t="n">
        <v>4000</v>
      </c>
      <c r="F114" s="46" t="n">
        <v>3802</v>
      </c>
      <c r="G114" s="46" t="n">
        <v>198</v>
      </c>
      <c r="H114" s="46" t="n">
        <v>4633.2</v>
      </c>
    </row>
    <row r="115">
      <c r="A115" s="49" t="n">
        <v>1282</v>
      </c>
      <c r="B115" s="40" t="inlineStr">
        <is>
          <t>УНГ-17</t>
        </is>
      </c>
      <c r="C115" s="40" t="inlineStr">
        <is>
          <t>A95</t>
        </is>
      </c>
      <c r="D115" s="49" t="n">
        <v>5000</v>
      </c>
      <c r="E115" s="49" t="n">
        <v>5000</v>
      </c>
      <c r="F115" s="49" t="n">
        <v>4700</v>
      </c>
      <c r="G115" s="49" t="n">
        <v>300</v>
      </c>
      <c r="H115" s="49" t="n">
        <v>7020</v>
      </c>
    </row>
    <row r="116">
      <c r="A116" s="46" t="n">
        <v>1290</v>
      </c>
      <c r="B116" s="34" t="inlineStr">
        <is>
          <t>КИШ-19</t>
        </is>
      </c>
      <c r="C116" s="34" t="inlineStr">
        <is>
          <t>DIESEL</t>
        </is>
      </c>
      <c r="D116" s="46" t="n">
        <v>5000</v>
      </c>
      <c r="E116" s="46" t="n">
        <v>5000</v>
      </c>
      <c r="F116" s="46" t="n">
        <v>4624</v>
      </c>
      <c r="G116" s="46" t="n">
        <v>376</v>
      </c>
      <c r="H116" s="46" t="n">
        <v>8798.4</v>
      </c>
    </row>
    <row r="117">
      <c r="A117" s="49" t="n">
        <v>1292</v>
      </c>
      <c r="B117" s="40" t="inlineStr">
        <is>
          <t>КОМ-12</t>
        </is>
      </c>
      <c r="C117" s="40" t="inlineStr">
        <is>
          <t>A92</t>
        </is>
      </c>
      <c r="D117" s="49" t="n">
        <v>3000</v>
      </c>
      <c r="E117" s="49" t="n">
        <v>3000</v>
      </c>
      <c r="F117" s="49" t="n">
        <v>2654</v>
      </c>
      <c r="G117" s="49" t="n">
        <v>346</v>
      </c>
      <c r="H117" s="49" t="n">
        <v>8096.4</v>
      </c>
    </row>
    <row r="118">
      <c r="A118" s="46" t="n">
        <v>1297</v>
      </c>
      <c r="B118" s="34" t="inlineStr">
        <is>
          <t>УНГ-17</t>
        </is>
      </c>
      <c r="C118" s="34" t="inlineStr">
        <is>
          <t>DIESEL</t>
        </is>
      </c>
      <c r="D118" s="46" t="n">
        <v>5000</v>
      </c>
      <c r="E118" s="46" t="n">
        <v>5000</v>
      </c>
      <c r="F118" s="46" t="n">
        <v>4649</v>
      </c>
      <c r="G118" s="46" t="n">
        <v>351</v>
      </c>
      <c r="H118" s="46" t="n">
        <v>8213.4</v>
      </c>
    </row>
    <row r="119">
      <c r="A119" s="49" t="n">
        <v>1311</v>
      </c>
      <c r="B119" s="40" t="inlineStr">
        <is>
          <t>ОРХ-10</t>
        </is>
      </c>
      <c r="C119" s="40" t="inlineStr">
        <is>
          <t>A95</t>
        </is>
      </c>
      <c r="D119" s="49" t="n">
        <v>4000</v>
      </c>
      <c r="E119" s="49" t="n">
        <v>4000</v>
      </c>
      <c r="F119" s="49" t="n">
        <v>3766</v>
      </c>
      <c r="G119" s="49" t="n">
        <v>234</v>
      </c>
      <c r="H119" s="49" t="n">
        <v>5475.6</v>
      </c>
    </row>
    <row r="120">
      <c r="A120" s="46" t="n">
        <v>1374</v>
      </c>
      <c r="B120" s="34" t="inlineStr">
        <is>
          <t>БЭЛ-02</t>
        </is>
      </c>
      <c r="C120" s="34" t="inlineStr">
        <is>
          <t>DIESEL</t>
        </is>
      </c>
      <c r="D120" s="46" t="n">
        <v>5000</v>
      </c>
      <c r="E120" s="46" t="n">
        <v>5000</v>
      </c>
      <c r="F120" s="46" t="n">
        <v>4861</v>
      </c>
      <c r="G120" s="46" t="n">
        <v>139</v>
      </c>
      <c r="H120" s="46" t="n">
        <v>3252.6</v>
      </c>
    </row>
    <row r="121">
      <c r="A121" s="49" t="n">
        <v>1378</v>
      </c>
      <c r="B121" s="40" t="inlineStr">
        <is>
          <t>КИШ-07</t>
        </is>
      </c>
      <c r="C121" s="40" t="inlineStr">
        <is>
          <t>A92</t>
        </is>
      </c>
      <c r="D121" s="49" t="n">
        <v>6000</v>
      </c>
      <c r="E121" s="49" t="n">
        <v>6000</v>
      </c>
      <c r="F121" s="49" t="n">
        <v>5682</v>
      </c>
      <c r="G121" s="49" t="n">
        <v>318</v>
      </c>
      <c r="H121" s="49" t="n">
        <v>7441.2</v>
      </c>
    </row>
    <row r="122">
      <c r="A122" s="46" t="n">
        <v>1382</v>
      </c>
      <c r="B122" s="34" t="inlineStr">
        <is>
          <t>БЭЛ-20</t>
        </is>
      </c>
      <c r="C122" s="34" t="inlineStr">
        <is>
          <t>A95</t>
        </is>
      </c>
      <c r="D122" s="46" t="n">
        <v>6000</v>
      </c>
      <c r="E122" s="46" t="n">
        <v>6000</v>
      </c>
      <c r="F122" s="46" t="n">
        <v>5613</v>
      </c>
      <c r="G122" s="46" t="n">
        <v>387</v>
      </c>
      <c r="H122" s="46" t="n">
        <v>9055.799999999999</v>
      </c>
    </row>
    <row r="123">
      <c r="A123" s="49" t="n">
        <v>1384</v>
      </c>
      <c r="B123" s="40" t="inlineStr">
        <is>
          <t>БЭЛ-14</t>
        </is>
      </c>
      <c r="C123" s="40" t="inlineStr">
        <is>
          <t>A95</t>
        </is>
      </c>
      <c r="D123" s="49" t="n">
        <v>3000</v>
      </c>
      <c r="E123" s="49" t="n">
        <v>3000</v>
      </c>
      <c r="F123" s="49" t="n">
        <v>2852</v>
      </c>
      <c r="G123" s="49" t="n">
        <v>148</v>
      </c>
      <c r="H123" s="49" t="n">
        <v>3463.2</v>
      </c>
    </row>
    <row r="124">
      <c r="A124" s="46" t="n">
        <v>1407</v>
      </c>
      <c r="B124" s="34" t="inlineStr">
        <is>
          <t>КИШ-19</t>
        </is>
      </c>
      <c r="C124" s="34" t="inlineStr">
        <is>
          <t>DIESEL</t>
        </is>
      </c>
      <c r="D124" s="46" t="n">
        <v>6000</v>
      </c>
      <c r="E124" s="46" t="n">
        <v>6000</v>
      </c>
      <c r="F124" s="46" t="n">
        <v>5919</v>
      </c>
      <c r="G124" s="46" t="n">
        <v>81</v>
      </c>
      <c r="H124" s="46" t="n">
        <v>1895.4</v>
      </c>
    </row>
    <row r="125">
      <c r="A125" s="49" t="n">
        <v>1423</v>
      </c>
      <c r="B125" s="40" t="inlineStr">
        <is>
          <t>КОМ-06</t>
        </is>
      </c>
      <c r="C125" s="40" t="inlineStr">
        <is>
          <t>A95</t>
        </is>
      </c>
      <c r="D125" s="49" t="n">
        <v>6000</v>
      </c>
      <c r="E125" s="49" t="n">
        <v>6000</v>
      </c>
      <c r="F125" s="49" t="n">
        <v>5796</v>
      </c>
      <c r="G125" s="49" t="n">
        <v>204</v>
      </c>
      <c r="H125" s="49" t="n">
        <v>4773.6</v>
      </c>
    </row>
    <row r="126">
      <c r="A126" s="46" t="n">
        <v>1460</v>
      </c>
      <c r="B126" s="34" t="inlineStr">
        <is>
          <t>ОРХ-04</t>
        </is>
      </c>
      <c r="C126" s="34" t="inlineStr">
        <is>
          <t>DIESEL</t>
        </is>
      </c>
      <c r="D126" s="46" t="n">
        <v>5000</v>
      </c>
      <c r="E126" s="46" t="n">
        <v>5000</v>
      </c>
      <c r="F126" s="46" t="n">
        <v>4642</v>
      </c>
      <c r="G126" s="46" t="n">
        <v>358</v>
      </c>
      <c r="H126" s="46" t="n">
        <v>8377.200000000001</v>
      </c>
    </row>
    <row r="127">
      <c r="A127" s="49" t="n">
        <v>1514</v>
      </c>
      <c r="B127" s="40" t="inlineStr">
        <is>
          <t>КАГ-21</t>
        </is>
      </c>
      <c r="C127" s="40" t="inlineStr">
        <is>
          <t>A92</t>
        </is>
      </c>
      <c r="D127" s="49" t="n">
        <v>5000</v>
      </c>
      <c r="E127" s="49" t="n">
        <v>5000</v>
      </c>
      <c r="F127" s="49" t="n">
        <v>4929</v>
      </c>
      <c r="G127" s="49" t="n">
        <v>71</v>
      </c>
      <c r="H127" s="49" t="n">
        <v>1661.4</v>
      </c>
    </row>
    <row r="128">
      <c r="A128" s="46" t="n">
        <v>1521</v>
      </c>
      <c r="B128" s="34" t="inlineStr">
        <is>
          <t>КАГ-09</t>
        </is>
      </c>
      <c r="C128" s="34" t="inlineStr">
        <is>
          <t>A95</t>
        </is>
      </c>
      <c r="D128" s="46" t="n">
        <v>5000</v>
      </c>
      <c r="E128" s="46" t="n">
        <v>5000</v>
      </c>
      <c r="F128" s="46" t="n">
        <v>4601</v>
      </c>
      <c r="G128" s="46" t="n">
        <v>399</v>
      </c>
      <c r="H128" s="46" t="n">
        <v>9336.6</v>
      </c>
    </row>
    <row r="129">
      <c r="A129" s="49" t="n">
        <v>1525</v>
      </c>
      <c r="B129" s="40" t="inlineStr">
        <is>
          <t>ОРХ-22</t>
        </is>
      </c>
      <c r="C129" s="40" t="inlineStr">
        <is>
          <t>A92</t>
        </is>
      </c>
      <c r="D129" s="49" t="n">
        <v>5000</v>
      </c>
      <c r="E129" s="49" t="n">
        <v>5000</v>
      </c>
      <c r="F129" s="49" t="n">
        <v>4606</v>
      </c>
      <c r="G129" s="49" t="n">
        <v>394</v>
      </c>
      <c r="H129" s="49" t="n">
        <v>9219.6</v>
      </c>
    </row>
    <row r="130">
      <c r="A130" s="46" t="n">
        <v>1560</v>
      </c>
      <c r="B130" s="34" t="inlineStr">
        <is>
          <t>БЭЛ-14</t>
        </is>
      </c>
      <c r="C130" s="34" t="inlineStr">
        <is>
          <t>A95</t>
        </is>
      </c>
      <c r="D130" s="46" t="n">
        <v>6000</v>
      </c>
      <c r="E130" s="46" t="n">
        <v>6000</v>
      </c>
      <c r="F130" s="46" t="n">
        <v>5696</v>
      </c>
      <c r="G130" s="46" t="n">
        <v>304</v>
      </c>
      <c r="H130" s="46" t="n">
        <v>7113.6</v>
      </c>
    </row>
    <row r="131">
      <c r="A131" s="49" t="n">
        <v>1563</v>
      </c>
      <c r="B131" s="40" t="inlineStr">
        <is>
          <t>ОРХ-04</t>
        </is>
      </c>
      <c r="C131" s="40" t="inlineStr">
        <is>
          <t>A95</t>
        </is>
      </c>
      <c r="D131" s="49" t="n">
        <v>5000</v>
      </c>
      <c r="E131" s="49" t="n">
        <v>5000</v>
      </c>
      <c r="F131" s="49" t="n">
        <v>4744</v>
      </c>
      <c r="G131" s="49" t="n">
        <v>256</v>
      </c>
      <c r="H131" s="49" t="n">
        <v>5990.4</v>
      </c>
    </row>
    <row r="132">
      <c r="A132" s="46" t="n">
        <v>1577</v>
      </c>
      <c r="B132" s="34" t="inlineStr">
        <is>
          <t>КИШ-19</t>
        </is>
      </c>
      <c r="C132" s="34" t="inlineStr">
        <is>
          <t>A92</t>
        </is>
      </c>
      <c r="D132" s="46" t="n">
        <v>4000</v>
      </c>
      <c r="E132" s="46" t="n">
        <v>4000</v>
      </c>
      <c r="F132" s="46" t="n">
        <v>3730</v>
      </c>
      <c r="G132" s="46" t="n">
        <v>270</v>
      </c>
      <c r="H132" s="46" t="n">
        <v>6318</v>
      </c>
    </row>
    <row r="133">
      <c r="A133" s="49" t="n">
        <v>1589</v>
      </c>
      <c r="B133" s="40" t="inlineStr">
        <is>
          <t>ОРХ-10</t>
        </is>
      </c>
      <c r="C133" s="40" t="inlineStr">
        <is>
          <t>DIESEL</t>
        </is>
      </c>
      <c r="D133" s="49" t="n">
        <v>5000</v>
      </c>
      <c r="E133" s="49" t="n">
        <v>5000</v>
      </c>
      <c r="F133" s="49" t="n">
        <v>4938</v>
      </c>
      <c r="G133" s="49" t="n">
        <v>62</v>
      </c>
      <c r="H133" s="49" t="n">
        <v>1450.8</v>
      </c>
    </row>
    <row r="134">
      <c r="A134" s="46" t="n">
        <v>1601</v>
      </c>
      <c r="B134" s="34" t="inlineStr">
        <is>
          <t>КАГ-15</t>
        </is>
      </c>
      <c r="C134" s="34" t="inlineStr">
        <is>
          <t>A92</t>
        </is>
      </c>
      <c r="D134" s="46" t="n">
        <v>5000</v>
      </c>
      <c r="E134" s="46" t="n">
        <v>5000</v>
      </c>
      <c r="F134" s="46" t="n">
        <v>4735</v>
      </c>
      <c r="G134" s="46" t="n">
        <v>265</v>
      </c>
      <c r="H134" s="46" t="n">
        <v>6201</v>
      </c>
    </row>
    <row r="135">
      <c r="A135" s="49" t="n">
        <v>1636</v>
      </c>
      <c r="B135" s="40" t="inlineStr">
        <is>
          <t>УНГ-11</t>
        </is>
      </c>
      <c r="C135" s="40" t="inlineStr">
        <is>
          <t>DIESEL</t>
        </is>
      </c>
      <c r="D135" s="49" t="n">
        <v>3000</v>
      </c>
      <c r="E135" s="49" t="n">
        <v>3000</v>
      </c>
      <c r="F135" s="49" t="n">
        <v>2587</v>
      </c>
      <c r="G135" s="49" t="n">
        <v>413</v>
      </c>
      <c r="H135" s="49" t="n">
        <v>9664.200000000001</v>
      </c>
    </row>
    <row r="136">
      <c r="A136" s="46" t="n">
        <v>1655</v>
      </c>
      <c r="B136" s="34" t="inlineStr">
        <is>
          <t>ОРХ-04</t>
        </is>
      </c>
      <c r="C136" s="34" t="inlineStr">
        <is>
          <t>DIESEL</t>
        </is>
      </c>
      <c r="D136" s="46" t="n">
        <v>4000</v>
      </c>
      <c r="E136" s="46" t="n">
        <v>4000</v>
      </c>
      <c r="F136" s="46" t="n">
        <v>3670</v>
      </c>
      <c r="G136" s="46" t="n">
        <v>330</v>
      </c>
      <c r="H136" s="46" t="n">
        <v>7722</v>
      </c>
    </row>
    <row r="137">
      <c r="A137" s="49" t="n">
        <v>1694</v>
      </c>
      <c r="B137" s="40" t="inlineStr">
        <is>
          <t>КАГ-15</t>
        </is>
      </c>
      <c r="C137" s="40" t="inlineStr">
        <is>
          <t>DIESEL</t>
        </is>
      </c>
      <c r="D137" s="49" t="n">
        <v>5000</v>
      </c>
      <c r="E137" s="49" t="n">
        <v>5000</v>
      </c>
      <c r="F137" s="49" t="n">
        <v>4899</v>
      </c>
      <c r="G137" s="49" t="n">
        <v>101</v>
      </c>
      <c r="H137" s="49" t="n">
        <v>2363.4</v>
      </c>
    </row>
    <row r="138">
      <c r="A138" s="46" t="n">
        <v>1695</v>
      </c>
      <c r="B138" s="34" t="inlineStr">
        <is>
          <t>КАГ-03</t>
        </is>
      </c>
      <c r="C138" s="34" t="inlineStr">
        <is>
          <t>DIESEL</t>
        </is>
      </c>
      <c r="D138" s="46" t="n">
        <v>6000</v>
      </c>
      <c r="E138" s="46" t="n">
        <v>6000</v>
      </c>
      <c r="F138" s="46" t="n">
        <v>5751</v>
      </c>
      <c r="G138" s="46" t="n">
        <v>249</v>
      </c>
      <c r="H138" s="46" t="n">
        <v>5826.6</v>
      </c>
    </row>
    <row r="139">
      <c r="A139" s="49" t="n">
        <v>1715</v>
      </c>
      <c r="B139" s="40" t="inlineStr">
        <is>
          <t>КИШ-13</t>
        </is>
      </c>
      <c r="C139" s="40" t="inlineStr">
        <is>
          <t>A92</t>
        </is>
      </c>
      <c r="D139" s="49" t="n">
        <v>5000</v>
      </c>
      <c r="E139" s="49" t="n">
        <v>5000</v>
      </c>
      <c r="F139" s="49" t="n">
        <v>4630</v>
      </c>
      <c r="G139" s="49" t="n">
        <v>370</v>
      </c>
      <c r="H139" s="49" t="n">
        <v>8658</v>
      </c>
    </row>
    <row r="140">
      <c r="A140" s="46" t="n">
        <v>1719</v>
      </c>
      <c r="B140" s="34" t="inlineStr">
        <is>
          <t>КОМ-18</t>
        </is>
      </c>
      <c r="C140" s="34" t="inlineStr">
        <is>
          <t>A92</t>
        </is>
      </c>
      <c r="D140" s="46" t="n">
        <v>4000</v>
      </c>
      <c r="E140" s="46" t="n">
        <v>4000</v>
      </c>
      <c r="F140" s="46" t="n">
        <v>3696</v>
      </c>
      <c r="G140" s="46" t="n">
        <v>304</v>
      </c>
      <c r="H140" s="46" t="n">
        <v>7113.6</v>
      </c>
    </row>
    <row r="141">
      <c r="A141" s="49" t="n">
        <v>1727</v>
      </c>
      <c r="B141" s="40" t="inlineStr">
        <is>
          <t>КИШ-07</t>
        </is>
      </c>
      <c r="C141" s="40" t="inlineStr">
        <is>
          <t>A95</t>
        </is>
      </c>
      <c r="D141" s="49" t="n">
        <v>5000</v>
      </c>
      <c r="E141" s="49" t="n">
        <v>5000</v>
      </c>
      <c r="F141" s="49" t="n">
        <v>4890</v>
      </c>
      <c r="G141" s="49" t="n">
        <v>110</v>
      </c>
      <c r="H141" s="49" t="n">
        <v>2574</v>
      </c>
    </row>
    <row r="142">
      <c r="A142" s="46" t="n">
        <v>1732</v>
      </c>
      <c r="B142" s="34" t="inlineStr">
        <is>
          <t>ОРХ-04</t>
        </is>
      </c>
      <c r="C142" s="34" t="inlineStr">
        <is>
          <t>A92</t>
        </is>
      </c>
      <c r="D142" s="46" t="n">
        <v>4000</v>
      </c>
      <c r="E142" s="46" t="n">
        <v>4000</v>
      </c>
      <c r="F142" s="46" t="n">
        <v>3914</v>
      </c>
      <c r="G142" s="46" t="n">
        <v>86</v>
      </c>
      <c r="H142" s="46" t="n">
        <v>2012.4</v>
      </c>
    </row>
    <row r="143">
      <c r="A143" s="49" t="n">
        <v>1733</v>
      </c>
      <c r="B143" s="40" t="inlineStr">
        <is>
          <t>КИШ-19</t>
        </is>
      </c>
      <c r="C143" s="40" t="inlineStr">
        <is>
          <t>GPL</t>
        </is>
      </c>
      <c r="D143" s="49" t="n">
        <v>4000</v>
      </c>
      <c r="E143" s="49" t="n">
        <v>4000</v>
      </c>
      <c r="F143" s="49" t="n">
        <v>3686</v>
      </c>
      <c r="G143" s="49" t="n">
        <v>314</v>
      </c>
      <c r="H143" s="49" t="n">
        <v>7347.6</v>
      </c>
    </row>
    <row r="144">
      <c r="A144" s="46" t="n">
        <v>1754</v>
      </c>
      <c r="B144" s="34" t="inlineStr">
        <is>
          <t>КИШ-07</t>
        </is>
      </c>
      <c r="C144" s="34" t="inlineStr">
        <is>
          <t>A92</t>
        </is>
      </c>
      <c r="D144" s="46" t="n">
        <v>6000</v>
      </c>
      <c r="E144" s="46" t="n">
        <v>6000</v>
      </c>
      <c r="F144" s="46" t="n">
        <v>5812</v>
      </c>
      <c r="G144" s="46" t="n">
        <v>188</v>
      </c>
      <c r="H144" s="46" t="n">
        <v>4399.2</v>
      </c>
    </row>
    <row r="145">
      <c r="A145" s="49" t="n">
        <v>1755</v>
      </c>
      <c r="B145" s="40" t="inlineStr">
        <is>
          <t>КИШ-07</t>
        </is>
      </c>
      <c r="C145" s="40" t="inlineStr">
        <is>
          <t>DIESEL</t>
        </is>
      </c>
      <c r="D145" s="49" t="n">
        <v>5000</v>
      </c>
      <c r="E145" s="49" t="n">
        <v>5000</v>
      </c>
      <c r="F145" s="49" t="n">
        <v>4851</v>
      </c>
      <c r="G145" s="49" t="n">
        <v>149</v>
      </c>
      <c r="H145" s="49" t="n">
        <v>3486.6</v>
      </c>
    </row>
    <row r="146">
      <c r="A146" s="46" t="n">
        <v>1777</v>
      </c>
      <c r="B146" s="34" t="inlineStr">
        <is>
          <t>КАГ-09</t>
        </is>
      </c>
      <c r="C146" s="34" t="inlineStr">
        <is>
          <t>DIESEL</t>
        </is>
      </c>
      <c r="D146" s="46" t="n">
        <v>6000</v>
      </c>
      <c r="E146" s="46" t="n">
        <v>6000</v>
      </c>
      <c r="F146" s="46" t="n">
        <v>5769</v>
      </c>
      <c r="G146" s="46" t="n">
        <v>231</v>
      </c>
      <c r="H146" s="46" t="n">
        <v>5405.4</v>
      </c>
    </row>
    <row r="147">
      <c r="A147" s="49" t="n">
        <v>1778</v>
      </c>
      <c r="B147" s="40" t="inlineStr">
        <is>
          <t>ОРХ-16</t>
        </is>
      </c>
      <c r="C147" s="40" t="inlineStr">
        <is>
          <t>A95</t>
        </is>
      </c>
      <c r="D147" s="49" t="n">
        <v>4000</v>
      </c>
      <c r="E147" s="49" t="n">
        <v>4000</v>
      </c>
      <c r="F147" s="49" t="n">
        <v>3903</v>
      </c>
      <c r="G147" s="49" t="n">
        <v>97</v>
      </c>
      <c r="H147" s="49" t="n">
        <v>2269.8</v>
      </c>
    </row>
    <row r="148">
      <c r="A148" s="46" t="n">
        <v>1783</v>
      </c>
      <c r="B148" s="34" t="inlineStr">
        <is>
          <t>БЭЛ-08</t>
        </is>
      </c>
      <c r="C148" s="34" t="inlineStr">
        <is>
          <t>DIESEL</t>
        </is>
      </c>
      <c r="D148" s="46" t="n">
        <v>5000</v>
      </c>
      <c r="E148" s="46" t="n">
        <v>5000</v>
      </c>
      <c r="F148" s="46" t="n">
        <v>4890</v>
      </c>
      <c r="G148" s="46" t="n">
        <v>110</v>
      </c>
      <c r="H148" s="46" t="n">
        <v>2574</v>
      </c>
    </row>
    <row r="149">
      <c r="A149" s="49" t="n">
        <v>1798</v>
      </c>
      <c r="B149" s="40" t="inlineStr">
        <is>
          <t>КАГ-09</t>
        </is>
      </c>
      <c r="C149" s="40" t="inlineStr">
        <is>
          <t>A92</t>
        </is>
      </c>
      <c r="D149" s="49" t="n">
        <v>3000</v>
      </c>
      <c r="E149" s="49" t="n">
        <v>3000</v>
      </c>
      <c r="F149" s="49" t="n">
        <v>2610</v>
      </c>
      <c r="G149" s="49" t="n">
        <v>390</v>
      </c>
      <c r="H149" s="49" t="n">
        <v>9126</v>
      </c>
    </row>
    <row r="150">
      <c r="A150" s="46" t="n">
        <v>1853</v>
      </c>
      <c r="B150" s="34" t="inlineStr">
        <is>
          <t>БЭЛ-14</t>
        </is>
      </c>
      <c r="C150" s="34" t="inlineStr">
        <is>
          <t>DIESEL</t>
        </is>
      </c>
      <c r="D150" s="46" t="n">
        <v>5000</v>
      </c>
      <c r="E150" s="46" t="n">
        <v>5000</v>
      </c>
      <c r="F150" s="46" t="n">
        <v>4672</v>
      </c>
      <c r="G150" s="46" t="n">
        <v>328</v>
      </c>
      <c r="H150" s="46" t="n">
        <v>7675.2</v>
      </c>
    </row>
    <row r="151">
      <c r="A151" s="49" t="n">
        <v>1864</v>
      </c>
      <c r="B151" s="40" t="inlineStr">
        <is>
          <t>КОМ-12</t>
        </is>
      </c>
      <c r="C151" s="40" t="inlineStr">
        <is>
          <t>A95</t>
        </is>
      </c>
      <c r="D151" s="49" t="n">
        <v>5000</v>
      </c>
      <c r="E151" s="49" t="n">
        <v>5000</v>
      </c>
      <c r="F151" s="49" t="n">
        <v>4700</v>
      </c>
      <c r="G151" s="49" t="n">
        <v>300</v>
      </c>
      <c r="H151" s="49" t="n">
        <v>7020</v>
      </c>
    </row>
    <row r="152">
      <c r="A152" s="46" t="n">
        <v>1875</v>
      </c>
      <c r="B152" s="34" t="inlineStr">
        <is>
          <t>КАГ-21</t>
        </is>
      </c>
      <c r="C152" s="34" t="inlineStr">
        <is>
          <t>DIESEL</t>
        </is>
      </c>
      <c r="D152" s="46" t="n">
        <v>6000</v>
      </c>
      <c r="E152" s="46" t="n">
        <v>6000</v>
      </c>
      <c r="F152" s="46" t="n">
        <v>5856</v>
      </c>
      <c r="G152" s="46" t="n">
        <v>144</v>
      </c>
      <c r="H152" s="46" t="n">
        <v>3369.6</v>
      </c>
    </row>
    <row r="153">
      <c r="A153" s="49" t="n">
        <v>1880</v>
      </c>
      <c r="B153" s="40" t="inlineStr">
        <is>
          <t>КАГ-09</t>
        </is>
      </c>
      <c r="C153" s="40" t="inlineStr">
        <is>
          <t>DIESEL</t>
        </is>
      </c>
      <c r="D153" s="49" t="n">
        <v>5000</v>
      </c>
      <c r="E153" s="49" t="n">
        <v>5000</v>
      </c>
      <c r="F153" s="49" t="n">
        <v>4678</v>
      </c>
      <c r="G153" s="49" t="n">
        <v>322</v>
      </c>
      <c r="H153" s="49" t="n">
        <v>7534.8</v>
      </c>
    </row>
    <row r="154">
      <c r="A154" s="46" t="n">
        <v>1914</v>
      </c>
      <c r="B154" s="34" t="inlineStr">
        <is>
          <t>КАГ-21</t>
        </is>
      </c>
      <c r="C154" s="34" t="inlineStr">
        <is>
          <t>A92</t>
        </is>
      </c>
      <c r="D154" s="46" t="n">
        <v>5000</v>
      </c>
      <c r="E154" s="46" t="n">
        <v>5000</v>
      </c>
      <c r="F154" s="46" t="n">
        <v>4668</v>
      </c>
      <c r="G154" s="46" t="n">
        <v>332</v>
      </c>
      <c r="H154" s="46" t="n">
        <v>7768.8</v>
      </c>
    </row>
    <row r="155">
      <c r="A155" s="49" t="n">
        <v>1922</v>
      </c>
      <c r="B155" s="40" t="inlineStr">
        <is>
          <t>КИШ-13</t>
        </is>
      </c>
      <c r="C155" s="40" t="inlineStr">
        <is>
          <t>DIESEL</t>
        </is>
      </c>
      <c r="D155" s="49" t="n">
        <v>6000</v>
      </c>
      <c r="E155" s="49" t="n">
        <v>6000</v>
      </c>
      <c r="F155" s="49" t="n">
        <v>5814</v>
      </c>
      <c r="G155" s="49" t="n">
        <v>186</v>
      </c>
      <c r="H155" s="49" t="n">
        <v>4352.4</v>
      </c>
    </row>
    <row r="156">
      <c r="A156" s="46" t="n">
        <v>1932</v>
      </c>
      <c r="B156" s="34" t="inlineStr">
        <is>
          <t>КИШ-19</t>
        </is>
      </c>
      <c r="C156" s="34" t="inlineStr">
        <is>
          <t>A92</t>
        </is>
      </c>
      <c r="D156" s="46" t="n">
        <v>5000</v>
      </c>
      <c r="E156" s="46" t="n">
        <v>5000</v>
      </c>
      <c r="F156" s="46" t="n">
        <v>4663</v>
      </c>
      <c r="G156" s="46" t="n">
        <v>337</v>
      </c>
      <c r="H156" s="46" t="n">
        <v>7885.8</v>
      </c>
    </row>
    <row r="157">
      <c r="A157" s="49" t="n">
        <v>1955</v>
      </c>
      <c r="B157" s="40" t="inlineStr">
        <is>
          <t>КОМ-06</t>
        </is>
      </c>
      <c r="C157" s="40" t="inlineStr">
        <is>
          <t>GPL</t>
        </is>
      </c>
      <c r="D157" s="49" t="n">
        <v>4000</v>
      </c>
      <c r="E157" s="49" t="n">
        <v>4000</v>
      </c>
      <c r="F157" s="49" t="n">
        <v>3935</v>
      </c>
      <c r="G157" s="49" t="n">
        <v>65</v>
      </c>
      <c r="H157" s="49" t="n">
        <v>1521</v>
      </c>
    </row>
    <row r="158">
      <c r="A158" s="46" t="n">
        <v>1975</v>
      </c>
      <c r="B158" s="34" t="inlineStr">
        <is>
          <t>КИШ-01</t>
        </is>
      </c>
      <c r="C158" s="34" t="inlineStr">
        <is>
          <t>A92</t>
        </is>
      </c>
      <c r="D158" s="46" t="n">
        <v>5000</v>
      </c>
      <c r="E158" s="46" t="n">
        <v>5000</v>
      </c>
      <c r="F158" s="46" t="n">
        <v>4858</v>
      </c>
      <c r="G158" s="46" t="n">
        <v>142</v>
      </c>
      <c r="H158" s="46" t="n">
        <v>3322.8</v>
      </c>
    </row>
    <row r="159">
      <c r="A159" s="49" t="n">
        <v>1993</v>
      </c>
      <c r="B159" s="40" t="inlineStr">
        <is>
          <t>БЭЛ-20</t>
        </is>
      </c>
      <c r="C159" s="40" t="inlineStr">
        <is>
          <t>A95</t>
        </is>
      </c>
      <c r="D159" s="49" t="n">
        <v>6000</v>
      </c>
      <c r="E159" s="49" t="n">
        <v>6000</v>
      </c>
      <c r="F159" s="49" t="n">
        <v>5821</v>
      </c>
      <c r="G159" s="49" t="n">
        <v>179</v>
      </c>
      <c r="H159" s="49" t="n">
        <v>4188.6</v>
      </c>
    </row>
    <row r="160">
      <c r="A160" s="46" t="n">
        <v>2006</v>
      </c>
      <c r="B160" s="34" t="inlineStr">
        <is>
          <t>КОМ-24</t>
        </is>
      </c>
      <c r="C160" s="34" t="inlineStr">
        <is>
          <t>DIESEL</t>
        </is>
      </c>
      <c r="D160" s="46" t="n">
        <v>5000</v>
      </c>
      <c r="E160" s="46" t="n">
        <v>5000</v>
      </c>
      <c r="F160" s="46" t="n">
        <v>4615</v>
      </c>
      <c r="G160" s="46" t="n">
        <v>385</v>
      </c>
      <c r="H160" s="46" t="n">
        <v>9009</v>
      </c>
    </row>
    <row r="161">
      <c r="A161" s="49" t="n">
        <v>2010</v>
      </c>
      <c r="B161" s="40" t="inlineStr">
        <is>
          <t>ОРХ-16</t>
        </is>
      </c>
      <c r="C161" s="40" t="inlineStr">
        <is>
          <t>DIESEL</t>
        </is>
      </c>
      <c r="D161" s="49" t="n">
        <v>5000</v>
      </c>
      <c r="E161" s="49" t="n">
        <v>5000</v>
      </c>
      <c r="F161" s="49" t="n">
        <v>4654</v>
      </c>
      <c r="G161" s="49" t="n">
        <v>346</v>
      </c>
      <c r="H161" s="49" t="n">
        <v>8096.4</v>
      </c>
    </row>
    <row r="162">
      <c r="A162" s="46" t="n">
        <v>2039</v>
      </c>
      <c r="B162" s="34" t="inlineStr">
        <is>
          <t>БЭЛ-08</t>
        </is>
      </c>
      <c r="C162" s="34" t="inlineStr">
        <is>
          <t>A95</t>
        </is>
      </c>
      <c r="D162" s="46" t="n">
        <v>6000</v>
      </c>
      <c r="E162" s="46" t="n">
        <v>6000</v>
      </c>
      <c r="F162" s="46" t="n">
        <v>5756</v>
      </c>
      <c r="G162" s="46" t="n">
        <v>244</v>
      </c>
      <c r="H162" s="46" t="n">
        <v>5709.6</v>
      </c>
    </row>
    <row r="163">
      <c r="A163" s="49" t="n">
        <v>2060</v>
      </c>
      <c r="B163" s="40" t="inlineStr">
        <is>
          <t>КАГ-03</t>
        </is>
      </c>
      <c r="C163" s="40" t="inlineStr">
        <is>
          <t>A95</t>
        </is>
      </c>
      <c r="D163" s="49" t="n">
        <v>6000</v>
      </c>
      <c r="E163" s="49" t="n">
        <v>6000</v>
      </c>
      <c r="F163" s="49" t="n">
        <v>5836</v>
      </c>
      <c r="G163" s="49" t="n">
        <v>164</v>
      </c>
      <c r="H163" s="49" t="n">
        <v>3837.6</v>
      </c>
    </row>
    <row r="164">
      <c r="A164" s="46" t="n">
        <v>2074</v>
      </c>
      <c r="B164" s="34" t="inlineStr">
        <is>
          <t>КОМ-12</t>
        </is>
      </c>
      <c r="C164" s="34" t="inlineStr">
        <is>
          <t>GPL</t>
        </is>
      </c>
      <c r="D164" s="46" t="n">
        <v>5000</v>
      </c>
      <c r="E164" s="46" t="n">
        <v>5000</v>
      </c>
      <c r="F164" s="46" t="n">
        <v>4843</v>
      </c>
      <c r="G164" s="46" t="n">
        <v>157</v>
      </c>
      <c r="H164" s="46" t="n">
        <v>3673.8</v>
      </c>
    </row>
    <row r="165">
      <c r="A165" s="49" t="n">
        <v>2086</v>
      </c>
      <c r="B165" s="40" t="inlineStr">
        <is>
          <t>КИШ-07</t>
        </is>
      </c>
      <c r="C165" s="40" t="inlineStr">
        <is>
          <t>A95</t>
        </is>
      </c>
      <c r="D165" s="49" t="n">
        <v>6000</v>
      </c>
      <c r="E165" s="49" t="n">
        <v>6000</v>
      </c>
      <c r="F165" s="49" t="n">
        <v>5893</v>
      </c>
      <c r="G165" s="49" t="n">
        <v>107</v>
      </c>
      <c r="H165" s="49" t="n">
        <v>2503.8</v>
      </c>
    </row>
    <row r="166">
      <c r="A166" s="46" t="n">
        <v>2111</v>
      </c>
      <c r="B166" s="34" t="inlineStr">
        <is>
          <t>УНГ-23</t>
        </is>
      </c>
      <c r="C166" s="34" t="inlineStr">
        <is>
          <t>DIESEL</t>
        </is>
      </c>
      <c r="D166" s="46" t="n">
        <v>3000</v>
      </c>
      <c r="E166" s="46" t="n">
        <v>3000</v>
      </c>
      <c r="F166" s="46" t="n">
        <v>2789</v>
      </c>
      <c r="G166" s="46" t="n">
        <v>211</v>
      </c>
      <c r="H166" s="46" t="n">
        <v>4937.4</v>
      </c>
    </row>
    <row r="167">
      <c r="A167" s="49" t="n">
        <v>2122</v>
      </c>
      <c r="B167" s="40" t="inlineStr">
        <is>
          <t>УНГ-17</t>
        </is>
      </c>
      <c r="C167" s="40" t="inlineStr">
        <is>
          <t>A92</t>
        </is>
      </c>
      <c r="D167" s="49" t="n">
        <v>5000</v>
      </c>
      <c r="E167" s="49" t="n">
        <v>5000</v>
      </c>
      <c r="F167" s="49" t="n">
        <v>4772</v>
      </c>
      <c r="G167" s="49" t="n">
        <v>228</v>
      </c>
      <c r="H167" s="49" t="n">
        <v>5335.2</v>
      </c>
    </row>
    <row r="168">
      <c r="A168" s="46" t="n">
        <v>2130</v>
      </c>
      <c r="B168" s="34" t="inlineStr">
        <is>
          <t>КАГ-09</t>
        </is>
      </c>
      <c r="C168" s="34" t="inlineStr">
        <is>
          <t>DIESEL</t>
        </is>
      </c>
      <c r="D168" s="46" t="n">
        <v>5000</v>
      </c>
      <c r="E168" s="46" t="n">
        <v>5000</v>
      </c>
      <c r="F168" s="46" t="n">
        <v>4840</v>
      </c>
      <c r="G168" s="46" t="n">
        <v>160</v>
      </c>
      <c r="H168" s="46" t="n">
        <v>3744</v>
      </c>
    </row>
    <row r="169">
      <c r="A169" s="49" t="n">
        <v>2144</v>
      </c>
      <c r="B169" s="40" t="inlineStr">
        <is>
          <t>КИШ-13</t>
        </is>
      </c>
      <c r="C169" s="40" t="inlineStr">
        <is>
          <t>DIESEL</t>
        </is>
      </c>
      <c r="D169" s="49" t="n">
        <v>6000</v>
      </c>
      <c r="E169" s="49" t="n">
        <v>6000</v>
      </c>
      <c r="F169" s="49" t="n">
        <v>5800</v>
      </c>
      <c r="G169" s="49" t="n">
        <v>200</v>
      </c>
      <c r="H169" s="49" t="n">
        <v>4680</v>
      </c>
    </row>
    <row r="170">
      <c r="A170" s="46" t="n">
        <v>2160</v>
      </c>
      <c r="B170" s="34" t="inlineStr">
        <is>
          <t>УНГ-23</t>
        </is>
      </c>
      <c r="C170" s="34" t="inlineStr">
        <is>
          <t>A95</t>
        </is>
      </c>
      <c r="D170" s="46" t="n">
        <v>6000</v>
      </c>
      <c r="E170" s="46" t="n">
        <v>6000</v>
      </c>
      <c r="F170" s="46" t="n">
        <v>5699</v>
      </c>
      <c r="G170" s="46" t="n">
        <v>301</v>
      </c>
      <c r="H170" s="46" t="n">
        <v>7043.4</v>
      </c>
    </row>
    <row r="171">
      <c r="A171" s="49" t="n">
        <v>2170</v>
      </c>
      <c r="B171" s="40" t="inlineStr">
        <is>
          <t>КОМ-18</t>
        </is>
      </c>
      <c r="C171" s="40" t="inlineStr">
        <is>
          <t>DIESEL</t>
        </is>
      </c>
      <c r="D171" s="49" t="n">
        <v>6000</v>
      </c>
      <c r="E171" s="49" t="n">
        <v>6000</v>
      </c>
      <c r="F171" s="49" t="n">
        <v>5612</v>
      </c>
      <c r="G171" s="49" t="n">
        <v>388</v>
      </c>
      <c r="H171" s="49" t="n">
        <v>9079.200000000001</v>
      </c>
    </row>
    <row r="172">
      <c r="A172" s="46" t="n">
        <v>2170</v>
      </c>
      <c r="B172" s="34" t="inlineStr">
        <is>
          <t>КИШ-13</t>
        </is>
      </c>
      <c r="C172" s="34" t="inlineStr">
        <is>
          <t>A95</t>
        </is>
      </c>
      <c r="D172" s="46" t="n">
        <v>6000</v>
      </c>
      <c r="E172" s="46" t="n">
        <v>6000</v>
      </c>
      <c r="F172" s="46" t="n">
        <v>5681</v>
      </c>
      <c r="G172" s="46" t="n">
        <v>319</v>
      </c>
      <c r="H172" s="46" t="n">
        <v>7464.6</v>
      </c>
    </row>
    <row r="173">
      <c r="A173" s="49" t="n">
        <v>2216</v>
      </c>
      <c r="B173" s="40" t="inlineStr">
        <is>
          <t>КОМ-18</t>
        </is>
      </c>
      <c r="C173" s="40" t="inlineStr">
        <is>
          <t>DIESEL</t>
        </is>
      </c>
      <c r="D173" s="49" t="n">
        <v>5000</v>
      </c>
      <c r="E173" s="49" t="n">
        <v>5000</v>
      </c>
      <c r="F173" s="49" t="n">
        <v>4709</v>
      </c>
      <c r="G173" s="49" t="n">
        <v>291</v>
      </c>
      <c r="H173" s="49" t="n">
        <v>6809.4</v>
      </c>
    </row>
    <row r="174">
      <c r="A174" s="46" t="n">
        <v>2228</v>
      </c>
      <c r="B174" s="34" t="inlineStr">
        <is>
          <t>КОМ-24</t>
        </is>
      </c>
      <c r="C174" s="34" t="inlineStr">
        <is>
          <t>A92</t>
        </is>
      </c>
      <c r="D174" s="46" t="n">
        <v>5000</v>
      </c>
      <c r="E174" s="46" t="n">
        <v>5000</v>
      </c>
      <c r="F174" s="46" t="n">
        <v>4828</v>
      </c>
      <c r="G174" s="46" t="n">
        <v>172</v>
      </c>
      <c r="H174" s="46" t="n">
        <v>4024.8</v>
      </c>
    </row>
    <row r="175">
      <c r="A175" s="49" t="n">
        <v>2250</v>
      </c>
      <c r="B175" s="40" t="inlineStr">
        <is>
          <t>УНГ-05</t>
        </is>
      </c>
      <c r="C175" s="40" t="inlineStr">
        <is>
          <t>DIESEL</t>
        </is>
      </c>
      <c r="D175" s="49" t="n">
        <v>5000</v>
      </c>
      <c r="E175" s="49" t="n">
        <v>5000</v>
      </c>
      <c r="F175" s="49" t="n">
        <v>4767</v>
      </c>
      <c r="G175" s="49" t="n">
        <v>233</v>
      </c>
      <c r="H175" s="49" t="n">
        <v>5452.2</v>
      </c>
    </row>
    <row r="176">
      <c r="A176" s="46" t="n">
        <v>2324</v>
      </c>
      <c r="B176" s="34" t="inlineStr">
        <is>
          <t>КИШ-13</t>
        </is>
      </c>
      <c r="C176" s="34" t="inlineStr">
        <is>
          <t>A95</t>
        </is>
      </c>
      <c r="D176" s="46" t="n">
        <v>6000</v>
      </c>
      <c r="E176" s="46" t="n">
        <v>6000</v>
      </c>
      <c r="F176" s="46" t="n">
        <v>5761</v>
      </c>
      <c r="G176" s="46" t="n">
        <v>239</v>
      </c>
      <c r="H176" s="46" t="n">
        <v>5592.6</v>
      </c>
    </row>
    <row r="177">
      <c r="A177" s="49" t="n">
        <v>2336</v>
      </c>
      <c r="B177" s="40" t="inlineStr">
        <is>
          <t>КОМ-06</t>
        </is>
      </c>
      <c r="C177" s="40" t="inlineStr">
        <is>
          <t>GPL</t>
        </is>
      </c>
      <c r="D177" s="49" t="n">
        <v>6000</v>
      </c>
      <c r="E177" s="49" t="n">
        <v>6000</v>
      </c>
      <c r="F177" s="49" t="n">
        <v>5926</v>
      </c>
      <c r="G177" s="49" t="n">
        <v>74</v>
      </c>
      <c r="H177" s="49" t="n">
        <v>1731.6</v>
      </c>
    </row>
    <row r="178">
      <c r="A178" s="46" t="n">
        <v>2339</v>
      </c>
      <c r="B178" s="34" t="inlineStr">
        <is>
          <t>КАГ-21</t>
        </is>
      </c>
      <c r="C178" s="34" t="inlineStr">
        <is>
          <t>A95</t>
        </is>
      </c>
      <c r="D178" s="46" t="n">
        <v>6000</v>
      </c>
      <c r="E178" s="46" t="n">
        <v>6000</v>
      </c>
      <c r="F178" s="46" t="n">
        <v>5726</v>
      </c>
      <c r="G178" s="46" t="n">
        <v>274</v>
      </c>
      <c r="H178" s="46" t="n">
        <v>6411.6</v>
      </c>
    </row>
    <row r="179">
      <c r="A179" s="49" t="n">
        <v>2357</v>
      </c>
      <c r="B179" s="40" t="inlineStr">
        <is>
          <t>БЭЛ-20</t>
        </is>
      </c>
      <c r="C179" s="40" t="inlineStr">
        <is>
          <t>A92</t>
        </is>
      </c>
      <c r="D179" s="49" t="n">
        <v>4000</v>
      </c>
      <c r="E179" s="49" t="n">
        <v>4000</v>
      </c>
      <c r="F179" s="49" t="n">
        <v>3594</v>
      </c>
      <c r="G179" s="49" t="n">
        <v>406</v>
      </c>
      <c r="H179" s="49" t="n">
        <v>9500.4</v>
      </c>
    </row>
    <row r="180">
      <c r="A180" s="46" t="n">
        <v>2361</v>
      </c>
      <c r="B180" s="34" t="inlineStr">
        <is>
          <t>ОРХ-04</t>
        </is>
      </c>
      <c r="C180" s="34" t="inlineStr">
        <is>
          <t>A92</t>
        </is>
      </c>
      <c r="D180" s="46" t="n">
        <v>5000</v>
      </c>
      <c r="E180" s="46" t="n">
        <v>5000</v>
      </c>
      <c r="F180" s="46" t="n">
        <v>4796</v>
      </c>
      <c r="G180" s="46" t="n">
        <v>204</v>
      </c>
      <c r="H180" s="46" t="n">
        <v>4773.6</v>
      </c>
    </row>
    <row r="181">
      <c r="A181" s="49" t="n">
        <v>2363</v>
      </c>
      <c r="B181" s="40" t="inlineStr">
        <is>
          <t>БЭЛ-08</t>
        </is>
      </c>
      <c r="C181" s="40" t="inlineStr">
        <is>
          <t>A92</t>
        </is>
      </c>
      <c r="D181" s="49" t="n">
        <v>5000</v>
      </c>
      <c r="E181" s="49" t="n">
        <v>5000</v>
      </c>
      <c r="F181" s="49" t="n">
        <v>4757</v>
      </c>
      <c r="G181" s="49" t="n">
        <v>243</v>
      </c>
      <c r="H181" s="49" t="n">
        <v>5686.2</v>
      </c>
    </row>
    <row r="182">
      <c r="A182" s="46" t="n">
        <v>2372</v>
      </c>
      <c r="B182" s="34" t="inlineStr">
        <is>
          <t>КИШ-13</t>
        </is>
      </c>
      <c r="C182" s="34" t="inlineStr">
        <is>
          <t>A92</t>
        </is>
      </c>
      <c r="D182" s="46" t="n">
        <v>5000</v>
      </c>
      <c r="E182" s="46" t="n">
        <v>5000</v>
      </c>
      <c r="F182" s="46" t="n">
        <v>4882</v>
      </c>
      <c r="G182" s="46" t="n">
        <v>118</v>
      </c>
      <c r="H182" s="46" t="n">
        <v>2761.2</v>
      </c>
    </row>
    <row r="183">
      <c r="A183" s="49" t="n">
        <v>2400</v>
      </c>
      <c r="B183" s="40" t="inlineStr">
        <is>
          <t>КАГ-15</t>
        </is>
      </c>
      <c r="C183" s="40" t="inlineStr">
        <is>
          <t>A95</t>
        </is>
      </c>
      <c r="D183" s="49" t="n">
        <v>5000</v>
      </c>
      <c r="E183" s="49" t="n">
        <v>5000</v>
      </c>
      <c r="F183" s="49" t="n">
        <v>4605</v>
      </c>
      <c r="G183" s="49" t="n">
        <v>395</v>
      </c>
      <c r="H183" s="49" t="n">
        <v>9243</v>
      </c>
    </row>
    <row r="184">
      <c r="A184" s="46" t="n">
        <v>2401</v>
      </c>
      <c r="B184" s="34" t="inlineStr">
        <is>
          <t>ОРХ-16</t>
        </is>
      </c>
      <c r="C184" s="34" t="inlineStr">
        <is>
          <t>A92</t>
        </is>
      </c>
      <c r="D184" s="46" t="n">
        <v>6000</v>
      </c>
      <c r="E184" s="46" t="n">
        <v>6000</v>
      </c>
      <c r="F184" s="46" t="n">
        <v>5681</v>
      </c>
      <c r="G184" s="46" t="n">
        <v>319</v>
      </c>
      <c r="H184" s="46" t="n">
        <v>7464.6</v>
      </c>
    </row>
    <row r="185">
      <c r="A185" s="49" t="n">
        <v>2405</v>
      </c>
      <c r="B185" s="40" t="inlineStr">
        <is>
          <t>УНГ-17</t>
        </is>
      </c>
      <c r="C185" s="40" t="inlineStr">
        <is>
          <t>A92</t>
        </is>
      </c>
      <c r="D185" s="49" t="n">
        <v>5000</v>
      </c>
      <c r="E185" s="49" t="n">
        <v>5000</v>
      </c>
      <c r="F185" s="49" t="n">
        <v>4759</v>
      </c>
      <c r="G185" s="49" t="n">
        <v>241</v>
      </c>
      <c r="H185" s="49" t="n">
        <v>5639.4</v>
      </c>
    </row>
    <row r="186">
      <c r="A186" s="46" t="n">
        <v>2451</v>
      </c>
      <c r="B186" s="34" t="inlineStr">
        <is>
          <t>ОРХ-22</t>
        </is>
      </c>
      <c r="C186" s="34" t="inlineStr">
        <is>
          <t>A95</t>
        </is>
      </c>
      <c r="D186" s="46" t="n">
        <v>4000</v>
      </c>
      <c r="E186" s="46" t="n">
        <v>4000</v>
      </c>
      <c r="F186" s="46" t="n">
        <v>3717</v>
      </c>
      <c r="G186" s="46" t="n">
        <v>283</v>
      </c>
      <c r="H186" s="46" t="n">
        <v>6622.2</v>
      </c>
    </row>
    <row r="187">
      <c r="A187" s="49" t="n">
        <v>2454</v>
      </c>
      <c r="B187" s="40" t="inlineStr">
        <is>
          <t>КАГ-03</t>
        </is>
      </c>
      <c r="C187" s="40" t="inlineStr">
        <is>
          <t>A95</t>
        </is>
      </c>
      <c r="D187" s="49" t="n">
        <v>4000</v>
      </c>
      <c r="E187" s="49" t="n">
        <v>4000</v>
      </c>
      <c r="F187" s="49" t="n">
        <v>3875</v>
      </c>
      <c r="G187" s="49" t="n">
        <v>125</v>
      </c>
      <c r="H187" s="49" t="n">
        <v>2925</v>
      </c>
    </row>
    <row r="188">
      <c r="A188" s="46" t="n">
        <v>2461</v>
      </c>
      <c r="B188" s="34" t="inlineStr">
        <is>
          <t>КИШ-01</t>
        </is>
      </c>
      <c r="C188" s="34" t="inlineStr">
        <is>
          <t>A95</t>
        </is>
      </c>
      <c r="D188" s="46" t="n">
        <v>4000</v>
      </c>
      <c r="E188" s="46" t="n">
        <v>4000</v>
      </c>
      <c r="F188" s="46" t="n">
        <v>3785</v>
      </c>
      <c r="G188" s="46" t="n">
        <v>215</v>
      </c>
      <c r="H188" s="46" t="n">
        <v>5031</v>
      </c>
    </row>
    <row r="189">
      <c r="A189" s="49" t="n">
        <v>2513</v>
      </c>
      <c r="B189" s="40" t="inlineStr">
        <is>
          <t>КИШ-07</t>
        </is>
      </c>
      <c r="C189" s="40" t="inlineStr">
        <is>
          <t>DIESEL</t>
        </is>
      </c>
      <c r="D189" s="49" t="n">
        <v>6000</v>
      </c>
      <c r="E189" s="49" t="n">
        <v>6000</v>
      </c>
      <c r="F189" s="49" t="n">
        <v>5661</v>
      </c>
      <c r="G189" s="49" t="n">
        <v>339</v>
      </c>
      <c r="H189" s="49" t="n">
        <v>7932.6</v>
      </c>
    </row>
    <row r="190">
      <c r="A190" s="46" t="n">
        <v>2522</v>
      </c>
      <c r="B190" s="34" t="inlineStr">
        <is>
          <t>КОМ-12</t>
        </is>
      </c>
      <c r="C190" s="34" t="inlineStr">
        <is>
          <t>A95</t>
        </is>
      </c>
      <c r="D190" s="46" t="n">
        <v>6000</v>
      </c>
      <c r="E190" s="46" t="n">
        <v>6000</v>
      </c>
      <c r="F190" s="46" t="n">
        <v>5853</v>
      </c>
      <c r="G190" s="46" t="n">
        <v>147</v>
      </c>
      <c r="H190" s="46" t="n">
        <v>3439.8</v>
      </c>
    </row>
    <row r="191">
      <c r="A191" s="49" t="n">
        <v>2524</v>
      </c>
      <c r="B191" s="40" t="inlineStr">
        <is>
          <t>КАГ-03</t>
        </is>
      </c>
      <c r="C191" s="40" t="inlineStr">
        <is>
          <t>A92</t>
        </is>
      </c>
      <c r="D191" s="49" t="n">
        <v>6000</v>
      </c>
      <c r="E191" s="49" t="n">
        <v>6000</v>
      </c>
      <c r="F191" s="49" t="n">
        <v>5798</v>
      </c>
      <c r="G191" s="49" t="n">
        <v>202</v>
      </c>
      <c r="H191" s="49" t="n">
        <v>4726.8</v>
      </c>
    </row>
    <row r="192">
      <c r="A192" s="46" t="n">
        <v>2557</v>
      </c>
      <c r="B192" s="34" t="inlineStr">
        <is>
          <t>КАГ-09</t>
        </is>
      </c>
      <c r="C192" s="34" t="inlineStr">
        <is>
          <t>A92</t>
        </is>
      </c>
      <c r="D192" s="46" t="n">
        <v>4000</v>
      </c>
      <c r="E192" s="46" t="n">
        <v>4000</v>
      </c>
      <c r="F192" s="46" t="n">
        <v>3728</v>
      </c>
      <c r="G192" s="46" t="n">
        <v>272</v>
      </c>
      <c r="H192" s="46" t="n">
        <v>6364.8</v>
      </c>
    </row>
    <row r="193">
      <c r="A193" s="49" t="n">
        <v>2572</v>
      </c>
      <c r="B193" s="40" t="inlineStr">
        <is>
          <t>УНГ-05</t>
        </is>
      </c>
      <c r="C193" s="40" t="inlineStr">
        <is>
          <t>GPL</t>
        </is>
      </c>
      <c r="D193" s="49" t="n">
        <v>3000</v>
      </c>
      <c r="E193" s="49" t="n">
        <v>3000</v>
      </c>
      <c r="F193" s="49" t="n">
        <v>2669</v>
      </c>
      <c r="G193" s="49" t="n">
        <v>331</v>
      </c>
      <c r="H193" s="49" t="n">
        <v>7745.4</v>
      </c>
    </row>
    <row r="194">
      <c r="A194" s="46" t="n">
        <v>2601</v>
      </c>
      <c r="B194" s="34" t="inlineStr">
        <is>
          <t>УНГ-17</t>
        </is>
      </c>
      <c r="C194" s="34" t="inlineStr">
        <is>
          <t>DIESEL</t>
        </is>
      </c>
      <c r="D194" s="46" t="n">
        <v>5000</v>
      </c>
      <c r="E194" s="46" t="n">
        <v>5000</v>
      </c>
      <c r="F194" s="46" t="n">
        <v>4779</v>
      </c>
      <c r="G194" s="46" t="n">
        <v>221</v>
      </c>
      <c r="H194" s="46" t="n">
        <v>5171.4</v>
      </c>
    </row>
    <row r="195">
      <c r="A195" s="49" t="n">
        <v>2626</v>
      </c>
      <c r="B195" s="40" t="inlineStr">
        <is>
          <t>УНГ-05</t>
        </is>
      </c>
      <c r="C195" s="40" t="inlineStr">
        <is>
          <t>DIESEL</t>
        </is>
      </c>
      <c r="D195" s="49" t="n">
        <v>5000</v>
      </c>
      <c r="E195" s="49" t="n">
        <v>5000</v>
      </c>
      <c r="F195" s="49" t="n">
        <v>4783</v>
      </c>
      <c r="G195" s="49" t="n">
        <v>217</v>
      </c>
      <c r="H195" s="49" t="n">
        <v>5077.8</v>
      </c>
    </row>
    <row r="196">
      <c r="A196" s="46" t="n">
        <v>2665</v>
      </c>
      <c r="B196" s="34" t="inlineStr">
        <is>
          <t>КИШ-13</t>
        </is>
      </c>
      <c r="C196" s="34" t="inlineStr">
        <is>
          <t>DIESEL</t>
        </is>
      </c>
      <c r="D196" s="46" t="n">
        <v>5000</v>
      </c>
      <c r="E196" s="46" t="n">
        <v>5000</v>
      </c>
      <c r="F196" s="46" t="n">
        <v>4791</v>
      </c>
      <c r="G196" s="46" t="n">
        <v>209</v>
      </c>
      <c r="H196" s="46" t="n">
        <v>4890.6</v>
      </c>
    </row>
    <row r="197">
      <c r="A197" s="49" t="n">
        <v>2666</v>
      </c>
      <c r="B197" s="40" t="inlineStr">
        <is>
          <t>БЭЛ-08</t>
        </is>
      </c>
      <c r="C197" s="40" t="inlineStr">
        <is>
          <t>A95</t>
        </is>
      </c>
      <c r="D197" s="49" t="n">
        <v>6000</v>
      </c>
      <c r="E197" s="49" t="n">
        <v>6000</v>
      </c>
      <c r="F197" s="49" t="n">
        <v>5582</v>
      </c>
      <c r="G197" s="49" t="n">
        <v>418</v>
      </c>
      <c r="H197" s="49" t="n">
        <v>9781.200000000001</v>
      </c>
    </row>
    <row r="198">
      <c r="A198" s="46" t="n">
        <v>2695</v>
      </c>
      <c r="B198" s="34" t="inlineStr">
        <is>
          <t>КАГ-21</t>
        </is>
      </c>
      <c r="C198" s="34" t="inlineStr">
        <is>
          <t>A92</t>
        </is>
      </c>
      <c r="D198" s="46" t="n">
        <v>5000</v>
      </c>
      <c r="E198" s="46" t="n">
        <v>5000</v>
      </c>
      <c r="F198" s="46" t="n">
        <v>4649</v>
      </c>
      <c r="G198" s="46" t="n">
        <v>351</v>
      </c>
      <c r="H198" s="46" t="n">
        <v>8213.4</v>
      </c>
    </row>
    <row r="199">
      <c r="A199" s="49" t="n">
        <v>2696</v>
      </c>
      <c r="B199" s="40" t="inlineStr">
        <is>
          <t>КОМ-06</t>
        </is>
      </c>
      <c r="C199" s="40" t="inlineStr">
        <is>
          <t>A92</t>
        </is>
      </c>
      <c r="D199" s="49" t="n">
        <v>5000</v>
      </c>
      <c r="E199" s="49" t="n">
        <v>5000</v>
      </c>
      <c r="F199" s="49" t="n">
        <v>4717</v>
      </c>
      <c r="G199" s="49" t="n">
        <v>283</v>
      </c>
      <c r="H199" s="49" t="n">
        <v>6622.2</v>
      </c>
    </row>
    <row r="200">
      <c r="A200" s="46" t="n">
        <v>2710</v>
      </c>
      <c r="B200" s="34" t="inlineStr">
        <is>
          <t>УНГ-11</t>
        </is>
      </c>
      <c r="C200" s="34" t="inlineStr">
        <is>
          <t>DIESEL</t>
        </is>
      </c>
      <c r="D200" s="46" t="n">
        <v>6000</v>
      </c>
      <c r="E200" s="46" t="n">
        <v>6000</v>
      </c>
      <c r="F200" s="46" t="n">
        <v>5856</v>
      </c>
      <c r="G200" s="46" t="n">
        <v>144</v>
      </c>
      <c r="H200" s="46" t="n">
        <v>3369.6</v>
      </c>
    </row>
    <row r="201">
      <c r="A201" s="49" t="n">
        <v>2715</v>
      </c>
      <c r="B201" s="40" t="inlineStr">
        <is>
          <t>КИШ-01</t>
        </is>
      </c>
      <c r="C201" s="40" t="inlineStr">
        <is>
          <t>DIESEL</t>
        </is>
      </c>
      <c r="D201" s="49" t="n">
        <v>4000</v>
      </c>
      <c r="E201" s="49" t="n">
        <v>4000</v>
      </c>
      <c r="F201" s="49" t="n">
        <v>3656</v>
      </c>
      <c r="G201" s="49" t="n">
        <v>344</v>
      </c>
      <c r="H201" s="49" t="n">
        <v>8049.6</v>
      </c>
    </row>
    <row r="202">
      <c r="A202" s="46" t="n">
        <v>2739</v>
      </c>
      <c r="B202" s="34" t="inlineStr">
        <is>
          <t>УНГ-05</t>
        </is>
      </c>
      <c r="C202" s="34" t="inlineStr">
        <is>
          <t>A95</t>
        </is>
      </c>
      <c r="D202" s="46" t="n">
        <v>6000</v>
      </c>
      <c r="E202" s="46" t="n">
        <v>6000</v>
      </c>
      <c r="F202" s="46" t="n">
        <v>5710</v>
      </c>
      <c r="G202" s="46" t="n">
        <v>290</v>
      </c>
      <c r="H202" s="46" t="n">
        <v>6786</v>
      </c>
    </row>
    <row r="203">
      <c r="A203" s="49" t="n">
        <v>2743</v>
      </c>
      <c r="B203" s="40" t="inlineStr">
        <is>
          <t>УНГ-05</t>
        </is>
      </c>
      <c r="C203" s="40" t="inlineStr">
        <is>
          <t>A95</t>
        </is>
      </c>
      <c r="D203" s="49" t="n">
        <v>3000</v>
      </c>
      <c r="E203" s="49" t="n">
        <v>3000</v>
      </c>
      <c r="F203" s="49" t="n">
        <v>2777</v>
      </c>
      <c r="G203" s="49" t="n">
        <v>223</v>
      </c>
      <c r="H203" s="49" t="n">
        <v>5218.2</v>
      </c>
    </row>
    <row r="204">
      <c r="A204" s="46" t="n">
        <v>2762</v>
      </c>
      <c r="B204" s="34" t="inlineStr">
        <is>
          <t>ОРХ-16</t>
        </is>
      </c>
      <c r="C204" s="34" t="inlineStr">
        <is>
          <t>A95</t>
        </is>
      </c>
      <c r="D204" s="46" t="n">
        <v>6000</v>
      </c>
      <c r="E204" s="46" t="n">
        <v>6000</v>
      </c>
      <c r="F204" s="46" t="n">
        <v>5751</v>
      </c>
      <c r="G204" s="46" t="n">
        <v>249</v>
      </c>
      <c r="H204" s="46" t="n">
        <v>5826.6</v>
      </c>
    </row>
    <row r="205">
      <c r="A205" s="49" t="n">
        <v>2782</v>
      </c>
      <c r="B205" s="40" t="inlineStr">
        <is>
          <t>КИШ-13</t>
        </is>
      </c>
      <c r="C205" s="40" t="inlineStr">
        <is>
          <t>A95</t>
        </is>
      </c>
      <c r="D205" s="49" t="n">
        <v>5000</v>
      </c>
      <c r="E205" s="49" t="n">
        <v>5000</v>
      </c>
      <c r="F205" s="49" t="n">
        <v>4727</v>
      </c>
      <c r="G205" s="49" t="n">
        <v>273</v>
      </c>
      <c r="H205" s="49" t="n">
        <v>6388.2</v>
      </c>
    </row>
    <row r="206">
      <c r="A206" s="46" t="n">
        <v>2785</v>
      </c>
      <c r="B206" s="34" t="inlineStr">
        <is>
          <t>КОМ-18</t>
        </is>
      </c>
      <c r="C206" s="34" t="inlineStr">
        <is>
          <t>GPL</t>
        </is>
      </c>
      <c r="D206" s="46" t="n">
        <v>5000</v>
      </c>
      <c r="E206" s="46" t="n">
        <v>5000</v>
      </c>
      <c r="F206" s="46" t="n">
        <v>4938</v>
      </c>
      <c r="G206" s="46" t="n">
        <v>62</v>
      </c>
      <c r="H206" s="46" t="n">
        <v>1450.8</v>
      </c>
    </row>
    <row r="207">
      <c r="A207" s="49" t="n">
        <v>2799</v>
      </c>
      <c r="B207" s="40" t="inlineStr">
        <is>
          <t>КАГ-21</t>
        </is>
      </c>
      <c r="C207" s="40" t="inlineStr">
        <is>
          <t>DIESEL</t>
        </is>
      </c>
      <c r="D207" s="49" t="n">
        <v>4000</v>
      </c>
      <c r="E207" s="49" t="n">
        <v>4000</v>
      </c>
      <c r="F207" s="49" t="n">
        <v>3825</v>
      </c>
      <c r="G207" s="49" t="n">
        <v>175</v>
      </c>
      <c r="H207" s="49" t="n">
        <v>4095</v>
      </c>
    </row>
    <row r="208">
      <c r="A208" s="46" t="n">
        <v>2847</v>
      </c>
      <c r="B208" s="34" t="inlineStr">
        <is>
          <t>КОМ-24</t>
        </is>
      </c>
      <c r="C208" s="34" t="inlineStr">
        <is>
          <t>A92</t>
        </is>
      </c>
      <c r="D208" s="46" t="n">
        <v>5000</v>
      </c>
      <c r="E208" s="46" t="n">
        <v>5000</v>
      </c>
      <c r="F208" s="46" t="n">
        <v>4904</v>
      </c>
      <c r="G208" s="46" t="n">
        <v>96</v>
      </c>
      <c r="H208" s="46" t="n">
        <v>2246.4</v>
      </c>
    </row>
    <row r="209">
      <c r="A209" s="49" t="n">
        <v>2878</v>
      </c>
      <c r="B209" s="40" t="inlineStr">
        <is>
          <t>УНГ-23</t>
        </is>
      </c>
      <c r="C209" s="40" t="inlineStr">
        <is>
          <t>A95</t>
        </is>
      </c>
      <c r="D209" s="49" t="n">
        <v>4000</v>
      </c>
      <c r="E209" s="49" t="n">
        <v>4000</v>
      </c>
      <c r="F209" s="49" t="n">
        <v>3646</v>
      </c>
      <c r="G209" s="49" t="n">
        <v>354</v>
      </c>
      <c r="H209" s="49" t="n">
        <v>8283.6</v>
      </c>
    </row>
    <row r="210">
      <c r="A210" s="46" t="n">
        <v>2931</v>
      </c>
      <c r="B210" s="34" t="inlineStr">
        <is>
          <t>УНГ-23</t>
        </is>
      </c>
      <c r="C210" s="34" t="inlineStr">
        <is>
          <t>A92</t>
        </is>
      </c>
      <c r="D210" s="46" t="n">
        <v>4000</v>
      </c>
      <c r="E210" s="46" t="n">
        <v>4000</v>
      </c>
      <c r="F210" s="46" t="n">
        <v>3907</v>
      </c>
      <c r="G210" s="46" t="n">
        <v>93</v>
      </c>
      <c r="H210" s="46" t="n">
        <v>2176.2</v>
      </c>
    </row>
    <row r="211">
      <c r="A211" s="49" t="n">
        <v>2957</v>
      </c>
      <c r="B211" s="40" t="inlineStr">
        <is>
          <t>КАГ-09</t>
        </is>
      </c>
      <c r="C211" s="40" t="inlineStr">
        <is>
          <t>A92</t>
        </is>
      </c>
      <c r="D211" s="49" t="n">
        <v>5000</v>
      </c>
      <c r="E211" s="49" t="n">
        <v>5000</v>
      </c>
      <c r="F211" s="49" t="n">
        <v>4728</v>
      </c>
      <c r="G211" s="49" t="n">
        <v>272</v>
      </c>
      <c r="H211" s="49" t="n">
        <v>6364.8</v>
      </c>
    </row>
    <row r="212">
      <c r="A212" s="46" t="n">
        <v>2965</v>
      </c>
      <c r="B212" s="34" t="inlineStr">
        <is>
          <t>УНГ-23</t>
        </is>
      </c>
      <c r="C212" s="34" t="inlineStr">
        <is>
          <t>A92</t>
        </is>
      </c>
      <c r="D212" s="46" t="n">
        <v>5000</v>
      </c>
      <c r="E212" s="46" t="n">
        <v>5000</v>
      </c>
      <c r="F212" s="46" t="n">
        <v>4693</v>
      </c>
      <c r="G212" s="46" t="n">
        <v>307</v>
      </c>
      <c r="H212" s="46" t="n">
        <v>7183.8</v>
      </c>
    </row>
    <row r="213">
      <c r="A213" s="49" t="n">
        <v>2982</v>
      </c>
      <c r="B213" s="40" t="inlineStr">
        <is>
          <t>КОМ-06</t>
        </is>
      </c>
      <c r="C213" s="40" t="inlineStr">
        <is>
          <t>A95</t>
        </is>
      </c>
      <c r="D213" s="49" t="n">
        <v>6000</v>
      </c>
      <c r="E213" s="49" t="n">
        <v>6000</v>
      </c>
      <c r="F213" s="49" t="n">
        <v>5804</v>
      </c>
      <c r="G213" s="49" t="n">
        <v>196</v>
      </c>
      <c r="H213" s="49" t="n">
        <v>4586.4</v>
      </c>
    </row>
    <row r="214">
      <c r="A214" s="46" t="n">
        <v>2995</v>
      </c>
      <c r="B214" s="34" t="inlineStr">
        <is>
          <t>КАГ-03</t>
        </is>
      </c>
      <c r="C214" s="34" t="inlineStr">
        <is>
          <t>A95</t>
        </is>
      </c>
      <c r="D214" s="46" t="n">
        <v>6000</v>
      </c>
      <c r="E214" s="46" t="n">
        <v>6000</v>
      </c>
      <c r="F214" s="46" t="n">
        <v>5912</v>
      </c>
      <c r="G214" s="46" t="n">
        <v>88</v>
      </c>
      <c r="H214" s="46" t="n">
        <v>2059.2</v>
      </c>
    </row>
    <row r="215">
      <c r="A215" s="49" t="n">
        <v>3002</v>
      </c>
      <c r="B215" s="40" t="inlineStr">
        <is>
          <t>УНГ-23</t>
        </is>
      </c>
      <c r="C215" s="40" t="inlineStr">
        <is>
          <t>DIESEL</t>
        </is>
      </c>
      <c r="D215" s="49" t="n">
        <v>6000</v>
      </c>
      <c r="E215" s="49" t="n">
        <v>6000</v>
      </c>
      <c r="F215" s="49" t="n">
        <v>5736</v>
      </c>
      <c r="G215" s="49" t="n">
        <v>264</v>
      </c>
      <c r="H215" s="49" t="n">
        <v>6177.6</v>
      </c>
    </row>
    <row r="216">
      <c r="A216" s="46" t="n">
        <v>3003</v>
      </c>
      <c r="B216" s="34" t="inlineStr">
        <is>
          <t>КИШ-07</t>
        </is>
      </c>
      <c r="C216" s="34" t="inlineStr">
        <is>
          <t>A92</t>
        </is>
      </c>
      <c r="D216" s="46" t="n">
        <v>5000</v>
      </c>
      <c r="E216" s="46" t="n">
        <v>5000</v>
      </c>
      <c r="F216" s="46" t="n">
        <v>4630</v>
      </c>
      <c r="G216" s="46" t="n">
        <v>370</v>
      </c>
      <c r="H216" s="46" t="n">
        <v>8658</v>
      </c>
    </row>
    <row r="217">
      <c r="A217" s="49" t="n">
        <v>3010</v>
      </c>
      <c r="B217" s="40" t="inlineStr">
        <is>
          <t>ОРХ-16</t>
        </is>
      </c>
      <c r="C217" s="40" t="inlineStr">
        <is>
          <t>A95</t>
        </is>
      </c>
      <c r="D217" s="49" t="n">
        <v>4000</v>
      </c>
      <c r="E217" s="49" t="n">
        <v>4000</v>
      </c>
      <c r="F217" s="49" t="n">
        <v>3738</v>
      </c>
      <c r="G217" s="49" t="n">
        <v>262</v>
      </c>
      <c r="H217" s="49" t="n">
        <v>6130.8</v>
      </c>
    </row>
    <row r="218">
      <c r="A218" s="46" t="n">
        <v>3020</v>
      </c>
      <c r="B218" s="34" t="inlineStr">
        <is>
          <t>КОМ-18</t>
        </is>
      </c>
      <c r="C218" s="34" t="inlineStr">
        <is>
          <t>A92</t>
        </is>
      </c>
      <c r="D218" s="46" t="n">
        <v>5000</v>
      </c>
      <c r="E218" s="46" t="n">
        <v>5000</v>
      </c>
      <c r="F218" s="46" t="n">
        <v>4728</v>
      </c>
      <c r="G218" s="46" t="n">
        <v>272</v>
      </c>
      <c r="H218" s="46" t="n">
        <v>6364.8</v>
      </c>
    </row>
    <row r="219">
      <c r="A219" s="49" t="n">
        <v>3040</v>
      </c>
      <c r="B219" s="40" t="inlineStr">
        <is>
          <t>БЭЛ-14</t>
        </is>
      </c>
      <c r="C219" s="40" t="inlineStr">
        <is>
          <t>DIESEL</t>
        </is>
      </c>
      <c r="D219" s="49" t="n">
        <v>4000</v>
      </c>
      <c r="E219" s="49" t="n">
        <v>4000</v>
      </c>
      <c r="F219" s="49" t="n">
        <v>3930</v>
      </c>
      <c r="G219" s="49" t="n">
        <v>70</v>
      </c>
      <c r="H219" s="49" t="n">
        <v>1638</v>
      </c>
    </row>
    <row r="220">
      <c r="A220" s="46" t="n">
        <v>3080</v>
      </c>
      <c r="B220" s="34" t="inlineStr">
        <is>
          <t>БЭЛ-08</t>
        </is>
      </c>
      <c r="C220" s="34" t="inlineStr">
        <is>
          <t>DIESEL</t>
        </is>
      </c>
      <c r="D220" s="46" t="n">
        <v>5000</v>
      </c>
      <c r="E220" s="46" t="n">
        <v>5000</v>
      </c>
      <c r="F220" s="46" t="n">
        <v>4899</v>
      </c>
      <c r="G220" s="46" t="n">
        <v>101</v>
      </c>
      <c r="H220" s="46" t="n">
        <v>2363.4</v>
      </c>
    </row>
    <row r="221">
      <c r="A221" s="49" t="n">
        <v>3089</v>
      </c>
      <c r="B221" s="40" t="inlineStr">
        <is>
          <t>КАГ-03</t>
        </is>
      </c>
      <c r="C221" s="40" t="inlineStr">
        <is>
          <t>DIESEL</t>
        </is>
      </c>
      <c r="D221" s="49" t="n">
        <v>6000</v>
      </c>
      <c r="E221" s="49" t="n">
        <v>6000</v>
      </c>
      <c r="F221" s="49" t="n">
        <v>5791</v>
      </c>
      <c r="G221" s="49" t="n">
        <v>209</v>
      </c>
      <c r="H221" s="49" t="n">
        <v>4890.6</v>
      </c>
    </row>
    <row r="222">
      <c r="A222" s="46" t="n">
        <v>3096</v>
      </c>
      <c r="B222" s="34" t="inlineStr">
        <is>
          <t>УНГ-05</t>
        </is>
      </c>
      <c r="C222" s="34" t="inlineStr">
        <is>
          <t>DIESEL</t>
        </is>
      </c>
      <c r="D222" s="46" t="n">
        <v>6000</v>
      </c>
      <c r="E222" s="46" t="n">
        <v>6000</v>
      </c>
      <c r="F222" s="46" t="n">
        <v>5788</v>
      </c>
      <c r="G222" s="46" t="n">
        <v>212</v>
      </c>
      <c r="H222" s="46" t="n">
        <v>4960.8</v>
      </c>
    </row>
    <row r="223">
      <c r="A223" s="49" t="n">
        <v>3102</v>
      </c>
      <c r="B223" s="40" t="inlineStr">
        <is>
          <t>БЭЛ-14</t>
        </is>
      </c>
      <c r="C223" s="40" t="inlineStr">
        <is>
          <t>A92</t>
        </is>
      </c>
      <c r="D223" s="49" t="n">
        <v>5000</v>
      </c>
      <c r="E223" s="49" t="n">
        <v>5000</v>
      </c>
      <c r="F223" s="49" t="n">
        <v>4598</v>
      </c>
      <c r="G223" s="49" t="n">
        <v>402</v>
      </c>
      <c r="H223" s="49" t="n">
        <v>9406.799999999999</v>
      </c>
    </row>
    <row r="224">
      <c r="A224" s="46" t="n">
        <v>3150</v>
      </c>
      <c r="B224" s="34" t="inlineStr">
        <is>
          <t>КОМ-06</t>
        </is>
      </c>
      <c r="C224" s="34" t="inlineStr">
        <is>
          <t>GPL</t>
        </is>
      </c>
      <c r="D224" s="46" t="n">
        <v>5000</v>
      </c>
      <c r="E224" s="46" t="n">
        <v>5000</v>
      </c>
      <c r="F224" s="46" t="n">
        <v>4683</v>
      </c>
      <c r="G224" s="46" t="n">
        <v>317</v>
      </c>
      <c r="H224" s="46" t="n">
        <v>7417.8</v>
      </c>
    </row>
    <row r="225">
      <c r="A225" s="49" t="n">
        <v>3166</v>
      </c>
      <c r="B225" s="40" t="inlineStr">
        <is>
          <t>КОМ-12</t>
        </is>
      </c>
      <c r="C225" s="40" t="inlineStr">
        <is>
          <t>A95</t>
        </is>
      </c>
      <c r="D225" s="49" t="n">
        <v>5000</v>
      </c>
      <c r="E225" s="49" t="n">
        <v>5000</v>
      </c>
      <c r="F225" s="49" t="n">
        <v>4639</v>
      </c>
      <c r="G225" s="49" t="n">
        <v>361</v>
      </c>
      <c r="H225" s="49" t="n">
        <v>8447.4</v>
      </c>
    </row>
    <row r="226">
      <c r="A226" s="46" t="n">
        <v>3168</v>
      </c>
      <c r="B226" s="34" t="inlineStr">
        <is>
          <t>КИШ-13</t>
        </is>
      </c>
      <c r="C226" s="34" t="inlineStr">
        <is>
          <t>A92</t>
        </is>
      </c>
      <c r="D226" s="46" t="n">
        <v>6000</v>
      </c>
      <c r="E226" s="46" t="n">
        <v>6000</v>
      </c>
      <c r="F226" s="46" t="n">
        <v>5736</v>
      </c>
      <c r="G226" s="46" t="n">
        <v>264</v>
      </c>
      <c r="H226" s="46" t="n">
        <v>6177.6</v>
      </c>
    </row>
    <row r="227">
      <c r="A227" s="49" t="n">
        <v>3183</v>
      </c>
      <c r="B227" s="40" t="inlineStr">
        <is>
          <t>ОРХ-16</t>
        </is>
      </c>
      <c r="C227" s="40" t="inlineStr">
        <is>
          <t>A95</t>
        </is>
      </c>
      <c r="D227" s="49" t="n">
        <v>6000</v>
      </c>
      <c r="E227" s="49" t="n">
        <v>6000</v>
      </c>
      <c r="F227" s="49" t="n">
        <v>5927</v>
      </c>
      <c r="G227" s="49" t="n">
        <v>73</v>
      </c>
      <c r="H227" s="49" t="n">
        <v>1708.2</v>
      </c>
    </row>
    <row r="228">
      <c r="A228" s="46" t="n">
        <v>3188</v>
      </c>
      <c r="B228" s="34" t="inlineStr">
        <is>
          <t>КИШ-13</t>
        </is>
      </c>
      <c r="C228" s="34" t="inlineStr">
        <is>
          <t>DIESEL</t>
        </is>
      </c>
      <c r="D228" s="46" t="n">
        <v>6000</v>
      </c>
      <c r="E228" s="46" t="n">
        <v>6000</v>
      </c>
      <c r="F228" s="46" t="n">
        <v>5688</v>
      </c>
      <c r="G228" s="46" t="n">
        <v>312</v>
      </c>
      <c r="H228" s="46" t="n">
        <v>7300.8</v>
      </c>
    </row>
    <row r="229">
      <c r="A229" s="49" t="n">
        <v>3197</v>
      </c>
      <c r="B229" s="40" t="inlineStr">
        <is>
          <t>ОРХ-16</t>
        </is>
      </c>
      <c r="C229" s="40" t="inlineStr">
        <is>
          <t>A92</t>
        </is>
      </c>
      <c r="D229" s="49" t="n">
        <v>4000</v>
      </c>
      <c r="E229" s="49" t="n">
        <v>4000</v>
      </c>
      <c r="F229" s="49" t="n">
        <v>3640</v>
      </c>
      <c r="G229" s="49" t="n">
        <v>360</v>
      </c>
      <c r="H229" s="49" t="n">
        <v>8424</v>
      </c>
    </row>
    <row r="230">
      <c r="A230" s="46" t="n">
        <v>3201</v>
      </c>
      <c r="B230" s="34" t="inlineStr">
        <is>
          <t>КОМ-18</t>
        </is>
      </c>
      <c r="C230" s="34" t="inlineStr">
        <is>
          <t>GPL</t>
        </is>
      </c>
      <c r="D230" s="46" t="n">
        <v>5000</v>
      </c>
      <c r="E230" s="46" t="n">
        <v>5000</v>
      </c>
      <c r="F230" s="46" t="n">
        <v>4614</v>
      </c>
      <c r="G230" s="46" t="n">
        <v>386</v>
      </c>
      <c r="H230" s="46" t="n">
        <v>9032.4</v>
      </c>
    </row>
    <row r="231">
      <c r="A231" s="49" t="n">
        <v>3213</v>
      </c>
      <c r="B231" s="40" t="inlineStr">
        <is>
          <t>БЭЛ-20</t>
        </is>
      </c>
      <c r="C231" s="40" t="inlineStr">
        <is>
          <t>DIESEL</t>
        </is>
      </c>
      <c r="D231" s="49" t="n">
        <v>3000</v>
      </c>
      <c r="E231" s="49" t="n">
        <v>3000</v>
      </c>
      <c r="F231" s="49" t="n">
        <v>2673</v>
      </c>
      <c r="G231" s="49" t="n">
        <v>327</v>
      </c>
      <c r="H231" s="49" t="n">
        <v>7651.8</v>
      </c>
    </row>
    <row r="232">
      <c r="A232" s="46" t="n">
        <v>3247</v>
      </c>
      <c r="B232" s="34" t="inlineStr">
        <is>
          <t>КОМ-12</t>
        </is>
      </c>
      <c r="C232" s="34" t="inlineStr">
        <is>
          <t>A92</t>
        </is>
      </c>
      <c r="D232" s="46" t="n">
        <v>6000</v>
      </c>
      <c r="E232" s="46" t="n">
        <v>6000</v>
      </c>
      <c r="F232" s="46" t="n">
        <v>5838</v>
      </c>
      <c r="G232" s="46" t="n">
        <v>162</v>
      </c>
      <c r="H232" s="46" t="n">
        <v>3790.8</v>
      </c>
    </row>
    <row r="233">
      <c r="A233" s="49" t="n">
        <v>3299</v>
      </c>
      <c r="B233" s="40" t="inlineStr">
        <is>
          <t>УНГ-23</t>
        </is>
      </c>
      <c r="C233" s="40" t="inlineStr">
        <is>
          <t>A92</t>
        </is>
      </c>
      <c r="D233" s="49" t="n">
        <v>4000</v>
      </c>
      <c r="E233" s="49" t="n">
        <v>4000</v>
      </c>
      <c r="F233" s="49" t="n">
        <v>3911</v>
      </c>
      <c r="G233" s="49" t="n">
        <v>89</v>
      </c>
      <c r="H233" s="49" t="n">
        <v>2082.6</v>
      </c>
    </row>
    <row r="234">
      <c r="A234" s="46" t="n">
        <v>3312</v>
      </c>
      <c r="B234" s="34" t="inlineStr">
        <is>
          <t>КИШ-13</t>
        </is>
      </c>
      <c r="C234" s="34" t="inlineStr">
        <is>
          <t>DIESEL</t>
        </is>
      </c>
      <c r="D234" s="46" t="n">
        <v>6000</v>
      </c>
      <c r="E234" s="46" t="n">
        <v>6000</v>
      </c>
      <c r="F234" s="46" t="n">
        <v>5588</v>
      </c>
      <c r="G234" s="46" t="n">
        <v>412</v>
      </c>
      <c r="H234" s="46" t="n">
        <v>9640.799999999999</v>
      </c>
    </row>
    <row r="235">
      <c r="A235" s="49" t="n">
        <v>3320</v>
      </c>
      <c r="B235" s="40" t="inlineStr">
        <is>
          <t>КИШ-19</t>
        </is>
      </c>
      <c r="C235" s="40" t="inlineStr">
        <is>
          <t>A92</t>
        </is>
      </c>
      <c r="D235" s="49" t="n">
        <v>5000</v>
      </c>
      <c r="E235" s="49" t="n">
        <v>5000</v>
      </c>
      <c r="F235" s="49" t="n">
        <v>4701</v>
      </c>
      <c r="G235" s="49" t="n">
        <v>299</v>
      </c>
      <c r="H235" s="49" t="n">
        <v>6996.6</v>
      </c>
    </row>
    <row r="236">
      <c r="A236" s="46" t="n">
        <v>3338</v>
      </c>
      <c r="B236" s="34" t="inlineStr">
        <is>
          <t>БЭЛ-20</t>
        </is>
      </c>
      <c r="C236" s="34" t="inlineStr">
        <is>
          <t>DIESEL</t>
        </is>
      </c>
      <c r="D236" s="46" t="n">
        <v>5000</v>
      </c>
      <c r="E236" s="46" t="n">
        <v>5000</v>
      </c>
      <c r="F236" s="46" t="n">
        <v>4634</v>
      </c>
      <c r="G236" s="46" t="n">
        <v>366</v>
      </c>
      <c r="H236" s="46" t="n">
        <v>8564.4</v>
      </c>
    </row>
    <row r="237">
      <c r="A237" s="49" t="n">
        <v>3378</v>
      </c>
      <c r="B237" s="40" t="inlineStr">
        <is>
          <t>ОРХ-10</t>
        </is>
      </c>
      <c r="C237" s="40" t="inlineStr">
        <is>
          <t>DIESEL</t>
        </is>
      </c>
      <c r="D237" s="49" t="n">
        <v>6000</v>
      </c>
      <c r="E237" s="49" t="n">
        <v>6000</v>
      </c>
      <c r="F237" s="49" t="n">
        <v>5624</v>
      </c>
      <c r="G237" s="49" t="n">
        <v>376</v>
      </c>
      <c r="H237" s="49" t="n">
        <v>8798.4</v>
      </c>
    </row>
    <row r="238">
      <c r="A238" s="46" t="n">
        <v>3388</v>
      </c>
      <c r="B238" s="34" t="inlineStr">
        <is>
          <t>КИШ-07</t>
        </is>
      </c>
      <c r="C238" s="34" t="inlineStr">
        <is>
          <t>A95</t>
        </is>
      </c>
      <c r="D238" s="46" t="n">
        <v>4000</v>
      </c>
      <c r="E238" s="46" t="n">
        <v>4000</v>
      </c>
      <c r="F238" s="46" t="n">
        <v>3634</v>
      </c>
      <c r="G238" s="46" t="n">
        <v>366</v>
      </c>
      <c r="H238" s="46" t="n">
        <v>8564.4</v>
      </c>
    </row>
    <row r="239">
      <c r="A239" s="49" t="n">
        <v>3417</v>
      </c>
      <c r="B239" s="40" t="inlineStr">
        <is>
          <t>КАГ-21</t>
        </is>
      </c>
      <c r="C239" s="40" t="inlineStr">
        <is>
          <t>A92</t>
        </is>
      </c>
      <c r="D239" s="49" t="n">
        <v>4000</v>
      </c>
      <c r="E239" s="49" t="n">
        <v>4000</v>
      </c>
      <c r="F239" s="49" t="n">
        <v>3700</v>
      </c>
      <c r="G239" s="49" t="n">
        <v>300</v>
      </c>
      <c r="H239" s="49" t="n">
        <v>7020</v>
      </c>
    </row>
    <row r="240">
      <c r="A240" s="46" t="n">
        <v>3422</v>
      </c>
      <c r="B240" s="34" t="inlineStr">
        <is>
          <t>ОРХ-04</t>
        </is>
      </c>
      <c r="C240" s="34" t="inlineStr">
        <is>
          <t>A92</t>
        </is>
      </c>
      <c r="D240" s="46" t="n">
        <v>3000</v>
      </c>
      <c r="E240" s="46" t="n">
        <v>3000</v>
      </c>
      <c r="F240" s="46" t="n">
        <v>2639</v>
      </c>
      <c r="G240" s="46" t="n">
        <v>361</v>
      </c>
      <c r="H240" s="46" t="n">
        <v>8447.4</v>
      </c>
    </row>
    <row r="241">
      <c r="A241" s="49" t="n">
        <v>3429</v>
      </c>
      <c r="B241" s="40" t="inlineStr">
        <is>
          <t>КИШ-13</t>
        </is>
      </c>
      <c r="C241" s="40" t="inlineStr">
        <is>
          <t>A95</t>
        </is>
      </c>
      <c r="D241" s="49" t="n">
        <v>5000</v>
      </c>
      <c r="E241" s="49" t="n">
        <v>5000</v>
      </c>
      <c r="F241" s="49" t="n">
        <v>4695</v>
      </c>
      <c r="G241" s="49" t="n">
        <v>305</v>
      </c>
      <c r="H241" s="49" t="n">
        <v>7137</v>
      </c>
    </row>
    <row r="242">
      <c r="A242" s="46" t="n">
        <v>3468</v>
      </c>
      <c r="B242" s="34" t="inlineStr">
        <is>
          <t>БЭЛ-14</t>
        </is>
      </c>
      <c r="C242" s="34" t="inlineStr">
        <is>
          <t>A92</t>
        </is>
      </c>
      <c r="D242" s="46" t="n">
        <v>6000</v>
      </c>
      <c r="E242" s="46" t="n">
        <v>6000</v>
      </c>
      <c r="F242" s="46" t="n">
        <v>5780</v>
      </c>
      <c r="G242" s="46" t="n">
        <v>220</v>
      </c>
      <c r="H242" s="46" t="n">
        <v>5148</v>
      </c>
    </row>
    <row r="243">
      <c r="A243" s="49" t="n">
        <v>3470</v>
      </c>
      <c r="B243" s="40" t="inlineStr">
        <is>
          <t>КИШ-19</t>
        </is>
      </c>
      <c r="C243" s="40" t="inlineStr">
        <is>
          <t>A95</t>
        </is>
      </c>
      <c r="D243" s="49" t="n">
        <v>6000</v>
      </c>
      <c r="E243" s="49" t="n">
        <v>6000</v>
      </c>
      <c r="F243" s="49" t="n">
        <v>5915</v>
      </c>
      <c r="G243" s="49" t="n">
        <v>85</v>
      </c>
      <c r="H243" s="49" t="n">
        <v>1989</v>
      </c>
    </row>
    <row r="244">
      <c r="A244" s="46" t="n">
        <v>3481</v>
      </c>
      <c r="B244" s="34" t="inlineStr">
        <is>
          <t>БЭЛ-20</t>
        </is>
      </c>
      <c r="C244" s="34" t="inlineStr">
        <is>
          <t>DIESEL</t>
        </is>
      </c>
      <c r="D244" s="46" t="n">
        <v>6000</v>
      </c>
      <c r="E244" s="46" t="n">
        <v>6000</v>
      </c>
      <c r="F244" s="46" t="n">
        <v>5931</v>
      </c>
      <c r="G244" s="46" t="n">
        <v>69</v>
      </c>
      <c r="H244" s="46" t="n">
        <v>1614.6</v>
      </c>
    </row>
    <row r="245">
      <c r="A245" s="49" t="n">
        <v>3487</v>
      </c>
      <c r="B245" s="40" t="inlineStr">
        <is>
          <t>БЭЛ-02</t>
        </is>
      </c>
      <c r="C245" s="40" t="inlineStr">
        <is>
          <t>A92</t>
        </is>
      </c>
      <c r="D245" s="49" t="n">
        <v>5000</v>
      </c>
      <c r="E245" s="49" t="n">
        <v>5000</v>
      </c>
      <c r="F245" s="49" t="n">
        <v>4930</v>
      </c>
      <c r="G245" s="49" t="n">
        <v>70</v>
      </c>
      <c r="H245" s="49" t="n">
        <v>1638</v>
      </c>
    </row>
    <row r="246">
      <c r="A246" s="46" t="n">
        <v>3495</v>
      </c>
      <c r="B246" s="34" t="inlineStr">
        <is>
          <t>УНГ-11</t>
        </is>
      </c>
      <c r="C246" s="34" t="inlineStr">
        <is>
          <t>DIESEL</t>
        </is>
      </c>
      <c r="D246" s="46" t="n">
        <v>6000</v>
      </c>
      <c r="E246" s="46" t="n">
        <v>6000</v>
      </c>
      <c r="F246" s="46" t="n">
        <v>5771</v>
      </c>
      <c r="G246" s="46" t="n">
        <v>229</v>
      </c>
      <c r="H246" s="46" t="n">
        <v>5358.6</v>
      </c>
    </row>
    <row r="247">
      <c r="A247" s="49" t="n">
        <v>3514</v>
      </c>
      <c r="B247" s="40" t="inlineStr">
        <is>
          <t>КИШ-07</t>
        </is>
      </c>
      <c r="C247" s="40" t="inlineStr">
        <is>
          <t>DIESEL</t>
        </is>
      </c>
      <c r="D247" s="49" t="n">
        <v>6000</v>
      </c>
      <c r="E247" s="49" t="n">
        <v>6000</v>
      </c>
      <c r="F247" s="49" t="n">
        <v>5608</v>
      </c>
      <c r="G247" s="49" t="n">
        <v>392</v>
      </c>
      <c r="H247" s="49" t="n">
        <v>9172.799999999999</v>
      </c>
    </row>
    <row r="248">
      <c r="A248" s="46" t="n">
        <v>3533</v>
      </c>
      <c r="B248" s="34" t="inlineStr">
        <is>
          <t>ОРХ-22</t>
        </is>
      </c>
      <c r="C248" s="34" t="inlineStr">
        <is>
          <t>A95</t>
        </is>
      </c>
      <c r="D248" s="46" t="n">
        <v>5000</v>
      </c>
      <c r="E248" s="46" t="n">
        <v>5000</v>
      </c>
      <c r="F248" s="46" t="n">
        <v>4902</v>
      </c>
      <c r="G248" s="46" t="n">
        <v>98</v>
      </c>
      <c r="H248" s="46" t="n">
        <v>2293.2</v>
      </c>
    </row>
    <row r="251" ht="22" customHeight="1">
      <c r="A251" s="55" t="inlineStr">
        <is>
          <t>T-06 · Необоснованный пробег · отклонений: 151 из 3534 проверенных</t>
        </is>
      </c>
    </row>
    <row r="252" ht="30" customHeight="1">
      <c r="A252" s="33" t="inlineStr">
        <is>
          <t>Рейс</t>
        </is>
      </c>
      <c r="B252" s="33" t="inlineStr">
        <is>
          <t>Дата</t>
        </is>
      </c>
      <c r="C252" s="33" t="inlineStr">
        <is>
          <t>Водитель</t>
        </is>
      </c>
      <c r="D252" s="33" t="inlineStr">
        <is>
          <t>Норматив, км</t>
        </is>
      </c>
      <c r="E252" s="33" t="inlineStr">
        <is>
          <t>Факт, км</t>
        </is>
      </c>
      <c r="F252" s="33" t="inlineStr">
        <is>
          <t>Отклонение, %</t>
        </is>
      </c>
      <c r="G252" s="33" t="inlineStr">
        <is>
          <t>Оценка, лей</t>
        </is>
      </c>
    </row>
    <row r="253">
      <c r="A253" s="46" t="n">
        <v>12</v>
      </c>
      <c r="B253" s="34" t="inlineStr">
        <is>
          <t>2025-09-02</t>
        </is>
      </c>
      <c r="C253" s="34" t="inlineStr">
        <is>
          <t>Cebotari Sergiu</t>
        </is>
      </c>
      <c r="D253" s="46" t="n">
        <v>694.8</v>
      </c>
      <c r="E253" s="46" t="n">
        <v>796.6</v>
      </c>
      <c r="F253" s="46" t="n">
        <v>14.65</v>
      </c>
      <c r="G253" s="46" t="n">
        <v>356.3</v>
      </c>
    </row>
    <row r="254">
      <c r="A254" s="49" t="n">
        <v>31</v>
      </c>
      <c r="B254" s="40" t="inlineStr">
        <is>
          <t>2025-09-03</t>
        </is>
      </c>
      <c r="C254" s="40" t="inlineStr">
        <is>
          <t>Ursu Ion</t>
        </is>
      </c>
      <c r="D254" s="49" t="n">
        <v>862.4</v>
      </c>
      <c r="E254" s="49" t="n">
        <v>977.2</v>
      </c>
      <c r="F254" s="49" t="n">
        <v>13.31</v>
      </c>
      <c r="G254" s="49" t="n">
        <v>401.8</v>
      </c>
    </row>
    <row r="255">
      <c r="A255" s="46" t="n">
        <v>41</v>
      </c>
      <c r="B255" s="34" t="inlineStr">
        <is>
          <t>2025-09-04</t>
        </is>
      </c>
      <c r="C255" s="34" t="inlineStr">
        <is>
          <t>Bejan Mihai</t>
        </is>
      </c>
      <c r="D255" s="46" t="n">
        <v>981.9</v>
      </c>
      <c r="E255" s="46" t="n">
        <v>1098.9</v>
      </c>
      <c r="F255" s="46" t="n">
        <v>11.92</v>
      </c>
      <c r="G255" s="46" t="n">
        <v>409.5</v>
      </c>
    </row>
    <row r="256">
      <c r="A256" s="49" t="n">
        <v>44</v>
      </c>
      <c r="B256" s="40" t="inlineStr">
        <is>
          <t>2025-09-04</t>
        </is>
      </c>
      <c r="C256" s="40" t="inlineStr">
        <is>
          <t>Ursu Ion</t>
        </is>
      </c>
      <c r="D256" s="49" t="n">
        <v>231.3</v>
      </c>
      <c r="E256" s="49" t="n">
        <v>275.9</v>
      </c>
      <c r="F256" s="49" t="n">
        <v>19.28</v>
      </c>
      <c r="G256" s="49" t="n">
        <v>156.1</v>
      </c>
    </row>
    <row r="257">
      <c r="A257" s="46" t="n">
        <v>90</v>
      </c>
      <c r="B257" s="34" t="inlineStr">
        <is>
          <t>2025-09-10</t>
        </is>
      </c>
      <c r="C257" s="34" t="inlineStr">
        <is>
          <t>Rotaru Dumitru</t>
        </is>
      </c>
      <c r="D257" s="46" t="n">
        <v>359</v>
      </c>
      <c r="E257" s="46" t="n">
        <v>385.1</v>
      </c>
      <c r="F257" s="46" t="n">
        <v>7.27</v>
      </c>
      <c r="G257" s="46" t="n">
        <v>91.34999999999999</v>
      </c>
    </row>
    <row r="258">
      <c r="A258" s="49" t="n">
        <v>106</v>
      </c>
      <c r="B258" s="40" t="inlineStr">
        <is>
          <t>2025-09-12</t>
        </is>
      </c>
      <c r="C258" s="40" t="inlineStr">
        <is>
          <t>Rotaru Dumitru</t>
        </is>
      </c>
      <c r="D258" s="49" t="n">
        <v>471.9</v>
      </c>
      <c r="E258" s="49" t="n">
        <v>549.3</v>
      </c>
      <c r="F258" s="49" t="n">
        <v>16.4</v>
      </c>
      <c r="G258" s="49" t="n">
        <v>270.9</v>
      </c>
    </row>
    <row r="259">
      <c r="A259" s="46" t="n">
        <v>127</v>
      </c>
      <c r="B259" s="34" t="inlineStr">
        <is>
          <t>2025-09-15</t>
        </is>
      </c>
      <c r="C259" s="34" t="inlineStr">
        <is>
          <t>Bejan Mihai</t>
        </is>
      </c>
      <c r="D259" s="46" t="n">
        <v>409.4</v>
      </c>
      <c r="E259" s="46" t="n">
        <v>463.8</v>
      </c>
      <c r="F259" s="46" t="n">
        <v>13.29</v>
      </c>
      <c r="G259" s="46" t="n">
        <v>190.4</v>
      </c>
    </row>
    <row r="260">
      <c r="A260" s="49" t="n">
        <v>141</v>
      </c>
      <c r="B260" s="40" t="inlineStr">
        <is>
          <t>2025-09-16</t>
        </is>
      </c>
      <c r="C260" s="40" t="inlineStr">
        <is>
          <t>Stratan Dumitru</t>
        </is>
      </c>
      <c r="D260" s="49" t="n">
        <v>455.8</v>
      </c>
      <c r="E260" s="49" t="n">
        <v>499.9</v>
      </c>
      <c r="F260" s="49" t="n">
        <v>9.68</v>
      </c>
      <c r="G260" s="49" t="n">
        <v>154.35</v>
      </c>
    </row>
    <row r="261">
      <c r="A261" s="46" t="n">
        <v>157</v>
      </c>
      <c r="B261" s="34" t="inlineStr">
        <is>
          <t>2025-09-18</t>
        </is>
      </c>
      <c r="C261" s="34" t="inlineStr">
        <is>
          <t>Popa Victor</t>
        </is>
      </c>
      <c r="D261" s="46" t="n">
        <v>228.3</v>
      </c>
      <c r="E261" s="46" t="n">
        <v>253.8</v>
      </c>
      <c r="F261" s="46" t="n">
        <v>11.17</v>
      </c>
      <c r="G261" s="46" t="n">
        <v>89.25</v>
      </c>
    </row>
    <row r="262">
      <c r="A262" s="49" t="n">
        <v>194</v>
      </c>
      <c r="B262" s="40" t="inlineStr">
        <is>
          <t>2025-09-22</t>
        </is>
      </c>
      <c r="C262" s="40" t="inlineStr">
        <is>
          <t>Cebotari Sergiu</t>
        </is>
      </c>
      <c r="D262" s="49" t="n">
        <v>303.3</v>
      </c>
      <c r="E262" s="49" t="n">
        <v>325.5</v>
      </c>
      <c r="F262" s="49" t="n">
        <v>7.32</v>
      </c>
      <c r="G262" s="49" t="n">
        <v>77.7</v>
      </c>
    </row>
    <row r="263">
      <c r="A263" s="46" t="n">
        <v>198</v>
      </c>
      <c r="B263" s="34" t="inlineStr">
        <is>
          <t>2025-09-23</t>
        </is>
      </c>
      <c r="C263" s="34" t="inlineStr">
        <is>
          <t>Balan Grigore</t>
        </is>
      </c>
      <c r="D263" s="46" t="n">
        <v>323</v>
      </c>
      <c r="E263" s="46" t="n">
        <v>368.9</v>
      </c>
      <c r="F263" s="46" t="n">
        <v>14.21</v>
      </c>
      <c r="G263" s="46" t="n">
        <v>160.65</v>
      </c>
    </row>
    <row r="264">
      <c r="A264" s="49" t="n">
        <v>218</v>
      </c>
      <c r="B264" s="40" t="inlineStr">
        <is>
          <t>2025-09-25</t>
        </is>
      </c>
      <c r="C264" s="40" t="inlineStr">
        <is>
          <t>Bejan Mihai</t>
        </is>
      </c>
      <c r="D264" s="49" t="n">
        <v>173.6</v>
      </c>
      <c r="E264" s="49" t="n">
        <v>190</v>
      </c>
      <c r="F264" s="49" t="n">
        <v>9.449999999999999</v>
      </c>
      <c r="G264" s="49" t="n">
        <v>57.4</v>
      </c>
    </row>
    <row r="265">
      <c r="A265" s="46" t="n">
        <v>224</v>
      </c>
      <c r="B265" s="34" t="inlineStr">
        <is>
          <t>2025-09-25</t>
        </is>
      </c>
      <c r="C265" s="34" t="inlineStr">
        <is>
          <t>Cebotari Sergiu</t>
        </is>
      </c>
      <c r="D265" s="46" t="n">
        <v>162.7</v>
      </c>
      <c r="E265" s="46" t="n">
        <v>187.5</v>
      </c>
      <c r="F265" s="46" t="n">
        <v>15.24</v>
      </c>
      <c r="G265" s="46" t="n">
        <v>86.8</v>
      </c>
    </row>
    <row r="266">
      <c r="A266" s="49" t="n">
        <v>239</v>
      </c>
      <c r="B266" s="40" t="inlineStr">
        <is>
          <t>2025-09-27</t>
        </is>
      </c>
      <c r="C266" s="40" t="inlineStr">
        <is>
          <t>Gutu Andrei</t>
        </is>
      </c>
      <c r="D266" s="49" t="n">
        <v>445.3</v>
      </c>
      <c r="E266" s="49" t="n">
        <v>495.6</v>
      </c>
      <c r="F266" s="49" t="n">
        <v>11.3</v>
      </c>
      <c r="G266" s="49" t="n">
        <v>176.05</v>
      </c>
    </row>
    <row r="267">
      <c r="A267" s="46" t="n">
        <v>240</v>
      </c>
      <c r="B267" s="34" t="inlineStr">
        <is>
          <t>2025-09-27</t>
        </is>
      </c>
      <c r="C267" s="34" t="inlineStr">
        <is>
          <t>Cebotari Sergiu</t>
        </is>
      </c>
      <c r="D267" s="46" t="n">
        <v>303.1</v>
      </c>
      <c r="E267" s="46" t="n">
        <v>340.7</v>
      </c>
      <c r="F267" s="46" t="n">
        <v>12.41</v>
      </c>
      <c r="G267" s="46" t="n">
        <v>131.6</v>
      </c>
    </row>
    <row r="268">
      <c r="A268" s="49" t="n">
        <v>253</v>
      </c>
      <c r="B268" s="40" t="inlineStr">
        <is>
          <t>2025-09-29</t>
        </is>
      </c>
      <c r="C268" s="40" t="inlineStr">
        <is>
          <t>Balan Grigore</t>
        </is>
      </c>
      <c r="D268" s="49" t="n">
        <v>423.3</v>
      </c>
      <c r="E268" s="49" t="n">
        <v>483.4</v>
      </c>
      <c r="F268" s="49" t="n">
        <v>14.2</v>
      </c>
      <c r="G268" s="49" t="n">
        <v>210.35</v>
      </c>
    </row>
    <row r="269">
      <c r="A269" s="46" t="n">
        <v>267</v>
      </c>
      <c r="B269" s="34" t="inlineStr">
        <is>
          <t>2025-10-01</t>
        </is>
      </c>
      <c r="C269" s="34" t="inlineStr">
        <is>
          <t>Cebotari Andrei</t>
        </is>
      </c>
      <c r="D269" s="46" t="n">
        <v>365.1</v>
      </c>
      <c r="E269" s="46" t="n">
        <v>402.3</v>
      </c>
      <c r="F269" s="46" t="n">
        <v>10.19</v>
      </c>
      <c r="G269" s="46" t="n">
        <v>130.2</v>
      </c>
    </row>
    <row r="270">
      <c r="A270" s="49" t="n">
        <v>272</v>
      </c>
      <c r="B270" s="40" t="inlineStr">
        <is>
          <t>2025-10-01</t>
        </is>
      </c>
      <c r="C270" s="40" t="inlineStr">
        <is>
          <t>Sirbu Dumitru</t>
        </is>
      </c>
      <c r="D270" s="49" t="n">
        <v>1006</v>
      </c>
      <c r="E270" s="49" t="n">
        <v>1082.1</v>
      </c>
      <c r="F270" s="49" t="n">
        <v>7.56</v>
      </c>
      <c r="G270" s="49" t="n">
        <v>266.35</v>
      </c>
    </row>
    <row r="271">
      <c r="A271" s="46" t="n">
        <v>294</v>
      </c>
      <c r="B271" s="34" t="inlineStr">
        <is>
          <t>2025-10-03</t>
        </is>
      </c>
      <c r="C271" s="34" t="inlineStr">
        <is>
          <t>Grosu Petru</t>
        </is>
      </c>
      <c r="D271" s="46" t="n">
        <v>149</v>
      </c>
      <c r="E271" s="46" t="n">
        <v>165.2</v>
      </c>
      <c r="F271" s="46" t="n">
        <v>10.87</v>
      </c>
      <c r="G271" s="46" t="n">
        <v>56.7</v>
      </c>
    </row>
    <row r="272">
      <c r="A272" s="49" t="n">
        <v>302</v>
      </c>
      <c r="B272" s="40" t="inlineStr">
        <is>
          <t>2025-10-04</t>
        </is>
      </c>
      <c r="C272" s="40" t="inlineStr">
        <is>
          <t>Grosu Petru</t>
        </is>
      </c>
      <c r="D272" s="49" t="n">
        <v>161.3</v>
      </c>
      <c r="E272" s="49" t="n">
        <v>194.5</v>
      </c>
      <c r="F272" s="49" t="n">
        <v>20.58</v>
      </c>
      <c r="G272" s="49" t="n">
        <v>116.2</v>
      </c>
    </row>
    <row r="273">
      <c r="A273" s="46" t="n">
        <v>321</v>
      </c>
      <c r="B273" s="34" t="inlineStr">
        <is>
          <t>2025-10-07</t>
        </is>
      </c>
      <c r="C273" s="34" t="inlineStr">
        <is>
          <t>Rotaru Dumitru</t>
        </is>
      </c>
      <c r="D273" s="46" t="n">
        <v>642.8</v>
      </c>
      <c r="E273" s="46" t="n">
        <v>781.9</v>
      </c>
      <c r="F273" s="46" t="n">
        <v>21.64</v>
      </c>
      <c r="G273" s="46" t="n">
        <v>486.85</v>
      </c>
    </row>
    <row r="274">
      <c r="A274" s="49" t="n">
        <v>324</v>
      </c>
      <c r="B274" s="40" t="inlineStr">
        <is>
          <t>2025-10-07</t>
        </is>
      </c>
      <c r="C274" s="40" t="inlineStr">
        <is>
          <t>Popa Mihai</t>
        </is>
      </c>
      <c r="D274" s="49" t="n">
        <v>889.7</v>
      </c>
      <c r="E274" s="49" t="n">
        <v>969.6</v>
      </c>
      <c r="F274" s="49" t="n">
        <v>8.98</v>
      </c>
      <c r="G274" s="49" t="n">
        <v>279.65</v>
      </c>
    </row>
    <row r="275">
      <c r="A275" s="46" t="n">
        <v>361</v>
      </c>
      <c r="B275" s="34" t="inlineStr">
        <is>
          <t>2025-10-10</t>
        </is>
      </c>
      <c r="C275" s="34" t="inlineStr">
        <is>
          <t>Stratan Dumitru</t>
        </is>
      </c>
      <c r="D275" s="46" t="n">
        <v>442.1</v>
      </c>
      <c r="E275" s="46" t="n">
        <v>509.4</v>
      </c>
      <c r="F275" s="46" t="n">
        <v>15.22</v>
      </c>
      <c r="G275" s="46" t="n">
        <v>235.55</v>
      </c>
    </row>
    <row r="276">
      <c r="A276" s="49" t="n">
        <v>422</v>
      </c>
      <c r="B276" s="40" t="inlineStr">
        <is>
          <t>2025-10-17</t>
        </is>
      </c>
      <c r="C276" s="40" t="inlineStr">
        <is>
          <t>Cazacu Petru</t>
        </is>
      </c>
      <c r="D276" s="49" t="n">
        <v>126.1</v>
      </c>
      <c r="E276" s="49" t="n">
        <v>145.6</v>
      </c>
      <c r="F276" s="49" t="n">
        <v>15.46</v>
      </c>
      <c r="G276" s="49" t="n">
        <v>68.25</v>
      </c>
    </row>
    <row r="277">
      <c r="A277" s="46" t="n">
        <v>444</v>
      </c>
      <c r="B277" s="34" t="inlineStr">
        <is>
          <t>2025-10-21</t>
        </is>
      </c>
      <c r="C277" s="34" t="inlineStr">
        <is>
          <t>Balan Grigore</t>
        </is>
      </c>
      <c r="D277" s="46" t="n">
        <v>973</v>
      </c>
      <c r="E277" s="46" t="n">
        <v>1149.8</v>
      </c>
      <c r="F277" s="46" t="n">
        <v>18.17</v>
      </c>
      <c r="G277" s="46" t="n">
        <v>618.8</v>
      </c>
    </row>
    <row r="278">
      <c r="A278" s="49" t="n">
        <v>468</v>
      </c>
      <c r="B278" s="40" t="inlineStr">
        <is>
          <t>2025-10-23</t>
        </is>
      </c>
      <c r="C278" s="40" t="inlineStr">
        <is>
          <t>Rusu Victor</t>
        </is>
      </c>
      <c r="D278" s="49" t="n">
        <v>700</v>
      </c>
      <c r="E278" s="49" t="n">
        <v>769</v>
      </c>
      <c r="F278" s="49" t="n">
        <v>9.859999999999999</v>
      </c>
      <c r="G278" s="49" t="n">
        <v>241.5</v>
      </c>
    </row>
    <row r="279">
      <c r="A279" s="46" t="n">
        <v>523</v>
      </c>
      <c r="B279" s="34" t="inlineStr">
        <is>
          <t>2025-10-30</t>
        </is>
      </c>
      <c r="C279" s="34" t="inlineStr">
        <is>
          <t>Grosu Sergiu</t>
        </is>
      </c>
      <c r="D279" s="46" t="n">
        <v>159.7</v>
      </c>
      <c r="E279" s="46" t="n">
        <v>181.5</v>
      </c>
      <c r="F279" s="46" t="n">
        <v>13.65</v>
      </c>
      <c r="G279" s="46" t="n">
        <v>76.3</v>
      </c>
    </row>
    <row r="280">
      <c r="A280" s="49" t="n">
        <v>529</v>
      </c>
      <c r="B280" s="40" t="inlineStr">
        <is>
          <t>2025-10-31</t>
        </is>
      </c>
      <c r="C280" s="40" t="inlineStr">
        <is>
          <t>Rotaru Dumitru</t>
        </is>
      </c>
      <c r="D280" s="49" t="n">
        <v>209</v>
      </c>
      <c r="E280" s="49" t="n">
        <v>226.4</v>
      </c>
      <c r="F280" s="49" t="n">
        <v>8.33</v>
      </c>
      <c r="G280" s="49" t="n">
        <v>60.9</v>
      </c>
    </row>
    <row r="281">
      <c r="A281" s="46" t="n">
        <v>561</v>
      </c>
      <c r="B281" s="34" t="inlineStr">
        <is>
          <t>2025-11-05</t>
        </is>
      </c>
      <c r="C281" s="34" t="inlineStr">
        <is>
          <t>Gutu Andrei</t>
        </is>
      </c>
      <c r="D281" s="46" t="n">
        <v>238.5</v>
      </c>
      <c r="E281" s="46" t="n">
        <v>258.8</v>
      </c>
      <c r="F281" s="46" t="n">
        <v>8.51</v>
      </c>
      <c r="G281" s="46" t="n">
        <v>71.05</v>
      </c>
    </row>
    <row r="282">
      <c r="A282" s="49" t="n">
        <v>594</v>
      </c>
      <c r="B282" s="40" t="inlineStr">
        <is>
          <t>2025-11-07</t>
        </is>
      </c>
      <c r="C282" s="40" t="inlineStr">
        <is>
          <t>Rotaru Igor</t>
        </is>
      </c>
      <c r="D282" s="49" t="n">
        <v>235.6</v>
      </c>
      <c r="E282" s="49" t="n">
        <v>276.6</v>
      </c>
      <c r="F282" s="49" t="n">
        <v>17.4</v>
      </c>
      <c r="G282" s="49" t="n">
        <v>143.5</v>
      </c>
    </row>
    <row r="283">
      <c r="A283" s="46" t="n">
        <v>624</v>
      </c>
      <c r="B283" s="34" t="inlineStr">
        <is>
          <t>2025-11-12</t>
        </is>
      </c>
      <c r="C283" s="34" t="inlineStr">
        <is>
          <t>Cazacu Petru</t>
        </is>
      </c>
      <c r="D283" s="46" t="n">
        <v>166.6</v>
      </c>
      <c r="E283" s="46" t="n">
        <v>193.9</v>
      </c>
      <c r="F283" s="46" t="n">
        <v>16.39</v>
      </c>
      <c r="G283" s="46" t="n">
        <v>95.55</v>
      </c>
    </row>
    <row r="284">
      <c r="A284" s="49" t="n">
        <v>626</v>
      </c>
      <c r="B284" s="40" t="inlineStr">
        <is>
          <t>2025-11-12</t>
        </is>
      </c>
      <c r="C284" s="40" t="inlineStr">
        <is>
          <t>Ciobanu Nicolae</t>
        </is>
      </c>
      <c r="D284" s="49" t="n">
        <v>896.5</v>
      </c>
      <c r="E284" s="49" t="n">
        <v>1060.7</v>
      </c>
      <c r="F284" s="49" t="n">
        <v>18.32</v>
      </c>
      <c r="G284" s="49" t="n">
        <v>574.7</v>
      </c>
    </row>
    <row r="285">
      <c r="A285" s="46" t="n">
        <v>728</v>
      </c>
      <c r="B285" s="34" t="inlineStr">
        <is>
          <t>2025-11-24</t>
        </is>
      </c>
      <c r="C285" s="34" t="inlineStr">
        <is>
          <t>Gutu Andrei</t>
        </is>
      </c>
      <c r="D285" s="46" t="n">
        <v>843.1</v>
      </c>
      <c r="E285" s="46" t="n">
        <v>1003.6</v>
      </c>
      <c r="F285" s="46" t="n">
        <v>19.04</v>
      </c>
      <c r="G285" s="46" t="n">
        <v>561.75</v>
      </c>
    </row>
    <row r="286">
      <c r="A286" s="49" t="n">
        <v>785</v>
      </c>
      <c r="B286" s="40" t="inlineStr">
        <is>
          <t>2025-11-29</t>
        </is>
      </c>
      <c r="C286" s="40" t="inlineStr">
        <is>
          <t>Popa Victor</t>
        </is>
      </c>
      <c r="D286" s="49" t="n">
        <v>208.9</v>
      </c>
      <c r="E286" s="49" t="n">
        <v>234.9</v>
      </c>
      <c r="F286" s="49" t="n">
        <v>12.45</v>
      </c>
      <c r="G286" s="49" t="n">
        <v>91</v>
      </c>
    </row>
    <row r="287">
      <c r="A287" s="46" t="n">
        <v>802</v>
      </c>
      <c r="B287" s="34" t="inlineStr">
        <is>
          <t>2025-12-02</t>
        </is>
      </c>
      <c r="C287" s="34" t="inlineStr">
        <is>
          <t>Ursu Ion</t>
        </is>
      </c>
      <c r="D287" s="46" t="n">
        <v>742.1</v>
      </c>
      <c r="E287" s="46" t="n">
        <v>812</v>
      </c>
      <c r="F287" s="46" t="n">
        <v>9.42</v>
      </c>
      <c r="G287" s="46" t="n">
        <v>244.65</v>
      </c>
    </row>
    <row r="288">
      <c r="A288" s="49" t="n">
        <v>824</v>
      </c>
      <c r="B288" s="40" t="inlineStr">
        <is>
          <t>2025-12-04</t>
        </is>
      </c>
      <c r="C288" s="40" t="inlineStr">
        <is>
          <t>Cazacu Mihai</t>
        </is>
      </c>
      <c r="D288" s="49" t="n">
        <v>408.5</v>
      </c>
      <c r="E288" s="49" t="n">
        <v>436.4</v>
      </c>
      <c r="F288" s="49" t="n">
        <v>6.83</v>
      </c>
      <c r="G288" s="49" t="n">
        <v>97.65000000000001</v>
      </c>
    </row>
    <row r="289">
      <c r="A289" s="46" t="n">
        <v>830</v>
      </c>
      <c r="B289" s="34" t="inlineStr">
        <is>
          <t>2025-12-05</t>
        </is>
      </c>
      <c r="C289" s="34" t="inlineStr">
        <is>
          <t>Cazacu Petru</t>
        </is>
      </c>
      <c r="D289" s="46" t="n">
        <v>703.1</v>
      </c>
      <c r="E289" s="46" t="n">
        <v>747.8</v>
      </c>
      <c r="F289" s="46" t="n">
        <v>6.36</v>
      </c>
      <c r="G289" s="46" t="n">
        <v>156.45</v>
      </c>
    </row>
    <row r="290">
      <c r="A290" s="49" t="n">
        <v>866</v>
      </c>
      <c r="B290" s="40" t="inlineStr">
        <is>
          <t>2025-12-08</t>
        </is>
      </c>
      <c r="C290" s="40" t="inlineStr">
        <is>
          <t>Bejan Mihai</t>
        </is>
      </c>
      <c r="D290" s="49" t="n">
        <v>379</v>
      </c>
      <c r="E290" s="49" t="n">
        <v>436.5</v>
      </c>
      <c r="F290" s="49" t="n">
        <v>15.17</v>
      </c>
      <c r="G290" s="49" t="n">
        <v>201.25</v>
      </c>
    </row>
    <row r="291">
      <c r="A291" s="46" t="n">
        <v>869</v>
      </c>
      <c r="B291" s="34" t="inlineStr">
        <is>
          <t>2025-12-09</t>
        </is>
      </c>
      <c r="C291" s="34" t="inlineStr">
        <is>
          <t>Gutu Andrei</t>
        </is>
      </c>
      <c r="D291" s="46" t="n">
        <v>824.2</v>
      </c>
      <c r="E291" s="46" t="n">
        <v>985.6</v>
      </c>
      <c r="F291" s="46" t="n">
        <v>19.58</v>
      </c>
      <c r="G291" s="46" t="n">
        <v>564.9</v>
      </c>
    </row>
    <row r="292">
      <c r="A292" s="49" t="n">
        <v>888</v>
      </c>
      <c r="B292" s="40" t="inlineStr">
        <is>
          <t>2025-12-11</t>
        </is>
      </c>
      <c r="C292" s="40" t="inlineStr">
        <is>
          <t>Negru Alexandru</t>
        </is>
      </c>
      <c r="D292" s="49" t="n">
        <v>209.4</v>
      </c>
      <c r="E292" s="49" t="n">
        <v>227.7</v>
      </c>
      <c r="F292" s="49" t="n">
        <v>8.74</v>
      </c>
      <c r="G292" s="49" t="n">
        <v>64.05</v>
      </c>
    </row>
    <row r="293">
      <c r="A293" s="46" t="n">
        <v>889</v>
      </c>
      <c r="B293" s="34" t="inlineStr">
        <is>
          <t>2025-12-11</t>
        </is>
      </c>
      <c r="C293" s="34" t="inlineStr">
        <is>
          <t>Ciobanu Nicolae</t>
        </is>
      </c>
      <c r="D293" s="46" t="n">
        <v>1063.6</v>
      </c>
      <c r="E293" s="46" t="n">
        <v>1227.8</v>
      </c>
      <c r="F293" s="46" t="n">
        <v>15.44</v>
      </c>
      <c r="G293" s="46" t="n">
        <v>574.7</v>
      </c>
    </row>
    <row r="294">
      <c r="A294" s="49" t="n">
        <v>907</v>
      </c>
      <c r="B294" s="40" t="inlineStr">
        <is>
          <t>2025-12-13</t>
        </is>
      </c>
      <c r="C294" s="40" t="inlineStr">
        <is>
          <t>Negru Alexandru</t>
        </is>
      </c>
      <c r="D294" s="49" t="n">
        <v>211.9</v>
      </c>
      <c r="E294" s="49" t="n">
        <v>236.8</v>
      </c>
      <c r="F294" s="49" t="n">
        <v>11.75</v>
      </c>
      <c r="G294" s="49" t="n">
        <v>87.15000000000001</v>
      </c>
    </row>
    <row r="295">
      <c r="A295" s="46" t="n">
        <v>922</v>
      </c>
      <c r="B295" s="34" t="inlineStr">
        <is>
          <t>2025-12-15</t>
        </is>
      </c>
      <c r="C295" s="34" t="inlineStr">
        <is>
          <t>Cazacu Petru</t>
        </is>
      </c>
      <c r="D295" s="46" t="n">
        <v>423.5</v>
      </c>
      <c r="E295" s="46" t="n">
        <v>502.8</v>
      </c>
      <c r="F295" s="46" t="n">
        <v>18.72</v>
      </c>
      <c r="G295" s="46" t="n">
        <v>277.55</v>
      </c>
    </row>
    <row r="296">
      <c r="A296" s="49" t="n">
        <v>944</v>
      </c>
      <c r="B296" s="40" t="inlineStr">
        <is>
          <t>2025-12-17</t>
        </is>
      </c>
      <c r="C296" s="40" t="inlineStr">
        <is>
          <t>Sirbu Dumitru</t>
        </is>
      </c>
      <c r="D296" s="49" t="n">
        <v>456.7</v>
      </c>
      <c r="E296" s="49" t="n">
        <v>509.8</v>
      </c>
      <c r="F296" s="49" t="n">
        <v>11.63</v>
      </c>
      <c r="G296" s="49" t="n">
        <v>185.85</v>
      </c>
    </row>
    <row r="297">
      <c r="A297" s="46" t="n">
        <v>976</v>
      </c>
      <c r="B297" s="34" t="inlineStr">
        <is>
          <t>2025-12-19</t>
        </is>
      </c>
      <c r="C297" s="34" t="inlineStr">
        <is>
          <t>Bejan Mihai</t>
        </is>
      </c>
      <c r="D297" s="46" t="n">
        <v>237.9</v>
      </c>
      <c r="E297" s="46" t="n">
        <v>269</v>
      </c>
      <c r="F297" s="46" t="n">
        <v>13.07</v>
      </c>
      <c r="G297" s="46" t="n">
        <v>108.85</v>
      </c>
    </row>
    <row r="298">
      <c r="A298" s="49" t="n">
        <v>1066</v>
      </c>
      <c r="B298" s="40" t="inlineStr">
        <is>
          <t>2025-12-30</t>
        </is>
      </c>
      <c r="C298" s="40" t="inlineStr">
        <is>
          <t>Balan Grigore</t>
        </is>
      </c>
      <c r="D298" s="49" t="n">
        <v>365.1</v>
      </c>
      <c r="E298" s="49" t="n">
        <v>406.8</v>
      </c>
      <c r="F298" s="49" t="n">
        <v>11.42</v>
      </c>
      <c r="G298" s="49" t="n">
        <v>145.95</v>
      </c>
    </row>
    <row r="299">
      <c r="A299" s="46" t="n">
        <v>1195</v>
      </c>
      <c r="B299" s="34" t="inlineStr">
        <is>
          <t>2026-01-14</t>
        </is>
      </c>
      <c r="C299" s="34" t="inlineStr">
        <is>
          <t>Rusu Petru</t>
        </is>
      </c>
      <c r="D299" s="46" t="n">
        <v>158.3</v>
      </c>
      <c r="E299" s="46" t="n">
        <v>183.1</v>
      </c>
      <c r="F299" s="46" t="n">
        <v>15.67</v>
      </c>
      <c r="G299" s="46" t="n">
        <v>86.8</v>
      </c>
    </row>
    <row r="300">
      <c r="A300" s="49" t="n">
        <v>1215</v>
      </c>
      <c r="B300" s="40" t="inlineStr">
        <is>
          <t>2026-01-15</t>
        </is>
      </c>
      <c r="C300" s="40" t="inlineStr">
        <is>
          <t>Ciobanu Nicolae</t>
        </is>
      </c>
      <c r="D300" s="49" t="n">
        <v>368.2</v>
      </c>
      <c r="E300" s="49" t="n">
        <v>400.2</v>
      </c>
      <c r="F300" s="49" t="n">
        <v>8.69</v>
      </c>
      <c r="G300" s="49" t="n">
        <v>112</v>
      </c>
    </row>
    <row r="301">
      <c r="A301" s="46" t="n">
        <v>1242</v>
      </c>
      <c r="B301" s="34" t="inlineStr">
        <is>
          <t>2026-01-19</t>
        </is>
      </c>
      <c r="C301" s="34" t="inlineStr">
        <is>
          <t>Grosu Sergiu</t>
        </is>
      </c>
      <c r="D301" s="46" t="n">
        <v>236.5</v>
      </c>
      <c r="E301" s="46" t="n">
        <v>265.4</v>
      </c>
      <c r="F301" s="46" t="n">
        <v>12.22</v>
      </c>
      <c r="G301" s="46" t="n">
        <v>101.15</v>
      </c>
    </row>
    <row r="302">
      <c r="A302" s="49" t="n">
        <v>1260</v>
      </c>
      <c r="B302" s="40" t="inlineStr">
        <is>
          <t>2026-01-21</t>
        </is>
      </c>
      <c r="C302" s="40" t="inlineStr">
        <is>
          <t>Popa Mihai</t>
        </is>
      </c>
      <c r="D302" s="49" t="n">
        <v>452.9</v>
      </c>
      <c r="E302" s="49" t="n">
        <v>534.3</v>
      </c>
      <c r="F302" s="49" t="n">
        <v>17.97</v>
      </c>
      <c r="G302" s="49" t="n">
        <v>284.9</v>
      </c>
    </row>
    <row r="303">
      <c r="A303" s="46" t="n">
        <v>1282</v>
      </c>
      <c r="B303" s="34" t="inlineStr">
        <is>
          <t>2026-01-23</t>
        </is>
      </c>
      <c r="C303" s="34" t="inlineStr">
        <is>
          <t>Grosu Sergiu</t>
        </is>
      </c>
      <c r="D303" s="46" t="n">
        <v>414.8</v>
      </c>
      <c r="E303" s="46" t="n">
        <v>475.9</v>
      </c>
      <c r="F303" s="46" t="n">
        <v>14.73</v>
      </c>
      <c r="G303" s="46" t="n">
        <v>213.85</v>
      </c>
    </row>
    <row r="304">
      <c r="A304" s="49" t="n">
        <v>1302</v>
      </c>
      <c r="B304" s="40" t="inlineStr">
        <is>
          <t>2026-01-24</t>
        </is>
      </c>
      <c r="C304" s="40" t="inlineStr">
        <is>
          <t>Balan Grigore</t>
        </is>
      </c>
      <c r="D304" s="49" t="n">
        <v>235.6</v>
      </c>
      <c r="E304" s="49" t="n">
        <v>266.6</v>
      </c>
      <c r="F304" s="49" t="n">
        <v>13.16</v>
      </c>
      <c r="G304" s="49" t="n">
        <v>108.5</v>
      </c>
    </row>
    <row r="305">
      <c r="A305" s="46" t="n">
        <v>1351</v>
      </c>
      <c r="B305" s="34" t="inlineStr">
        <is>
          <t>2026-01-30</t>
        </is>
      </c>
      <c r="C305" s="34" t="inlineStr">
        <is>
          <t>Negru Alexandru</t>
        </is>
      </c>
      <c r="D305" s="46" t="n">
        <v>344.1</v>
      </c>
      <c r="E305" s="46" t="n">
        <v>397.9</v>
      </c>
      <c r="F305" s="46" t="n">
        <v>15.63</v>
      </c>
      <c r="G305" s="46" t="n">
        <v>188.3</v>
      </c>
    </row>
    <row r="306">
      <c r="A306" s="49" t="n">
        <v>1385</v>
      </c>
      <c r="B306" s="40" t="inlineStr">
        <is>
          <t>2026-02-03</t>
        </is>
      </c>
      <c r="C306" s="40" t="inlineStr">
        <is>
          <t>Gutu Andrei</t>
        </is>
      </c>
      <c r="D306" s="49" t="n">
        <v>360.9</v>
      </c>
      <c r="E306" s="49" t="n">
        <v>425.9</v>
      </c>
      <c r="F306" s="49" t="n">
        <v>18.01</v>
      </c>
      <c r="G306" s="49" t="n">
        <v>227.5</v>
      </c>
    </row>
    <row r="307">
      <c r="A307" s="46" t="n">
        <v>1395</v>
      </c>
      <c r="B307" s="34" t="inlineStr">
        <is>
          <t>2026-02-04</t>
        </is>
      </c>
      <c r="C307" s="34" t="inlineStr">
        <is>
          <t>Cebotari Sergiu</t>
        </is>
      </c>
      <c r="D307" s="46" t="n">
        <v>466.3</v>
      </c>
      <c r="E307" s="46" t="n">
        <v>521.6</v>
      </c>
      <c r="F307" s="46" t="n">
        <v>11.86</v>
      </c>
      <c r="G307" s="46" t="n">
        <v>193.55</v>
      </c>
    </row>
    <row r="308">
      <c r="A308" s="49" t="n">
        <v>1414</v>
      </c>
      <c r="B308" s="40" t="inlineStr">
        <is>
          <t>2026-02-06</t>
        </is>
      </c>
      <c r="C308" s="40" t="inlineStr">
        <is>
          <t>Rusu Petru</t>
        </is>
      </c>
      <c r="D308" s="49" t="n">
        <v>271.5</v>
      </c>
      <c r="E308" s="49" t="n">
        <v>287.9</v>
      </c>
      <c r="F308" s="49" t="n">
        <v>6.04</v>
      </c>
      <c r="G308" s="49" t="n">
        <v>57.4</v>
      </c>
    </row>
    <row r="309">
      <c r="A309" s="46" t="n">
        <v>1416</v>
      </c>
      <c r="B309" s="34" t="inlineStr">
        <is>
          <t>2026-02-07</t>
        </is>
      </c>
      <c r="C309" s="34" t="inlineStr">
        <is>
          <t>Rusu Petru</t>
        </is>
      </c>
      <c r="D309" s="46" t="n">
        <v>466.6</v>
      </c>
      <c r="E309" s="46" t="n">
        <v>553.8</v>
      </c>
      <c r="F309" s="46" t="n">
        <v>18.69</v>
      </c>
      <c r="G309" s="46" t="n">
        <v>305.2</v>
      </c>
    </row>
    <row r="310">
      <c r="A310" s="49" t="n">
        <v>1419</v>
      </c>
      <c r="B310" s="40" t="inlineStr">
        <is>
          <t>2026-02-07</t>
        </is>
      </c>
      <c r="C310" s="40" t="inlineStr">
        <is>
          <t>Popa Mihai</t>
        </is>
      </c>
      <c r="D310" s="49" t="n">
        <v>1051.2</v>
      </c>
      <c r="E310" s="49" t="n">
        <v>1204</v>
      </c>
      <c r="F310" s="49" t="n">
        <v>14.54</v>
      </c>
      <c r="G310" s="49" t="n">
        <v>534.8</v>
      </c>
    </row>
    <row r="311">
      <c r="A311" s="46" t="n">
        <v>1467</v>
      </c>
      <c r="B311" s="34" t="inlineStr">
        <is>
          <t>2026-02-13</t>
        </is>
      </c>
      <c r="C311" s="34" t="inlineStr">
        <is>
          <t>Stratan Dumitru</t>
        </is>
      </c>
      <c r="D311" s="46" t="n">
        <v>406</v>
      </c>
      <c r="E311" s="46" t="n">
        <v>447.6</v>
      </c>
      <c r="F311" s="46" t="n">
        <v>10.25</v>
      </c>
      <c r="G311" s="46" t="n">
        <v>145.6</v>
      </c>
    </row>
    <row r="312">
      <c r="A312" s="49" t="n">
        <v>1553</v>
      </c>
      <c r="B312" s="40" t="inlineStr">
        <is>
          <t>2026-02-23</t>
        </is>
      </c>
      <c r="C312" s="40" t="inlineStr">
        <is>
          <t>Sirbu Dumitru</t>
        </is>
      </c>
      <c r="D312" s="49" t="n">
        <v>429.2</v>
      </c>
      <c r="E312" s="49" t="n">
        <v>505.3</v>
      </c>
      <c r="F312" s="49" t="n">
        <v>17.73</v>
      </c>
      <c r="G312" s="49" t="n">
        <v>266.35</v>
      </c>
    </row>
    <row r="313">
      <c r="A313" s="46" t="n">
        <v>1555</v>
      </c>
      <c r="B313" s="34" t="inlineStr">
        <is>
          <t>2026-02-23</t>
        </is>
      </c>
      <c r="C313" s="34" t="inlineStr">
        <is>
          <t>Grosu Petru</t>
        </is>
      </c>
      <c r="D313" s="46" t="n">
        <v>464.4</v>
      </c>
      <c r="E313" s="46" t="n">
        <v>493</v>
      </c>
      <c r="F313" s="46" t="n">
        <v>6.16</v>
      </c>
      <c r="G313" s="46" t="n">
        <v>100.1</v>
      </c>
    </row>
    <row r="314">
      <c r="A314" s="49" t="n">
        <v>1596</v>
      </c>
      <c r="B314" s="40" t="inlineStr">
        <is>
          <t>2026-02-26</t>
        </is>
      </c>
      <c r="C314" s="40" t="inlineStr">
        <is>
          <t>Popa Victor</t>
        </is>
      </c>
      <c r="D314" s="49" t="n">
        <v>633</v>
      </c>
      <c r="E314" s="49" t="n">
        <v>721.5</v>
      </c>
      <c r="F314" s="49" t="n">
        <v>13.98</v>
      </c>
      <c r="G314" s="49" t="n">
        <v>309.75</v>
      </c>
    </row>
    <row r="315">
      <c r="A315" s="46" t="n">
        <v>1622</v>
      </c>
      <c r="B315" s="34" t="inlineStr">
        <is>
          <t>2026-03-02</t>
        </is>
      </c>
      <c r="C315" s="34" t="inlineStr">
        <is>
          <t>Cebotari Andrei</t>
        </is>
      </c>
      <c r="D315" s="46" t="n">
        <v>369.1</v>
      </c>
      <c r="E315" s="46" t="n">
        <v>426</v>
      </c>
      <c r="F315" s="46" t="n">
        <v>15.42</v>
      </c>
      <c r="G315" s="46" t="n">
        <v>199.15</v>
      </c>
    </row>
    <row r="316">
      <c r="A316" s="49" t="n">
        <v>1681</v>
      </c>
      <c r="B316" s="40" t="inlineStr">
        <is>
          <t>2026-03-09</t>
        </is>
      </c>
      <c r="C316" s="40" t="inlineStr">
        <is>
          <t>Grosu Petru</t>
        </is>
      </c>
      <c r="D316" s="49" t="n">
        <v>821.6</v>
      </c>
      <c r="E316" s="49" t="n">
        <v>912.8</v>
      </c>
      <c r="F316" s="49" t="n">
        <v>11.1</v>
      </c>
      <c r="G316" s="49" t="n">
        <v>319.2</v>
      </c>
    </row>
    <row r="317">
      <c r="A317" s="46" t="n">
        <v>1748</v>
      </c>
      <c r="B317" s="34" t="inlineStr">
        <is>
          <t>2026-03-16</t>
        </is>
      </c>
      <c r="C317" s="34" t="inlineStr">
        <is>
          <t>Ursu Ion</t>
        </is>
      </c>
      <c r="D317" s="46" t="n">
        <v>396.1</v>
      </c>
      <c r="E317" s="46" t="n">
        <v>426.6</v>
      </c>
      <c r="F317" s="46" t="n">
        <v>7.7</v>
      </c>
      <c r="G317" s="46" t="n">
        <v>106.75</v>
      </c>
    </row>
    <row r="318">
      <c r="A318" s="49" t="n">
        <v>1767</v>
      </c>
      <c r="B318" s="40" t="inlineStr">
        <is>
          <t>2026-03-18</t>
        </is>
      </c>
      <c r="C318" s="40" t="inlineStr">
        <is>
          <t>Popa Mihai</t>
        </is>
      </c>
      <c r="D318" s="49" t="n">
        <v>360.8</v>
      </c>
      <c r="E318" s="49" t="n">
        <v>383.1</v>
      </c>
      <c r="F318" s="49" t="n">
        <v>6.18</v>
      </c>
      <c r="G318" s="49" t="n">
        <v>78.05</v>
      </c>
    </row>
    <row r="319">
      <c r="A319" s="46" t="n">
        <v>1782</v>
      </c>
      <c r="B319" s="34" t="inlineStr">
        <is>
          <t>2026-03-19</t>
        </is>
      </c>
      <c r="C319" s="34" t="inlineStr">
        <is>
          <t>Grosu Petru</t>
        </is>
      </c>
      <c r="D319" s="46" t="n">
        <v>390.1</v>
      </c>
      <c r="E319" s="46" t="n">
        <v>427.7</v>
      </c>
      <c r="F319" s="46" t="n">
        <v>9.640000000000001</v>
      </c>
      <c r="G319" s="46" t="n">
        <v>131.6</v>
      </c>
    </row>
    <row r="320">
      <c r="A320" s="49" t="n">
        <v>1799</v>
      </c>
      <c r="B320" s="40" t="inlineStr">
        <is>
          <t>2026-03-21</t>
        </is>
      </c>
      <c r="C320" s="40" t="inlineStr">
        <is>
          <t>Balan Grigore</t>
        </is>
      </c>
      <c r="D320" s="49" t="n">
        <v>937.1</v>
      </c>
      <c r="E320" s="49" t="n">
        <v>1007</v>
      </c>
      <c r="F320" s="49" t="n">
        <v>7.46</v>
      </c>
      <c r="G320" s="49" t="n">
        <v>244.65</v>
      </c>
    </row>
    <row r="321">
      <c r="A321" s="46" t="n">
        <v>1803</v>
      </c>
      <c r="B321" s="34" t="inlineStr">
        <is>
          <t>2026-03-23</t>
        </is>
      </c>
      <c r="C321" s="34" t="inlineStr">
        <is>
          <t>Grosu Sergiu</t>
        </is>
      </c>
      <c r="D321" s="46" t="n">
        <v>343.9</v>
      </c>
      <c r="E321" s="46" t="n">
        <v>412.4</v>
      </c>
      <c r="F321" s="46" t="n">
        <v>19.92</v>
      </c>
      <c r="G321" s="46" t="n">
        <v>239.75</v>
      </c>
    </row>
    <row r="322">
      <c r="A322" s="49" t="n">
        <v>1818</v>
      </c>
      <c r="B322" s="40" t="inlineStr">
        <is>
          <t>2026-03-24</t>
        </is>
      </c>
      <c r="C322" s="40" t="inlineStr">
        <is>
          <t>Rotaru Igor</t>
        </is>
      </c>
      <c r="D322" s="49" t="n">
        <v>384.8</v>
      </c>
      <c r="E322" s="49" t="n">
        <v>412.8</v>
      </c>
      <c r="F322" s="49" t="n">
        <v>7.28</v>
      </c>
      <c r="G322" s="49" t="n">
        <v>98</v>
      </c>
    </row>
    <row r="323">
      <c r="A323" s="46" t="n">
        <v>1835</v>
      </c>
      <c r="B323" s="34" t="inlineStr">
        <is>
          <t>2026-03-25</t>
        </is>
      </c>
      <c r="C323" s="34" t="inlineStr">
        <is>
          <t>Popa Victor</t>
        </is>
      </c>
      <c r="D323" s="46" t="n">
        <v>336</v>
      </c>
      <c r="E323" s="46" t="n">
        <v>392.1</v>
      </c>
      <c r="F323" s="46" t="n">
        <v>16.7</v>
      </c>
      <c r="G323" s="46" t="n">
        <v>196.35</v>
      </c>
    </row>
    <row r="324">
      <c r="A324" s="49" t="n">
        <v>1844</v>
      </c>
      <c r="B324" s="40" t="inlineStr">
        <is>
          <t>2026-03-26</t>
        </is>
      </c>
      <c r="C324" s="40" t="inlineStr">
        <is>
          <t>Balan Grigore</t>
        </is>
      </c>
      <c r="D324" s="49" t="n">
        <v>387.8</v>
      </c>
      <c r="E324" s="49" t="n">
        <v>448.2</v>
      </c>
      <c r="F324" s="49" t="n">
        <v>15.58</v>
      </c>
      <c r="G324" s="49" t="n">
        <v>211.4</v>
      </c>
    </row>
    <row r="325">
      <c r="A325" s="46" t="n">
        <v>1864</v>
      </c>
      <c r="B325" s="34" t="inlineStr">
        <is>
          <t>2026-03-27</t>
        </is>
      </c>
      <c r="C325" s="34" t="inlineStr">
        <is>
          <t>Rusu Petru</t>
        </is>
      </c>
      <c r="D325" s="46" t="n">
        <v>477.5</v>
      </c>
      <c r="E325" s="46" t="n">
        <v>528.2</v>
      </c>
      <c r="F325" s="46" t="n">
        <v>10.62</v>
      </c>
      <c r="G325" s="46" t="n">
        <v>177.45</v>
      </c>
    </row>
    <row r="326">
      <c r="A326" s="49" t="n">
        <v>1867</v>
      </c>
      <c r="B326" s="40" t="inlineStr">
        <is>
          <t>2026-03-28</t>
        </is>
      </c>
      <c r="C326" s="40" t="inlineStr">
        <is>
          <t>Ursu Ion</t>
        </is>
      </c>
      <c r="D326" s="49" t="n">
        <v>406.9</v>
      </c>
      <c r="E326" s="49" t="n">
        <v>466</v>
      </c>
      <c r="F326" s="49" t="n">
        <v>14.52</v>
      </c>
      <c r="G326" s="49" t="n">
        <v>206.85</v>
      </c>
    </row>
    <row r="327">
      <c r="A327" s="46" t="n">
        <v>1876</v>
      </c>
      <c r="B327" s="34" t="inlineStr">
        <is>
          <t>2026-03-30</t>
        </is>
      </c>
      <c r="C327" s="34" t="inlineStr">
        <is>
          <t>Rusu Petru</t>
        </is>
      </c>
      <c r="D327" s="46" t="n">
        <v>476.3</v>
      </c>
      <c r="E327" s="46" t="n">
        <v>514.7</v>
      </c>
      <c r="F327" s="46" t="n">
        <v>8.06</v>
      </c>
      <c r="G327" s="46" t="n">
        <v>134.4</v>
      </c>
    </row>
    <row r="328">
      <c r="A328" s="49" t="n">
        <v>1889</v>
      </c>
      <c r="B328" s="40" t="inlineStr">
        <is>
          <t>2026-03-31</t>
        </is>
      </c>
      <c r="C328" s="40" t="inlineStr">
        <is>
          <t>Bejan Mihai</t>
        </is>
      </c>
      <c r="D328" s="49" t="n">
        <v>1135.2</v>
      </c>
      <c r="E328" s="49" t="n">
        <v>1281</v>
      </c>
      <c r="F328" s="49" t="n">
        <v>12.84</v>
      </c>
      <c r="G328" s="49" t="n">
        <v>510.3</v>
      </c>
    </row>
    <row r="329">
      <c r="A329" s="46" t="n">
        <v>1911</v>
      </c>
      <c r="B329" s="34" t="inlineStr">
        <is>
          <t>2026-04-02</t>
        </is>
      </c>
      <c r="C329" s="34" t="inlineStr">
        <is>
          <t>Rusu Petru</t>
        </is>
      </c>
      <c r="D329" s="46" t="n">
        <v>373.6</v>
      </c>
      <c r="E329" s="46" t="n">
        <v>417.3</v>
      </c>
      <c r="F329" s="46" t="n">
        <v>11.7</v>
      </c>
      <c r="G329" s="46" t="n">
        <v>152.95</v>
      </c>
    </row>
    <row r="330">
      <c r="A330" s="49" t="n">
        <v>1919</v>
      </c>
      <c r="B330" s="40" t="inlineStr">
        <is>
          <t>2026-04-02</t>
        </is>
      </c>
      <c r="C330" s="40" t="inlineStr">
        <is>
          <t>Bejan Mihai</t>
        </is>
      </c>
      <c r="D330" s="49" t="n">
        <v>425.4</v>
      </c>
      <c r="E330" s="49" t="n">
        <v>454.2</v>
      </c>
      <c r="F330" s="49" t="n">
        <v>6.77</v>
      </c>
      <c r="G330" s="49" t="n">
        <v>100.8</v>
      </c>
    </row>
    <row r="331">
      <c r="A331" s="46" t="n">
        <v>1931</v>
      </c>
      <c r="B331" s="34" t="inlineStr">
        <is>
          <t>2026-04-04</t>
        </is>
      </c>
      <c r="C331" s="34" t="inlineStr">
        <is>
          <t>Balan Grigore</t>
        </is>
      </c>
      <c r="D331" s="46" t="n">
        <v>707.2</v>
      </c>
      <c r="E331" s="46" t="n">
        <v>841.6</v>
      </c>
      <c r="F331" s="46" t="n">
        <v>19</v>
      </c>
      <c r="G331" s="46" t="n">
        <v>470.4</v>
      </c>
    </row>
    <row r="332">
      <c r="A332" s="49" t="n">
        <v>1932</v>
      </c>
      <c r="B332" s="40" t="inlineStr">
        <is>
          <t>2026-04-04</t>
        </is>
      </c>
      <c r="C332" s="40" t="inlineStr">
        <is>
          <t>Popa Victor</t>
        </is>
      </c>
      <c r="D332" s="49" t="n">
        <v>328.8</v>
      </c>
      <c r="E332" s="49" t="n">
        <v>368.4</v>
      </c>
      <c r="F332" s="49" t="n">
        <v>12.04</v>
      </c>
      <c r="G332" s="49" t="n">
        <v>138.6</v>
      </c>
    </row>
    <row r="333">
      <c r="A333" s="46" t="n">
        <v>1935</v>
      </c>
      <c r="B333" s="34" t="inlineStr">
        <is>
          <t>2026-04-04</t>
        </is>
      </c>
      <c r="C333" s="34" t="inlineStr">
        <is>
          <t>Ciobanu Nicolae</t>
        </is>
      </c>
      <c r="D333" s="46" t="n">
        <v>197.7</v>
      </c>
      <c r="E333" s="46" t="n">
        <v>231.9</v>
      </c>
      <c r="F333" s="46" t="n">
        <v>17.3</v>
      </c>
      <c r="G333" s="46" t="n">
        <v>119.7</v>
      </c>
    </row>
    <row r="334">
      <c r="A334" s="49" t="n">
        <v>1986</v>
      </c>
      <c r="B334" s="40" t="inlineStr">
        <is>
          <t>2026-04-10</t>
        </is>
      </c>
      <c r="C334" s="40" t="inlineStr">
        <is>
          <t>Rotaru Dumitru</t>
        </is>
      </c>
      <c r="D334" s="49" t="n">
        <v>176.3</v>
      </c>
      <c r="E334" s="49" t="n">
        <v>204.1</v>
      </c>
      <c r="F334" s="49" t="n">
        <v>15.77</v>
      </c>
      <c r="G334" s="49" t="n">
        <v>97.3</v>
      </c>
    </row>
    <row r="335">
      <c r="A335" s="46" t="n">
        <v>1991</v>
      </c>
      <c r="B335" s="34" t="inlineStr">
        <is>
          <t>2026-04-10</t>
        </is>
      </c>
      <c r="C335" s="34" t="inlineStr">
        <is>
          <t>Rotaru Dumitru</t>
        </is>
      </c>
      <c r="D335" s="46" t="n">
        <v>232</v>
      </c>
      <c r="E335" s="46" t="n">
        <v>247.7</v>
      </c>
      <c r="F335" s="46" t="n">
        <v>6.77</v>
      </c>
      <c r="G335" s="46" t="n">
        <v>54.95</v>
      </c>
    </row>
    <row r="336">
      <c r="A336" s="49" t="n">
        <v>2004</v>
      </c>
      <c r="B336" s="40" t="inlineStr">
        <is>
          <t>2026-04-13</t>
        </is>
      </c>
      <c r="C336" s="40" t="inlineStr">
        <is>
          <t>Rotaru Igor</t>
        </is>
      </c>
      <c r="D336" s="49" t="n">
        <v>464.2</v>
      </c>
      <c r="E336" s="49" t="n">
        <v>559.1</v>
      </c>
      <c r="F336" s="49" t="n">
        <v>20.44</v>
      </c>
      <c r="G336" s="49" t="n">
        <v>332.15</v>
      </c>
    </row>
    <row r="337">
      <c r="A337" s="46" t="n">
        <v>2022</v>
      </c>
      <c r="B337" s="34" t="inlineStr">
        <is>
          <t>2026-04-14</t>
        </is>
      </c>
      <c r="C337" s="34" t="inlineStr">
        <is>
          <t>Popa Victor</t>
        </is>
      </c>
      <c r="D337" s="46" t="n">
        <v>255.9</v>
      </c>
      <c r="E337" s="46" t="n">
        <v>299.9</v>
      </c>
      <c r="F337" s="46" t="n">
        <v>17.19</v>
      </c>
      <c r="G337" s="46" t="n">
        <v>154</v>
      </c>
    </row>
    <row r="338">
      <c r="A338" s="49" t="n">
        <v>2036</v>
      </c>
      <c r="B338" s="40" t="inlineStr">
        <is>
          <t>2026-04-15</t>
        </is>
      </c>
      <c r="C338" s="40" t="inlineStr">
        <is>
          <t>Cebotari Andrei</t>
        </is>
      </c>
      <c r="D338" s="49" t="n">
        <v>443.6</v>
      </c>
      <c r="E338" s="49" t="n">
        <v>508.5</v>
      </c>
      <c r="F338" s="49" t="n">
        <v>14.63</v>
      </c>
      <c r="G338" s="49" t="n">
        <v>227.15</v>
      </c>
    </row>
    <row r="339">
      <c r="A339" s="46" t="n">
        <v>2045</v>
      </c>
      <c r="B339" s="34" t="inlineStr">
        <is>
          <t>2026-04-16</t>
        </is>
      </c>
      <c r="C339" s="34" t="inlineStr">
        <is>
          <t>Popa Mihai</t>
        </is>
      </c>
      <c r="D339" s="46" t="n">
        <v>203.2</v>
      </c>
      <c r="E339" s="46" t="n">
        <v>243.2</v>
      </c>
      <c r="F339" s="46" t="n">
        <v>19.69</v>
      </c>
      <c r="G339" s="46" t="n">
        <v>140</v>
      </c>
    </row>
    <row r="340">
      <c r="A340" s="49" t="n">
        <v>2058</v>
      </c>
      <c r="B340" s="40" t="inlineStr">
        <is>
          <t>2026-04-18</t>
        </is>
      </c>
      <c r="C340" s="40" t="inlineStr">
        <is>
          <t>Sirbu Dumitru</t>
        </is>
      </c>
      <c r="D340" s="49" t="n">
        <v>166</v>
      </c>
      <c r="E340" s="49" t="n">
        <v>200.2</v>
      </c>
      <c r="F340" s="49" t="n">
        <v>20.6</v>
      </c>
      <c r="G340" s="49" t="n">
        <v>119.7</v>
      </c>
    </row>
    <row r="341">
      <c r="A341" s="46" t="n">
        <v>2110</v>
      </c>
      <c r="B341" s="34" t="inlineStr">
        <is>
          <t>2026-04-23</t>
        </is>
      </c>
      <c r="C341" s="34" t="inlineStr">
        <is>
          <t>Balan Grigore</t>
        </is>
      </c>
      <c r="D341" s="46" t="n">
        <v>239.9</v>
      </c>
      <c r="E341" s="46" t="n">
        <v>285.1</v>
      </c>
      <c r="F341" s="46" t="n">
        <v>18.84</v>
      </c>
      <c r="G341" s="46" t="n">
        <v>158.2</v>
      </c>
    </row>
    <row r="342">
      <c r="A342" s="49" t="n">
        <v>2120</v>
      </c>
      <c r="B342" s="40" t="inlineStr">
        <is>
          <t>2026-04-25</t>
        </is>
      </c>
      <c r="C342" s="40" t="inlineStr">
        <is>
          <t>Popa Victor</t>
        </is>
      </c>
      <c r="D342" s="49" t="n">
        <v>223.8</v>
      </c>
      <c r="E342" s="49" t="n">
        <v>254.3</v>
      </c>
      <c r="F342" s="49" t="n">
        <v>13.63</v>
      </c>
      <c r="G342" s="49" t="n">
        <v>106.75</v>
      </c>
    </row>
    <row r="343">
      <c r="A343" s="46" t="n">
        <v>2152</v>
      </c>
      <c r="B343" s="34" t="inlineStr">
        <is>
          <t>2026-04-28</t>
        </is>
      </c>
      <c r="C343" s="34" t="inlineStr">
        <is>
          <t>Cebotari Andrei</t>
        </is>
      </c>
      <c r="D343" s="46" t="n">
        <v>769.8</v>
      </c>
      <c r="E343" s="46" t="n">
        <v>828</v>
      </c>
      <c r="F343" s="46" t="n">
        <v>7.56</v>
      </c>
      <c r="G343" s="46" t="n">
        <v>203.7</v>
      </c>
    </row>
    <row r="344">
      <c r="A344" s="49" t="n">
        <v>2168</v>
      </c>
      <c r="B344" s="40" t="inlineStr">
        <is>
          <t>2026-04-30</t>
        </is>
      </c>
      <c r="C344" s="40" t="inlineStr">
        <is>
          <t>Rusu Victor</t>
        </is>
      </c>
      <c r="D344" s="49" t="n">
        <v>389.8</v>
      </c>
      <c r="E344" s="49" t="n">
        <v>442.7</v>
      </c>
      <c r="F344" s="49" t="n">
        <v>13.57</v>
      </c>
      <c r="G344" s="49" t="n">
        <v>185.15</v>
      </c>
    </row>
    <row r="345">
      <c r="A345" s="46" t="n">
        <v>2212</v>
      </c>
      <c r="B345" s="34" t="inlineStr">
        <is>
          <t>2026-05-05</t>
        </is>
      </c>
      <c r="C345" s="34" t="inlineStr">
        <is>
          <t>Chirica Igor</t>
        </is>
      </c>
      <c r="D345" s="46" t="n">
        <v>706.3</v>
      </c>
      <c r="E345" s="46" t="n">
        <v>809.2</v>
      </c>
      <c r="F345" s="46" t="n">
        <v>14.57</v>
      </c>
      <c r="G345" s="46" t="n">
        <v>360.15</v>
      </c>
    </row>
    <row r="346">
      <c r="A346" s="49" t="n">
        <v>2222</v>
      </c>
      <c r="B346" s="40" t="inlineStr">
        <is>
          <t>2026-05-06</t>
        </is>
      </c>
      <c r="C346" s="40" t="inlineStr">
        <is>
          <t>Chirica Igor</t>
        </is>
      </c>
      <c r="D346" s="49" t="n">
        <v>889.3</v>
      </c>
      <c r="E346" s="49" t="n">
        <v>1045.7</v>
      </c>
      <c r="F346" s="49" t="n">
        <v>17.59</v>
      </c>
      <c r="G346" s="49" t="n">
        <v>547.4</v>
      </c>
    </row>
    <row r="347">
      <c r="A347" s="46" t="n">
        <v>2232</v>
      </c>
      <c r="B347" s="34" t="inlineStr">
        <is>
          <t>2026-05-07</t>
        </is>
      </c>
      <c r="C347" s="34" t="inlineStr">
        <is>
          <t>Chirica Igor</t>
        </is>
      </c>
      <c r="D347" s="46" t="n">
        <v>124.4</v>
      </c>
      <c r="E347" s="46" t="n">
        <v>150</v>
      </c>
      <c r="F347" s="46" t="n">
        <v>20.58</v>
      </c>
      <c r="G347" s="46" t="n">
        <v>89.59999999999999</v>
      </c>
    </row>
    <row r="348">
      <c r="A348" s="49" t="n">
        <v>2246</v>
      </c>
      <c r="B348" s="40" t="inlineStr">
        <is>
          <t>2026-05-08</t>
        </is>
      </c>
      <c r="C348" s="40" t="inlineStr">
        <is>
          <t>Rotaru Igor</t>
        </is>
      </c>
      <c r="D348" s="49" t="n">
        <v>246.7</v>
      </c>
      <c r="E348" s="49" t="n">
        <v>273.9</v>
      </c>
      <c r="F348" s="49" t="n">
        <v>11.03</v>
      </c>
      <c r="G348" s="49" t="n">
        <v>95.2</v>
      </c>
    </row>
    <row r="349">
      <c r="A349" s="46" t="n">
        <v>2292</v>
      </c>
      <c r="B349" s="34" t="inlineStr">
        <is>
          <t>2026-05-14</t>
        </is>
      </c>
      <c r="C349" s="34" t="inlineStr">
        <is>
          <t>Rusu Petru</t>
        </is>
      </c>
      <c r="D349" s="46" t="n">
        <v>471</v>
      </c>
      <c r="E349" s="46" t="n">
        <v>517.8</v>
      </c>
      <c r="F349" s="46" t="n">
        <v>9.94</v>
      </c>
      <c r="G349" s="46" t="n">
        <v>163.8</v>
      </c>
    </row>
    <row r="350">
      <c r="A350" s="49" t="n">
        <v>2363</v>
      </c>
      <c r="B350" s="40" t="inlineStr">
        <is>
          <t>2026-05-22</t>
        </is>
      </c>
      <c r="C350" s="40" t="inlineStr">
        <is>
          <t>Grosu Petru</t>
        </is>
      </c>
      <c r="D350" s="49" t="n">
        <v>427.3</v>
      </c>
      <c r="E350" s="49" t="n">
        <v>468.7</v>
      </c>
      <c r="F350" s="49" t="n">
        <v>9.69</v>
      </c>
      <c r="G350" s="49" t="n">
        <v>144.9</v>
      </c>
    </row>
    <row r="351">
      <c r="A351" s="46" t="n">
        <v>2371</v>
      </c>
      <c r="B351" s="34" t="inlineStr">
        <is>
          <t>2026-05-22</t>
        </is>
      </c>
      <c r="C351" s="34" t="inlineStr">
        <is>
          <t>Cebotari Sergiu</t>
        </is>
      </c>
      <c r="D351" s="46" t="n">
        <v>274.7</v>
      </c>
      <c r="E351" s="46" t="n">
        <v>312.7</v>
      </c>
      <c r="F351" s="46" t="n">
        <v>13.83</v>
      </c>
      <c r="G351" s="46" t="n">
        <v>133</v>
      </c>
    </row>
    <row r="352">
      <c r="A352" s="49" t="n">
        <v>2378</v>
      </c>
      <c r="B352" s="40" t="inlineStr">
        <is>
          <t>2026-05-23</t>
        </is>
      </c>
      <c r="C352" s="40" t="inlineStr">
        <is>
          <t>Bejan Mihai</t>
        </is>
      </c>
      <c r="D352" s="49" t="n">
        <v>288.9</v>
      </c>
      <c r="E352" s="49" t="n">
        <v>351</v>
      </c>
      <c r="F352" s="49" t="n">
        <v>21.5</v>
      </c>
      <c r="G352" s="49" t="n">
        <v>217.35</v>
      </c>
    </row>
    <row r="353">
      <c r="A353" s="46" t="n">
        <v>2385</v>
      </c>
      <c r="B353" s="34" t="inlineStr">
        <is>
          <t>2026-05-25</t>
        </is>
      </c>
      <c r="C353" s="34" t="inlineStr">
        <is>
          <t>Ursu Ion</t>
        </is>
      </c>
      <c r="D353" s="46" t="n">
        <v>248.4</v>
      </c>
      <c r="E353" s="46" t="n">
        <v>265.5</v>
      </c>
      <c r="F353" s="46" t="n">
        <v>6.88</v>
      </c>
      <c r="G353" s="46" t="n">
        <v>59.85</v>
      </c>
    </row>
    <row r="354">
      <c r="A354" s="49" t="n">
        <v>2393</v>
      </c>
      <c r="B354" s="40" t="inlineStr">
        <is>
          <t>2026-05-25</t>
        </is>
      </c>
      <c r="C354" s="40" t="inlineStr">
        <is>
          <t>Popa Mihai</t>
        </is>
      </c>
      <c r="D354" s="49" t="n">
        <v>625.6</v>
      </c>
      <c r="E354" s="49" t="n">
        <v>758.6</v>
      </c>
      <c r="F354" s="49" t="n">
        <v>21.26</v>
      </c>
      <c r="G354" s="49" t="n">
        <v>465.5</v>
      </c>
    </row>
    <row r="355">
      <c r="A355" s="46" t="n">
        <v>2446</v>
      </c>
      <c r="B355" s="34" t="inlineStr">
        <is>
          <t>2026-06-01</t>
        </is>
      </c>
      <c r="C355" s="34" t="inlineStr">
        <is>
          <t>Negru Alexandru</t>
        </is>
      </c>
      <c r="D355" s="46" t="n">
        <v>193.7</v>
      </c>
      <c r="E355" s="46" t="n">
        <v>228.8</v>
      </c>
      <c r="F355" s="46" t="n">
        <v>18.12</v>
      </c>
      <c r="G355" s="46" t="n">
        <v>122.85</v>
      </c>
    </row>
    <row r="356">
      <c r="A356" s="49" t="n">
        <v>2454</v>
      </c>
      <c r="B356" s="40" t="inlineStr">
        <is>
          <t>2026-06-02</t>
        </is>
      </c>
      <c r="C356" s="40" t="inlineStr">
        <is>
          <t>Negru Alexandru</t>
        </is>
      </c>
      <c r="D356" s="49" t="n">
        <v>196.3</v>
      </c>
      <c r="E356" s="49" t="n">
        <v>217.9</v>
      </c>
      <c r="F356" s="49" t="n">
        <v>11</v>
      </c>
      <c r="G356" s="49" t="n">
        <v>75.59999999999999</v>
      </c>
    </row>
    <row r="357">
      <c r="A357" s="46" t="n">
        <v>2455</v>
      </c>
      <c r="B357" s="34" t="inlineStr">
        <is>
          <t>2026-06-02</t>
        </is>
      </c>
      <c r="C357" s="34" t="inlineStr">
        <is>
          <t>Cebotari Andrei</t>
        </is>
      </c>
      <c r="D357" s="46" t="n">
        <v>428.4</v>
      </c>
      <c r="E357" s="46" t="n">
        <v>514.5</v>
      </c>
      <c r="F357" s="46" t="n">
        <v>20.1</v>
      </c>
      <c r="G357" s="46" t="n">
        <v>301.35</v>
      </c>
    </row>
    <row r="358">
      <c r="A358" s="49" t="n">
        <v>2464</v>
      </c>
      <c r="B358" s="40" t="inlineStr">
        <is>
          <t>2026-06-03</t>
        </is>
      </c>
      <c r="C358" s="40" t="inlineStr">
        <is>
          <t>Cazacu Petru</t>
        </is>
      </c>
      <c r="D358" s="49" t="n">
        <v>384</v>
      </c>
      <c r="E358" s="49" t="n">
        <v>455.6</v>
      </c>
      <c r="F358" s="49" t="n">
        <v>18.65</v>
      </c>
      <c r="G358" s="49" t="n">
        <v>250.6</v>
      </c>
    </row>
    <row r="359">
      <c r="A359" s="46" t="n">
        <v>2539</v>
      </c>
      <c r="B359" s="34" t="inlineStr">
        <is>
          <t>2026-06-11</t>
        </is>
      </c>
      <c r="C359" s="34" t="inlineStr">
        <is>
          <t>Popa Mihai</t>
        </is>
      </c>
      <c r="D359" s="46" t="n">
        <v>321.8</v>
      </c>
      <c r="E359" s="46" t="n">
        <v>392.4</v>
      </c>
      <c r="F359" s="46" t="n">
        <v>21.94</v>
      </c>
      <c r="G359" s="46" t="n">
        <v>247.1</v>
      </c>
    </row>
    <row r="360">
      <c r="A360" s="49" t="n">
        <v>2598</v>
      </c>
      <c r="B360" s="40" t="inlineStr">
        <is>
          <t>2026-06-18</t>
        </is>
      </c>
      <c r="C360" s="40" t="inlineStr">
        <is>
          <t>Chirica Igor</t>
        </is>
      </c>
      <c r="D360" s="49" t="n">
        <v>147.5</v>
      </c>
      <c r="E360" s="49" t="n">
        <v>179.5</v>
      </c>
      <c r="F360" s="49" t="n">
        <v>21.69</v>
      </c>
      <c r="G360" s="49" t="n">
        <v>112</v>
      </c>
    </row>
    <row r="361">
      <c r="A361" s="46" t="n">
        <v>2599</v>
      </c>
      <c r="B361" s="34" t="inlineStr">
        <is>
          <t>2026-06-18</t>
        </is>
      </c>
      <c r="C361" s="34" t="inlineStr">
        <is>
          <t>Grosu Petru</t>
        </is>
      </c>
      <c r="D361" s="46" t="n">
        <v>187.7</v>
      </c>
      <c r="E361" s="46" t="n">
        <v>216.8</v>
      </c>
      <c r="F361" s="46" t="n">
        <v>15.5</v>
      </c>
      <c r="G361" s="46" t="n">
        <v>101.85</v>
      </c>
    </row>
    <row r="362">
      <c r="A362" s="49" t="n">
        <v>2629</v>
      </c>
      <c r="B362" s="40" t="inlineStr">
        <is>
          <t>2026-06-22</t>
        </is>
      </c>
      <c r="C362" s="40" t="inlineStr">
        <is>
          <t>Balan Grigore</t>
        </is>
      </c>
      <c r="D362" s="49" t="n">
        <v>1035.5</v>
      </c>
      <c r="E362" s="49" t="n">
        <v>1155.6</v>
      </c>
      <c r="F362" s="49" t="n">
        <v>11.6</v>
      </c>
      <c r="G362" s="49" t="n">
        <v>420.35</v>
      </c>
    </row>
    <row r="363">
      <c r="A363" s="46" t="n">
        <v>2634</v>
      </c>
      <c r="B363" s="34" t="inlineStr">
        <is>
          <t>2026-06-23</t>
        </is>
      </c>
      <c r="C363" s="34" t="inlineStr">
        <is>
          <t>Rusu Victor</t>
        </is>
      </c>
      <c r="D363" s="46" t="n">
        <v>307.6</v>
      </c>
      <c r="E363" s="46" t="n">
        <v>333.7</v>
      </c>
      <c r="F363" s="46" t="n">
        <v>8.49</v>
      </c>
      <c r="G363" s="46" t="n">
        <v>91.34999999999999</v>
      </c>
    </row>
    <row r="364">
      <c r="A364" s="49" t="n">
        <v>2735</v>
      </c>
      <c r="B364" s="40" t="inlineStr">
        <is>
          <t>2026-07-03</t>
        </is>
      </c>
      <c r="C364" s="40" t="inlineStr">
        <is>
          <t>Negru Alexandru</t>
        </is>
      </c>
      <c r="D364" s="49" t="n">
        <v>949.1</v>
      </c>
      <c r="E364" s="49" t="n">
        <v>1032.5</v>
      </c>
      <c r="F364" s="49" t="n">
        <v>8.789999999999999</v>
      </c>
      <c r="G364" s="49" t="n">
        <v>291.9</v>
      </c>
    </row>
    <row r="365">
      <c r="A365" s="46" t="n">
        <v>2739</v>
      </c>
      <c r="B365" s="34" t="inlineStr">
        <is>
          <t>2026-07-03</t>
        </is>
      </c>
      <c r="C365" s="34" t="inlineStr">
        <is>
          <t>Grosu Sergiu</t>
        </is>
      </c>
      <c r="D365" s="46" t="n">
        <v>399.7</v>
      </c>
      <c r="E365" s="46" t="n">
        <v>480.2</v>
      </c>
      <c r="F365" s="46" t="n">
        <v>20.14</v>
      </c>
      <c r="G365" s="46" t="n">
        <v>281.75</v>
      </c>
    </row>
    <row r="366">
      <c r="A366" s="49" t="n">
        <v>2746</v>
      </c>
      <c r="B366" s="40" t="inlineStr">
        <is>
          <t>2026-07-04</t>
        </is>
      </c>
      <c r="C366" s="40" t="inlineStr">
        <is>
          <t>Gutu Andrei</t>
        </is>
      </c>
      <c r="D366" s="49" t="n">
        <v>885.2</v>
      </c>
      <c r="E366" s="49" t="n">
        <v>971.8</v>
      </c>
      <c r="F366" s="49" t="n">
        <v>9.779999999999999</v>
      </c>
      <c r="G366" s="49" t="n">
        <v>303.1</v>
      </c>
    </row>
    <row r="367">
      <c r="A367" s="46" t="n">
        <v>2748</v>
      </c>
      <c r="B367" s="34" t="inlineStr">
        <is>
          <t>2026-07-06</t>
        </is>
      </c>
      <c r="C367" s="34" t="inlineStr">
        <is>
          <t>Rotaru Igor</t>
        </is>
      </c>
      <c r="D367" s="46" t="n">
        <v>425.7</v>
      </c>
      <c r="E367" s="46" t="n">
        <v>471.2</v>
      </c>
      <c r="F367" s="46" t="n">
        <v>10.69</v>
      </c>
      <c r="G367" s="46" t="n">
        <v>159.25</v>
      </c>
    </row>
    <row r="368">
      <c r="A368" s="49" t="n">
        <v>2754</v>
      </c>
      <c r="B368" s="40" t="inlineStr">
        <is>
          <t>2026-07-06</t>
        </is>
      </c>
      <c r="C368" s="40" t="inlineStr">
        <is>
          <t>Cebotari Sergiu</t>
        </is>
      </c>
      <c r="D368" s="49" t="n">
        <v>416.5</v>
      </c>
      <c r="E368" s="49" t="n">
        <v>503.1</v>
      </c>
      <c r="F368" s="49" t="n">
        <v>20.79</v>
      </c>
      <c r="G368" s="49" t="n">
        <v>303.1</v>
      </c>
    </row>
    <row r="369">
      <c r="A369" s="46" t="n">
        <v>2766</v>
      </c>
      <c r="B369" s="34" t="inlineStr">
        <is>
          <t>2026-07-08</t>
        </is>
      </c>
      <c r="C369" s="34" t="inlineStr">
        <is>
          <t>Popa Mihai</t>
        </is>
      </c>
      <c r="D369" s="46" t="n">
        <v>180.3</v>
      </c>
      <c r="E369" s="46" t="n">
        <v>193</v>
      </c>
      <c r="F369" s="46" t="n">
        <v>7.04</v>
      </c>
      <c r="G369" s="46" t="n">
        <v>44.45</v>
      </c>
    </row>
    <row r="370">
      <c r="A370" s="49" t="n">
        <v>2792</v>
      </c>
      <c r="B370" s="40" t="inlineStr">
        <is>
          <t>2026-07-10</t>
        </is>
      </c>
      <c r="C370" s="40" t="inlineStr">
        <is>
          <t>Grosu Sergiu</t>
        </is>
      </c>
      <c r="D370" s="49" t="n">
        <v>901</v>
      </c>
      <c r="E370" s="49" t="n">
        <v>1077.9</v>
      </c>
      <c r="F370" s="49" t="n">
        <v>19.63</v>
      </c>
      <c r="G370" s="49" t="n">
        <v>619.15</v>
      </c>
    </row>
    <row r="371">
      <c r="A371" s="46" t="n">
        <v>2815</v>
      </c>
      <c r="B371" s="34" t="inlineStr">
        <is>
          <t>2026-07-13</t>
        </is>
      </c>
      <c r="C371" s="34" t="inlineStr">
        <is>
          <t>Rotaru Igor</t>
        </is>
      </c>
      <c r="D371" s="46" t="n">
        <v>201.3</v>
      </c>
      <c r="E371" s="46" t="n">
        <v>240.2</v>
      </c>
      <c r="F371" s="46" t="n">
        <v>19.32</v>
      </c>
      <c r="G371" s="46" t="n">
        <v>136.15</v>
      </c>
    </row>
    <row r="372">
      <c r="A372" s="49" t="n">
        <v>2822</v>
      </c>
      <c r="B372" s="40" t="inlineStr">
        <is>
          <t>2026-07-14</t>
        </is>
      </c>
      <c r="C372" s="40" t="inlineStr">
        <is>
          <t>Cebotari Andrei</t>
        </is>
      </c>
      <c r="D372" s="49" t="n">
        <v>263</v>
      </c>
      <c r="E372" s="49" t="n">
        <v>286</v>
      </c>
      <c r="F372" s="49" t="n">
        <v>8.75</v>
      </c>
      <c r="G372" s="49" t="n">
        <v>80.5</v>
      </c>
    </row>
    <row r="373">
      <c r="A373" s="46" t="n">
        <v>2859</v>
      </c>
      <c r="B373" s="34" t="inlineStr">
        <is>
          <t>2026-07-17</t>
        </is>
      </c>
      <c r="C373" s="34" t="inlineStr">
        <is>
          <t>Rusu Petru</t>
        </is>
      </c>
      <c r="D373" s="46" t="n">
        <v>163.6</v>
      </c>
      <c r="E373" s="46" t="n">
        <v>188.4</v>
      </c>
      <c r="F373" s="46" t="n">
        <v>15.16</v>
      </c>
      <c r="G373" s="46" t="n">
        <v>86.8</v>
      </c>
    </row>
    <row r="374">
      <c r="A374" s="49" t="n">
        <v>2883</v>
      </c>
      <c r="B374" s="40" t="inlineStr">
        <is>
          <t>2026-07-20</t>
        </is>
      </c>
      <c r="C374" s="40" t="inlineStr">
        <is>
          <t>Cebotari Sergiu</t>
        </is>
      </c>
      <c r="D374" s="49" t="n">
        <v>811</v>
      </c>
      <c r="E374" s="49" t="n">
        <v>938.5</v>
      </c>
      <c r="F374" s="49" t="n">
        <v>15.72</v>
      </c>
      <c r="G374" s="49" t="n">
        <v>446.25</v>
      </c>
    </row>
    <row r="375">
      <c r="A375" s="46" t="n">
        <v>2899</v>
      </c>
      <c r="B375" s="34" t="inlineStr">
        <is>
          <t>2026-07-22</t>
        </is>
      </c>
      <c r="C375" s="34" t="inlineStr">
        <is>
          <t>Popa Mihai</t>
        </is>
      </c>
      <c r="D375" s="46" t="n">
        <v>211.9</v>
      </c>
      <c r="E375" s="46" t="n">
        <v>247</v>
      </c>
      <c r="F375" s="46" t="n">
        <v>16.56</v>
      </c>
      <c r="G375" s="46" t="n">
        <v>122.85</v>
      </c>
    </row>
    <row r="376">
      <c r="A376" s="49" t="n">
        <v>2924</v>
      </c>
      <c r="B376" s="40" t="inlineStr">
        <is>
          <t>2026-07-24</t>
        </is>
      </c>
      <c r="C376" s="40" t="inlineStr">
        <is>
          <t>Cebotari Andrei</t>
        </is>
      </c>
      <c r="D376" s="49" t="n">
        <v>384</v>
      </c>
      <c r="E376" s="49" t="n">
        <v>457.7</v>
      </c>
      <c r="F376" s="49" t="n">
        <v>19.19</v>
      </c>
      <c r="G376" s="49" t="n">
        <v>257.95</v>
      </c>
    </row>
    <row r="377">
      <c r="A377" s="46" t="n">
        <v>2927</v>
      </c>
      <c r="B377" s="34" t="inlineStr">
        <is>
          <t>2026-07-24</t>
        </is>
      </c>
      <c r="C377" s="34" t="inlineStr">
        <is>
          <t>Cebotari Sergiu</t>
        </is>
      </c>
      <c r="D377" s="46" t="n">
        <v>207</v>
      </c>
      <c r="E377" s="46" t="n">
        <v>225.2</v>
      </c>
      <c r="F377" s="46" t="n">
        <v>8.789999999999999</v>
      </c>
      <c r="G377" s="46" t="n">
        <v>63.7</v>
      </c>
    </row>
    <row r="378">
      <c r="A378" s="49" t="n">
        <v>2967</v>
      </c>
      <c r="B378" s="40" t="inlineStr">
        <is>
          <t>2026-07-29</t>
        </is>
      </c>
      <c r="C378" s="40" t="inlineStr">
        <is>
          <t>Grosu Sergiu</t>
        </is>
      </c>
      <c r="D378" s="49" t="n">
        <v>185</v>
      </c>
      <c r="E378" s="49" t="n">
        <v>199.4</v>
      </c>
      <c r="F378" s="49" t="n">
        <v>7.78</v>
      </c>
      <c r="G378" s="49" t="n">
        <v>50.4</v>
      </c>
    </row>
    <row r="379">
      <c r="A379" s="46" t="n">
        <v>2968</v>
      </c>
      <c r="B379" s="34" t="inlineStr">
        <is>
          <t>2026-07-29</t>
        </is>
      </c>
      <c r="C379" s="34" t="inlineStr">
        <is>
          <t>Sirbu Dumitru</t>
        </is>
      </c>
      <c r="D379" s="46" t="n">
        <v>362</v>
      </c>
      <c r="E379" s="46" t="n">
        <v>388.9</v>
      </c>
      <c r="F379" s="46" t="n">
        <v>7.43</v>
      </c>
      <c r="G379" s="46" t="n">
        <v>94.15000000000001</v>
      </c>
    </row>
    <row r="380">
      <c r="A380" s="49" t="n">
        <v>2977</v>
      </c>
      <c r="B380" s="40" t="inlineStr">
        <is>
          <t>2026-07-30</t>
        </is>
      </c>
      <c r="C380" s="40" t="inlineStr">
        <is>
          <t>Chirica Igor</t>
        </is>
      </c>
      <c r="D380" s="49" t="n">
        <v>932.2</v>
      </c>
      <c r="E380" s="49" t="n">
        <v>1030.1</v>
      </c>
      <c r="F380" s="49" t="n">
        <v>10.5</v>
      </c>
      <c r="G380" s="49" t="n">
        <v>342.65</v>
      </c>
    </row>
    <row r="381">
      <c r="A381" s="46" t="n">
        <v>2989</v>
      </c>
      <c r="B381" s="34" t="inlineStr">
        <is>
          <t>2026-07-31</t>
        </is>
      </c>
      <c r="C381" s="34" t="inlineStr">
        <is>
          <t>Popa Victor</t>
        </is>
      </c>
      <c r="D381" s="46" t="n">
        <v>425.8</v>
      </c>
      <c r="E381" s="46" t="n">
        <v>453.8</v>
      </c>
      <c r="F381" s="46" t="n">
        <v>6.58</v>
      </c>
      <c r="G381" s="46" t="n">
        <v>98</v>
      </c>
    </row>
    <row r="382">
      <c r="A382" s="49" t="n">
        <v>3077</v>
      </c>
      <c r="B382" s="40" t="inlineStr">
        <is>
          <t>2026-08-11</t>
        </is>
      </c>
      <c r="C382" s="40" t="inlineStr">
        <is>
          <t>Rotaru Igor</t>
        </is>
      </c>
      <c r="D382" s="49" t="n">
        <v>185.4</v>
      </c>
      <c r="E382" s="49" t="n">
        <v>200.7</v>
      </c>
      <c r="F382" s="49" t="n">
        <v>8.25</v>
      </c>
      <c r="G382" s="49" t="n">
        <v>53.55</v>
      </c>
    </row>
    <row r="383">
      <c r="A383" s="46" t="n">
        <v>3081</v>
      </c>
      <c r="B383" s="34" t="inlineStr">
        <is>
          <t>2026-08-12</t>
        </is>
      </c>
      <c r="C383" s="34" t="inlineStr">
        <is>
          <t>Chirica Igor</t>
        </is>
      </c>
      <c r="D383" s="46" t="n">
        <v>740.8</v>
      </c>
      <c r="E383" s="46" t="n">
        <v>793.7</v>
      </c>
      <c r="F383" s="46" t="n">
        <v>7.14</v>
      </c>
      <c r="G383" s="46" t="n">
        <v>185.15</v>
      </c>
    </row>
    <row r="384">
      <c r="A384" s="49" t="n">
        <v>3083</v>
      </c>
      <c r="B384" s="40" t="inlineStr">
        <is>
          <t>2026-08-12</t>
        </is>
      </c>
      <c r="C384" s="40" t="inlineStr">
        <is>
          <t>Sirbu Dumitru</t>
        </is>
      </c>
      <c r="D384" s="49" t="n">
        <v>946.8</v>
      </c>
      <c r="E384" s="49" t="n">
        <v>1090.5</v>
      </c>
      <c r="F384" s="49" t="n">
        <v>15.18</v>
      </c>
      <c r="G384" s="49" t="n">
        <v>502.95</v>
      </c>
    </row>
    <row r="385">
      <c r="A385" s="46" t="n">
        <v>3096</v>
      </c>
      <c r="B385" s="34" t="inlineStr">
        <is>
          <t>2026-08-13</t>
        </is>
      </c>
      <c r="C385" s="34" t="inlineStr">
        <is>
          <t>Rotaru Dumitru</t>
        </is>
      </c>
      <c r="D385" s="46" t="n">
        <v>214.8</v>
      </c>
      <c r="E385" s="46" t="n">
        <v>248.2</v>
      </c>
      <c r="F385" s="46" t="n">
        <v>15.55</v>
      </c>
      <c r="G385" s="46" t="n">
        <v>116.9</v>
      </c>
    </row>
    <row r="386">
      <c r="A386" s="49" t="n">
        <v>3102</v>
      </c>
      <c r="B386" s="40" t="inlineStr">
        <is>
          <t>2026-08-14</t>
        </is>
      </c>
      <c r="C386" s="40" t="inlineStr">
        <is>
          <t>Sirbu Dumitru</t>
        </is>
      </c>
      <c r="D386" s="49" t="n">
        <v>179.9</v>
      </c>
      <c r="E386" s="49" t="n">
        <v>218.4</v>
      </c>
      <c r="F386" s="49" t="n">
        <v>21.4</v>
      </c>
      <c r="G386" s="49" t="n">
        <v>134.75</v>
      </c>
    </row>
    <row r="387">
      <c r="A387" s="46" t="n">
        <v>3118</v>
      </c>
      <c r="B387" s="34" t="inlineStr">
        <is>
          <t>2026-08-15</t>
        </is>
      </c>
      <c r="C387" s="34" t="inlineStr">
        <is>
          <t>Ciobanu Nicolae</t>
        </is>
      </c>
      <c r="D387" s="46" t="n">
        <v>951.5</v>
      </c>
      <c r="E387" s="46" t="n">
        <v>1035.8</v>
      </c>
      <c r="F387" s="46" t="n">
        <v>8.859999999999999</v>
      </c>
      <c r="G387" s="46" t="n">
        <v>295.05</v>
      </c>
    </row>
    <row r="388">
      <c r="A388" s="49" t="n">
        <v>3181</v>
      </c>
      <c r="B388" s="40" t="inlineStr">
        <is>
          <t>2026-08-22</t>
        </is>
      </c>
      <c r="C388" s="40" t="inlineStr">
        <is>
          <t>Ursu Ion</t>
        </is>
      </c>
      <c r="D388" s="49" t="n">
        <v>359.8</v>
      </c>
      <c r="E388" s="49" t="n">
        <v>388.9</v>
      </c>
      <c r="F388" s="49" t="n">
        <v>8.09</v>
      </c>
      <c r="G388" s="49" t="n">
        <v>101.85</v>
      </c>
    </row>
    <row r="389">
      <c r="A389" s="46" t="n">
        <v>3188</v>
      </c>
      <c r="B389" s="34" t="inlineStr">
        <is>
          <t>2026-08-22</t>
        </is>
      </c>
      <c r="C389" s="34" t="inlineStr">
        <is>
          <t>Balan Grigore</t>
        </is>
      </c>
      <c r="D389" s="46" t="n">
        <v>426.4</v>
      </c>
      <c r="E389" s="46" t="n">
        <v>454.6</v>
      </c>
      <c r="F389" s="46" t="n">
        <v>6.61</v>
      </c>
      <c r="G389" s="46" t="n">
        <v>98.7</v>
      </c>
    </row>
    <row r="390">
      <c r="A390" s="49" t="n">
        <v>3212</v>
      </c>
      <c r="B390" s="40" t="inlineStr">
        <is>
          <t>2026-08-25</t>
        </is>
      </c>
      <c r="C390" s="40" t="inlineStr">
        <is>
          <t>Chirica Igor</t>
        </is>
      </c>
      <c r="D390" s="49" t="n">
        <v>277.1</v>
      </c>
      <c r="E390" s="49" t="n">
        <v>293.9</v>
      </c>
      <c r="F390" s="49" t="n">
        <v>6.06</v>
      </c>
      <c r="G390" s="49" t="n">
        <v>58.8</v>
      </c>
    </row>
    <row r="391">
      <c r="A391" s="46" t="n">
        <v>3278</v>
      </c>
      <c r="B391" s="34" t="inlineStr">
        <is>
          <t>2026-09-01</t>
        </is>
      </c>
      <c r="C391" s="34" t="inlineStr">
        <is>
          <t>Balan Grigore</t>
        </is>
      </c>
      <c r="D391" s="46" t="n">
        <v>330.3</v>
      </c>
      <c r="E391" s="46" t="n">
        <v>356.1</v>
      </c>
      <c r="F391" s="46" t="n">
        <v>7.81</v>
      </c>
      <c r="G391" s="46" t="n">
        <v>90.3</v>
      </c>
    </row>
    <row r="392">
      <c r="A392" s="49" t="n">
        <v>3352</v>
      </c>
      <c r="B392" s="40" t="inlineStr">
        <is>
          <t>2026-09-10</t>
        </is>
      </c>
      <c r="C392" s="40" t="inlineStr">
        <is>
          <t>Popa Victor</t>
        </is>
      </c>
      <c r="D392" s="49" t="n">
        <v>406.5</v>
      </c>
      <c r="E392" s="49" t="n">
        <v>465.1</v>
      </c>
      <c r="F392" s="49" t="n">
        <v>14.42</v>
      </c>
      <c r="G392" s="49" t="n">
        <v>205.1</v>
      </c>
    </row>
    <row r="393">
      <c r="A393" s="46" t="n">
        <v>3366</v>
      </c>
      <c r="B393" s="34" t="inlineStr">
        <is>
          <t>2026-09-11</t>
        </is>
      </c>
      <c r="C393" s="34" t="inlineStr">
        <is>
          <t>Bejan Mihai</t>
        </is>
      </c>
      <c r="D393" s="46" t="n">
        <v>456.8</v>
      </c>
      <c r="E393" s="46" t="n">
        <v>550.7</v>
      </c>
      <c r="F393" s="46" t="n">
        <v>20.56</v>
      </c>
      <c r="G393" s="46" t="n">
        <v>328.65</v>
      </c>
    </row>
    <row r="394">
      <c r="A394" s="49" t="n">
        <v>3377</v>
      </c>
      <c r="B394" s="40" t="inlineStr">
        <is>
          <t>2026-09-14</t>
        </is>
      </c>
      <c r="C394" s="40" t="inlineStr">
        <is>
          <t>Balan Grigore</t>
        </is>
      </c>
      <c r="D394" s="49" t="n">
        <v>138.9</v>
      </c>
      <c r="E394" s="49" t="n">
        <v>156.3</v>
      </c>
      <c r="F394" s="49" t="n">
        <v>12.53</v>
      </c>
      <c r="G394" s="49" t="n">
        <v>60.9</v>
      </c>
    </row>
    <row r="395">
      <c r="A395" s="46" t="n">
        <v>3386</v>
      </c>
      <c r="B395" s="34" t="inlineStr">
        <is>
          <t>2026-09-15</t>
        </is>
      </c>
      <c r="C395" s="34" t="inlineStr">
        <is>
          <t>Cazacu Petru</t>
        </is>
      </c>
      <c r="D395" s="46" t="n">
        <v>243.2</v>
      </c>
      <c r="E395" s="46" t="n">
        <v>264.9</v>
      </c>
      <c r="F395" s="46" t="n">
        <v>8.92</v>
      </c>
      <c r="G395" s="46" t="n">
        <v>75.95</v>
      </c>
    </row>
    <row r="396">
      <c r="A396" s="49" t="n">
        <v>3421</v>
      </c>
      <c r="B396" s="40" t="inlineStr">
        <is>
          <t>2026-09-18</t>
        </is>
      </c>
      <c r="C396" s="40" t="inlineStr">
        <is>
          <t>Popa Mihai</t>
        </is>
      </c>
      <c r="D396" s="49" t="n">
        <v>421.3</v>
      </c>
      <c r="E396" s="49" t="n">
        <v>481.8</v>
      </c>
      <c r="F396" s="49" t="n">
        <v>14.36</v>
      </c>
      <c r="G396" s="49" t="n">
        <v>211.75</v>
      </c>
    </row>
    <row r="397">
      <c r="A397" s="46" t="n">
        <v>3422</v>
      </c>
      <c r="B397" s="34" t="inlineStr">
        <is>
          <t>2026-09-18</t>
        </is>
      </c>
      <c r="C397" s="34" t="inlineStr">
        <is>
          <t>Ursu Ion</t>
        </is>
      </c>
      <c r="D397" s="46" t="n">
        <v>217.8</v>
      </c>
      <c r="E397" s="46" t="n">
        <v>245.5</v>
      </c>
      <c r="F397" s="46" t="n">
        <v>12.72</v>
      </c>
      <c r="G397" s="46" t="n">
        <v>96.95</v>
      </c>
    </row>
    <row r="398">
      <c r="A398" s="49" t="n">
        <v>3424</v>
      </c>
      <c r="B398" s="40" t="inlineStr">
        <is>
          <t>2026-09-18</t>
        </is>
      </c>
      <c r="C398" s="40" t="inlineStr">
        <is>
          <t>Balan Grigore</t>
        </is>
      </c>
      <c r="D398" s="49" t="n">
        <v>176</v>
      </c>
      <c r="E398" s="49" t="n">
        <v>203.7</v>
      </c>
      <c r="F398" s="49" t="n">
        <v>15.74</v>
      </c>
      <c r="G398" s="49" t="n">
        <v>96.95</v>
      </c>
    </row>
    <row r="399">
      <c r="A399" s="46" t="n">
        <v>3435</v>
      </c>
      <c r="B399" s="34" t="inlineStr">
        <is>
          <t>2026-09-19</t>
        </is>
      </c>
      <c r="C399" s="34" t="inlineStr">
        <is>
          <t>Rusu Petru</t>
        </is>
      </c>
      <c r="D399" s="46" t="n">
        <v>402.8</v>
      </c>
      <c r="E399" s="46" t="n">
        <v>459.5</v>
      </c>
      <c r="F399" s="46" t="n">
        <v>14.08</v>
      </c>
      <c r="G399" s="46" t="n">
        <v>198.45</v>
      </c>
    </row>
    <row r="400">
      <c r="A400" s="49" t="n">
        <v>3454</v>
      </c>
      <c r="B400" s="40" t="inlineStr">
        <is>
          <t>2026-09-22</t>
        </is>
      </c>
      <c r="C400" s="40" t="inlineStr">
        <is>
          <t>Bejan Mihai</t>
        </is>
      </c>
      <c r="D400" s="49" t="n">
        <v>390.1</v>
      </c>
      <c r="E400" s="49" t="n">
        <v>451.9</v>
      </c>
      <c r="F400" s="49" t="n">
        <v>15.84</v>
      </c>
      <c r="G400" s="49" t="n">
        <v>216.3</v>
      </c>
    </row>
    <row r="401">
      <c r="A401" s="46" t="n">
        <v>3462</v>
      </c>
      <c r="B401" s="34" t="inlineStr">
        <is>
          <t>2026-09-23</t>
        </is>
      </c>
      <c r="C401" s="34" t="inlineStr">
        <is>
          <t>Ursu Ion</t>
        </is>
      </c>
      <c r="D401" s="46" t="n">
        <v>237</v>
      </c>
      <c r="E401" s="46" t="n">
        <v>283.1</v>
      </c>
      <c r="F401" s="46" t="n">
        <v>19.45</v>
      </c>
      <c r="G401" s="46" t="n">
        <v>161.35</v>
      </c>
    </row>
    <row r="402">
      <c r="A402" s="49" t="n">
        <v>3474</v>
      </c>
      <c r="B402" s="40" t="inlineStr">
        <is>
          <t>2026-09-24</t>
        </is>
      </c>
      <c r="C402" s="40" t="inlineStr">
        <is>
          <t>Popa Victor</t>
        </is>
      </c>
      <c r="D402" s="49" t="n">
        <v>406.3</v>
      </c>
      <c r="E402" s="49" t="n">
        <v>493.6</v>
      </c>
      <c r="F402" s="49" t="n">
        <v>21.49</v>
      </c>
      <c r="G402" s="49" t="n">
        <v>305.55</v>
      </c>
    </row>
    <row r="403">
      <c r="A403" s="46" t="n">
        <v>3486</v>
      </c>
      <c r="B403" s="34" t="inlineStr">
        <is>
          <t>2026-09-25</t>
        </is>
      </c>
      <c r="C403" s="34" t="inlineStr">
        <is>
          <t>Cebotari Sergiu</t>
        </is>
      </c>
      <c r="D403" s="46" t="n">
        <v>240.8</v>
      </c>
      <c r="E403" s="46" t="n">
        <v>276.9</v>
      </c>
      <c r="F403" s="46" t="n">
        <v>14.99</v>
      </c>
      <c r="G403" s="46" t="n">
        <v>126.35</v>
      </c>
    </row>
    <row r="406" ht="22" customHeight="1">
      <c r="A406" s="55" t="inlineStr">
        <is>
          <t>T-07 · Перерасход топлива бензовозом · отклонений: 96 из 3534 проверенных</t>
        </is>
      </c>
    </row>
    <row r="407" ht="30" customHeight="1">
      <c r="A407" s="33" t="inlineStr">
        <is>
          <t>Рейс</t>
        </is>
      </c>
      <c r="B407" s="33" t="inlineStr">
        <is>
          <t>Дата</t>
        </is>
      </c>
      <c r="C407" s="33" t="inlineStr">
        <is>
          <t>Автомобиль</t>
        </is>
      </c>
      <c r="D407" s="33" t="inlineStr">
        <is>
          <t>Норма, л</t>
        </is>
      </c>
      <c r="E407" s="33" t="inlineStr">
        <is>
          <t>Факт, л</t>
        </is>
      </c>
      <c r="F407" s="33" t="inlineStr">
        <is>
          <t>Отклонение, %</t>
        </is>
      </c>
      <c r="G407" s="33" t="inlineStr">
        <is>
          <t>Оценка, лей</t>
        </is>
      </c>
    </row>
    <row r="408">
      <c r="A408" s="46" t="n">
        <v>89</v>
      </c>
      <c r="B408" s="34" t="inlineStr">
        <is>
          <t>2025-09-10</t>
        </is>
      </c>
      <c r="C408" s="34" t="inlineStr">
        <is>
          <t>T859HH</t>
        </is>
      </c>
      <c r="D408" s="46" t="n">
        <v>73.8</v>
      </c>
      <c r="E408" s="46" t="n">
        <v>82.7</v>
      </c>
      <c r="F408" s="46" t="n">
        <v>12.1</v>
      </c>
      <c r="G408" s="46" t="n">
        <v>208.89</v>
      </c>
    </row>
    <row r="409">
      <c r="A409" s="49" t="n">
        <v>116</v>
      </c>
      <c r="B409" s="40" t="inlineStr">
        <is>
          <t>2025-09-13</t>
        </is>
      </c>
      <c r="C409" s="40" t="inlineStr">
        <is>
          <t>N296BB</t>
        </is>
      </c>
      <c r="D409" s="49" t="n">
        <v>61.6</v>
      </c>
      <c r="E409" s="49" t="n">
        <v>75.40000000000001</v>
      </c>
      <c r="F409" s="49" t="n">
        <v>22.42</v>
      </c>
      <c r="G409" s="49" t="n">
        <v>323.1</v>
      </c>
    </row>
    <row r="410">
      <c r="A410" s="46" t="n">
        <v>137</v>
      </c>
      <c r="B410" s="34" t="inlineStr">
        <is>
          <t>2025-09-16</t>
        </is>
      </c>
      <c r="C410" s="34" t="inlineStr">
        <is>
          <t>T859HH</t>
        </is>
      </c>
      <c r="D410" s="46" t="n">
        <v>114</v>
      </c>
      <c r="E410" s="46" t="n">
        <v>135.8</v>
      </c>
      <c r="F410" s="46" t="n">
        <v>19.1</v>
      </c>
      <c r="G410" s="46" t="n">
        <v>509.68</v>
      </c>
    </row>
    <row r="411">
      <c r="A411" s="49" t="n">
        <v>171</v>
      </c>
      <c r="B411" s="40" t="inlineStr">
        <is>
          <t>2025-09-19</t>
        </is>
      </c>
      <c r="C411" s="40" t="inlineStr">
        <is>
          <t>P246JJ</t>
        </is>
      </c>
      <c r="D411" s="49" t="n">
        <v>59.3</v>
      </c>
      <c r="E411" s="49" t="n">
        <v>65.5</v>
      </c>
      <c r="F411" s="49" t="n">
        <v>10.46</v>
      </c>
      <c r="G411" s="49" t="n">
        <v>145.2</v>
      </c>
    </row>
    <row r="412">
      <c r="A412" s="46" t="n">
        <v>337</v>
      </c>
      <c r="B412" s="34" t="inlineStr">
        <is>
          <t>2025-10-09</t>
        </is>
      </c>
      <c r="C412" s="34" t="inlineStr">
        <is>
          <t>C446BH</t>
        </is>
      </c>
      <c r="D412" s="46" t="n">
        <v>57.4</v>
      </c>
      <c r="E412" s="46" t="n">
        <v>73</v>
      </c>
      <c r="F412" s="46" t="n">
        <v>27.19</v>
      </c>
      <c r="G412" s="46" t="n">
        <v>365.16</v>
      </c>
    </row>
    <row r="413">
      <c r="A413" s="49" t="n">
        <v>344</v>
      </c>
      <c r="B413" s="40" t="inlineStr">
        <is>
          <t>2025-10-09</t>
        </is>
      </c>
      <c r="C413" s="40" t="inlineStr">
        <is>
          <t>A359DA</t>
        </is>
      </c>
      <c r="D413" s="49" t="n">
        <v>109.5</v>
      </c>
      <c r="E413" s="49" t="n">
        <v>128.4</v>
      </c>
      <c r="F413" s="49" t="n">
        <v>17.27</v>
      </c>
      <c r="G413" s="49" t="n">
        <v>442.45</v>
      </c>
    </row>
    <row r="414">
      <c r="A414" s="46" t="n">
        <v>346</v>
      </c>
      <c r="B414" s="34" t="inlineStr">
        <is>
          <t>2025-10-09</t>
        </is>
      </c>
      <c r="C414" s="34" t="inlineStr">
        <is>
          <t>C832JB</t>
        </is>
      </c>
      <c r="D414" s="46" t="n">
        <v>84.59999999999999</v>
      </c>
      <c r="E414" s="46" t="n">
        <v>100.6</v>
      </c>
      <c r="F414" s="46" t="n">
        <v>18.97</v>
      </c>
      <c r="G414" s="46" t="n">
        <v>375.34</v>
      </c>
    </row>
    <row r="415">
      <c r="A415" s="49" t="n">
        <v>389</v>
      </c>
      <c r="B415" s="40" t="inlineStr">
        <is>
          <t>2025-10-14</t>
        </is>
      </c>
      <c r="C415" s="40" t="inlineStr">
        <is>
          <t>K715EH</t>
        </is>
      </c>
      <c r="D415" s="49" t="n">
        <v>126.6</v>
      </c>
      <c r="E415" s="49" t="n">
        <v>147.6</v>
      </c>
      <c r="F415" s="49" t="n">
        <v>16.57</v>
      </c>
      <c r="G415" s="49" t="n">
        <v>490.96</v>
      </c>
    </row>
    <row r="416">
      <c r="A416" s="46" t="n">
        <v>407</v>
      </c>
      <c r="B416" s="34" t="inlineStr">
        <is>
          <t>2025-10-16</t>
        </is>
      </c>
      <c r="C416" s="34" t="inlineStr">
        <is>
          <t>K715EH</t>
        </is>
      </c>
      <c r="D416" s="46" t="n">
        <v>107.5</v>
      </c>
      <c r="E416" s="46" t="n">
        <v>127.9</v>
      </c>
      <c r="F416" s="46" t="n">
        <v>18.95</v>
      </c>
      <c r="G416" s="46" t="n">
        <v>476.83</v>
      </c>
    </row>
    <row r="417">
      <c r="A417" s="49" t="n">
        <v>411</v>
      </c>
      <c r="B417" s="40" t="inlineStr">
        <is>
          <t>2025-10-16</t>
        </is>
      </c>
      <c r="C417" s="40" t="inlineStr">
        <is>
          <t>N558HD</t>
        </is>
      </c>
      <c r="D417" s="49" t="n">
        <v>132.6</v>
      </c>
      <c r="E417" s="49" t="n">
        <v>148.6</v>
      </c>
      <c r="F417" s="49" t="n">
        <v>12.11</v>
      </c>
      <c r="G417" s="49" t="n">
        <v>375.47</v>
      </c>
    </row>
    <row r="418">
      <c r="A418" s="46" t="n">
        <v>483</v>
      </c>
      <c r="B418" s="34" t="inlineStr">
        <is>
          <t>2025-10-25</t>
        </is>
      </c>
      <c r="C418" s="34" t="inlineStr">
        <is>
          <t>P962FJ</t>
        </is>
      </c>
      <c r="D418" s="46" t="n">
        <v>132.6</v>
      </c>
      <c r="E418" s="46" t="n">
        <v>164.7</v>
      </c>
      <c r="F418" s="46" t="n">
        <v>24.2</v>
      </c>
      <c r="G418" s="46" t="n">
        <v>750.91</v>
      </c>
    </row>
    <row r="419">
      <c r="A419" s="49" t="n">
        <v>517</v>
      </c>
      <c r="B419" s="40" t="inlineStr">
        <is>
          <t>2025-10-30</t>
        </is>
      </c>
      <c r="C419" s="40" t="inlineStr">
        <is>
          <t>P962FJ</t>
        </is>
      </c>
      <c r="D419" s="49" t="n">
        <v>394.3</v>
      </c>
      <c r="E419" s="49" t="n">
        <v>444</v>
      </c>
      <c r="F419" s="49" t="n">
        <v>12.6</v>
      </c>
      <c r="G419" s="49" t="n">
        <v>1162.85</v>
      </c>
    </row>
    <row r="420">
      <c r="A420" s="46" t="n">
        <v>575</v>
      </c>
      <c r="B420" s="34" t="inlineStr">
        <is>
          <t>2025-11-06</t>
        </is>
      </c>
      <c r="C420" s="34" t="inlineStr">
        <is>
          <t>A359DA</t>
        </is>
      </c>
      <c r="D420" s="46" t="n">
        <v>117.5</v>
      </c>
      <c r="E420" s="46" t="n">
        <v>149.5</v>
      </c>
      <c r="F420" s="46" t="n">
        <v>27.22</v>
      </c>
      <c r="G420" s="46" t="n">
        <v>748.52</v>
      </c>
    </row>
    <row r="421">
      <c r="A421" s="49" t="n">
        <v>636</v>
      </c>
      <c r="B421" s="40" t="inlineStr">
        <is>
          <t>2025-11-13</t>
        </is>
      </c>
      <c r="C421" s="40" t="inlineStr">
        <is>
          <t>N296BB</t>
        </is>
      </c>
      <c r="D421" s="49" t="n">
        <v>123.7</v>
      </c>
      <c r="E421" s="49" t="n">
        <v>134.3</v>
      </c>
      <c r="F421" s="49" t="n">
        <v>8.550000000000001</v>
      </c>
      <c r="G421" s="49" t="n">
        <v>247.63</v>
      </c>
    </row>
    <row r="422">
      <c r="A422" s="46" t="n">
        <v>658</v>
      </c>
      <c r="B422" s="34" t="inlineStr">
        <is>
          <t>2025-11-15</t>
        </is>
      </c>
      <c r="C422" s="34" t="inlineStr">
        <is>
          <t>N558HD</t>
        </is>
      </c>
      <c r="D422" s="46" t="n">
        <v>57.7</v>
      </c>
      <c r="E422" s="46" t="n">
        <v>65.90000000000001</v>
      </c>
      <c r="F422" s="46" t="n">
        <v>14.26</v>
      </c>
      <c r="G422" s="46" t="n">
        <v>192.5</v>
      </c>
    </row>
    <row r="423">
      <c r="A423" s="49" t="n">
        <v>710</v>
      </c>
      <c r="B423" s="40" t="inlineStr">
        <is>
          <t>2025-11-21</t>
        </is>
      </c>
      <c r="C423" s="40" t="inlineStr">
        <is>
          <t>N296BB</t>
        </is>
      </c>
      <c r="D423" s="49" t="n">
        <v>166.6</v>
      </c>
      <c r="E423" s="49" t="n">
        <v>178.9</v>
      </c>
      <c r="F423" s="49" t="n">
        <v>7.38</v>
      </c>
      <c r="G423" s="49" t="n">
        <v>287.78</v>
      </c>
    </row>
    <row r="424">
      <c r="A424" s="46" t="n">
        <v>745</v>
      </c>
      <c r="B424" s="34" t="inlineStr">
        <is>
          <t>2025-11-26</t>
        </is>
      </c>
      <c r="C424" s="34" t="inlineStr">
        <is>
          <t>C832JB</t>
        </is>
      </c>
      <c r="D424" s="46" t="n">
        <v>116.3</v>
      </c>
      <c r="E424" s="46" t="n">
        <v>144.7</v>
      </c>
      <c r="F424" s="46" t="n">
        <v>24.41</v>
      </c>
      <c r="G424" s="46" t="n">
        <v>664.4400000000001</v>
      </c>
    </row>
    <row r="425">
      <c r="A425" s="49" t="n">
        <v>768</v>
      </c>
      <c r="B425" s="40" t="inlineStr">
        <is>
          <t>2025-11-28</t>
        </is>
      </c>
      <c r="C425" s="40" t="inlineStr">
        <is>
          <t>P246JJ</t>
        </is>
      </c>
      <c r="D425" s="49" t="n">
        <v>232.7</v>
      </c>
      <c r="E425" s="49" t="n">
        <v>253.5</v>
      </c>
      <c r="F425" s="49" t="n">
        <v>8.93</v>
      </c>
      <c r="G425" s="49" t="n">
        <v>486.15</v>
      </c>
    </row>
    <row r="426">
      <c r="A426" s="46" t="n">
        <v>790</v>
      </c>
      <c r="B426" s="34" t="inlineStr">
        <is>
          <t>2025-12-01</t>
        </is>
      </c>
      <c r="C426" s="34" t="inlineStr">
        <is>
          <t>P246JJ</t>
        </is>
      </c>
      <c r="D426" s="46" t="n">
        <v>44.8</v>
      </c>
      <c r="E426" s="46" t="n">
        <v>55.7</v>
      </c>
      <c r="F426" s="46" t="n">
        <v>24.45</v>
      </c>
      <c r="G426" s="46" t="n">
        <v>256.09</v>
      </c>
    </row>
    <row r="427">
      <c r="A427" s="49" t="n">
        <v>878</v>
      </c>
      <c r="B427" s="40" t="inlineStr">
        <is>
          <t>2025-12-10</t>
        </is>
      </c>
      <c r="C427" s="40" t="inlineStr">
        <is>
          <t>A529BD</t>
        </is>
      </c>
      <c r="D427" s="49" t="n">
        <v>65.8</v>
      </c>
      <c r="E427" s="49" t="n">
        <v>78</v>
      </c>
      <c r="F427" s="49" t="n">
        <v>18.55</v>
      </c>
      <c r="G427" s="49" t="n">
        <v>285.62</v>
      </c>
    </row>
    <row r="428">
      <c r="A428" s="46" t="n">
        <v>927</v>
      </c>
      <c r="B428" s="34" t="inlineStr">
        <is>
          <t>2025-12-15</t>
        </is>
      </c>
      <c r="C428" s="34" t="inlineStr">
        <is>
          <t>P246JJ</t>
        </is>
      </c>
      <c r="D428" s="46" t="n">
        <v>133.6</v>
      </c>
      <c r="E428" s="46" t="n">
        <v>153.6</v>
      </c>
      <c r="F428" s="46" t="n">
        <v>14.94</v>
      </c>
      <c r="G428" s="46" t="n">
        <v>467.26</v>
      </c>
    </row>
    <row r="429">
      <c r="A429" s="49" t="n">
        <v>931</v>
      </c>
      <c r="B429" s="40" t="inlineStr">
        <is>
          <t>2025-12-16</t>
        </is>
      </c>
      <c r="C429" s="40" t="inlineStr">
        <is>
          <t>A359DA</t>
        </is>
      </c>
      <c r="D429" s="49" t="n">
        <v>44.4</v>
      </c>
      <c r="E429" s="49" t="n">
        <v>52.9</v>
      </c>
      <c r="F429" s="49" t="n">
        <v>19.2</v>
      </c>
      <c r="G429" s="49" t="n">
        <v>199.37</v>
      </c>
    </row>
    <row r="430">
      <c r="A430" s="46" t="n">
        <v>981</v>
      </c>
      <c r="B430" s="34" t="inlineStr">
        <is>
          <t>2025-12-20</t>
        </is>
      </c>
      <c r="C430" s="34" t="inlineStr">
        <is>
          <t>T956CE</t>
        </is>
      </c>
      <c r="D430" s="46" t="n">
        <v>209.3</v>
      </c>
      <c r="E430" s="46" t="n">
        <v>258.7</v>
      </c>
      <c r="F430" s="46" t="n">
        <v>23.63</v>
      </c>
      <c r="G430" s="46" t="n">
        <v>1157.01</v>
      </c>
    </row>
    <row r="431">
      <c r="A431" s="49" t="n">
        <v>984</v>
      </c>
      <c r="B431" s="40" t="inlineStr">
        <is>
          <t>2025-12-20</t>
        </is>
      </c>
      <c r="C431" s="40" t="inlineStr">
        <is>
          <t>P962FJ</t>
        </is>
      </c>
      <c r="D431" s="49" t="n">
        <v>160.3</v>
      </c>
      <c r="E431" s="49" t="n">
        <v>203.6</v>
      </c>
      <c r="F431" s="49" t="n">
        <v>26.98</v>
      </c>
      <c r="G431" s="49" t="n">
        <v>1012.23</v>
      </c>
    </row>
    <row r="432">
      <c r="A432" s="46" t="n">
        <v>1028</v>
      </c>
      <c r="B432" s="34" t="inlineStr">
        <is>
          <t>2025-12-25</t>
        </is>
      </c>
      <c r="C432" s="34" t="inlineStr">
        <is>
          <t>M908AB</t>
        </is>
      </c>
      <c r="D432" s="46" t="n">
        <v>121.9</v>
      </c>
      <c r="E432" s="46" t="n">
        <v>147.5</v>
      </c>
      <c r="F432" s="46" t="n">
        <v>20.96</v>
      </c>
      <c r="G432" s="46" t="n">
        <v>598.1</v>
      </c>
    </row>
    <row r="433">
      <c r="A433" s="49" t="n">
        <v>1038</v>
      </c>
      <c r="B433" s="40" t="inlineStr">
        <is>
          <t>2025-12-26</t>
        </is>
      </c>
      <c r="C433" s="40" t="inlineStr">
        <is>
          <t>N558HD</t>
        </is>
      </c>
      <c r="D433" s="49" t="n">
        <v>148</v>
      </c>
      <c r="E433" s="49" t="n">
        <v>188.1</v>
      </c>
      <c r="F433" s="49" t="n">
        <v>27.11</v>
      </c>
      <c r="G433" s="49" t="n">
        <v>938.71</v>
      </c>
    </row>
    <row r="434">
      <c r="A434" s="46" t="n">
        <v>1061</v>
      </c>
      <c r="B434" s="34" t="inlineStr">
        <is>
          <t>2025-12-29</t>
        </is>
      </c>
      <c r="C434" s="34" t="inlineStr">
        <is>
          <t>N296BB</t>
        </is>
      </c>
      <c r="D434" s="46" t="n">
        <v>110.9</v>
      </c>
      <c r="E434" s="46" t="n">
        <v>125.3</v>
      </c>
      <c r="F434" s="46" t="n">
        <v>12.98</v>
      </c>
      <c r="G434" s="46" t="n">
        <v>336.91</v>
      </c>
    </row>
    <row r="435">
      <c r="A435" s="49" t="n">
        <v>1094</v>
      </c>
      <c r="B435" s="40" t="inlineStr">
        <is>
          <t>2026-01-01</t>
        </is>
      </c>
      <c r="C435" s="40" t="inlineStr">
        <is>
          <t>N558HD</t>
        </is>
      </c>
      <c r="D435" s="49" t="n">
        <v>114.7</v>
      </c>
      <c r="E435" s="49" t="n">
        <v>127</v>
      </c>
      <c r="F435" s="49" t="n">
        <v>10.77</v>
      </c>
      <c r="G435" s="49" t="n">
        <v>288.84</v>
      </c>
    </row>
    <row r="436">
      <c r="A436" s="46" t="n">
        <v>1097</v>
      </c>
      <c r="B436" s="34" t="inlineStr">
        <is>
          <t>2026-01-01</t>
        </is>
      </c>
      <c r="C436" s="34" t="inlineStr">
        <is>
          <t>P246JJ</t>
        </is>
      </c>
      <c r="D436" s="46" t="n">
        <v>60.9</v>
      </c>
      <c r="E436" s="46" t="n">
        <v>73.8</v>
      </c>
      <c r="F436" s="46" t="n">
        <v>21.11</v>
      </c>
      <c r="G436" s="46" t="n">
        <v>301.01</v>
      </c>
    </row>
    <row r="437">
      <c r="A437" s="49" t="n">
        <v>1136</v>
      </c>
      <c r="B437" s="40" t="inlineStr">
        <is>
          <t>2026-01-07</t>
        </is>
      </c>
      <c r="C437" s="40" t="inlineStr">
        <is>
          <t>M908AB</t>
        </is>
      </c>
      <c r="D437" s="49" t="n">
        <v>319.7</v>
      </c>
      <c r="E437" s="49" t="n">
        <v>402.5</v>
      </c>
      <c r="F437" s="49" t="n">
        <v>25.92</v>
      </c>
      <c r="G437" s="49" t="n">
        <v>1938.53</v>
      </c>
    </row>
    <row r="438">
      <c r="A438" s="46" t="n">
        <v>1216</v>
      </c>
      <c r="B438" s="34" t="inlineStr">
        <is>
          <t>2026-01-16</t>
        </is>
      </c>
      <c r="C438" s="34" t="inlineStr">
        <is>
          <t>N296BB</t>
        </is>
      </c>
      <c r="D438" s="46" t="n">
        <v>66.7</v>
      </c>
      <c r="E438" s="46" t="n">
        <v>81.59999999999999</v>
      </c>
      <c r="F438" s="46" t="n">
        <v>22.27</v>
      </c>
      <c r="G438" s="46" t="n">
        <v>347.72</v>
      </c>
    </row>
    <row r="439">
      <c r="A439" s="49" t="n">
        <v>1262</v>
      </c>
      <c r="B439" s="40" t="inlineStr">
        <is>
          <t>2026-01-21</t>
        </is>
      </c>
      <c r="C439" s="40" t="inlineStr">
        <is>
          <t>A359DA</t>
        </is>
      </c>
      <c r="D439" s="49" t="n">
        <v>125.9</v>
      </c>
      <c r="E439" s="49" t="n">
        <v>148.8</v>
      </c>
      <c r="F439" s="49" t="n">
        <v>18.15</v>
      </c>
      <c r="G439" s="49" t="n">
        <v>534.83</v>
      </c>
    </row>
    <row r="440">
      <c r="A440" s="46" t="n">
        <v>1361</v>
      </c>
      <c r="B440" s="34" t="inlineStr">
        <is>
          <t>2026-01-31</t>
        </is>
      </c>
      <c r="C440" s="34" t="inlineStr">
        <is>
          <t>P962FJ</t>
        </is>
      </c>
      <c r="D440" s="46" t="n">
        <v>155.1</v>
      </c>
      <c r="E440" s="46" t="n">
        <v>183.7</v>
      </c>
      <c r="F440" s="46" t="n">
        <v>18.43</v>
      </c>
      <c r="G440" s="46" t="n">
        <v>669.02</v>
      </c>
    </row>
    <row r="441">
      <c r="A441" s="49" t="n">
        <v>1380</v>
      </c>
      <c r="B441" s="40" t="inlineStr">
        <is>
          <t>2026-02-03</t>
        </is>
      </c>
      <c r="C441" s="40" t="inlineStr">
        <is>
          <t>A359DA</t>
        </is>
      </c>
      <c r="D441" s="49" t="n">
        <v>127.7</v>
      </c>
      <c r="E441" s="49" t="n">
        <v>158.5</v>
      </c>
      <c r="F441" s="49" t="n">
        <v>24.13</v>
      </c>
      <c r="G441" s="49" t="n">
        <v>721.01</v>
      </c>
    </row>
    <row r="442">
      <c r="A442" s="46" t="n">
        <v>1437</v>
      </c>
      <c r="B442" s="34" t="inlineStr">
        <is>
          <t>2026-02-10</t>
        </is>
      </c>
      <c r="C442" s="34" t="inlineStr">
        <is>
          <t>M578FC</t>
        </is>
      </c>
      <c r="D442" s="46" t="n">
        <v>39.8</v>
      </c>
      <c r="E442" s="46" t="n">
        <v>43.6</v>
      </c>
      <c r="F442" s="46" t="n">
        <v>9.68</v>
      </c>
      <c r="G442" s="46" t="n">
        <v>90.02</v>
      </c>
    </row>
    <row r="443">
      <c r="A443" s="49" t="n">
        <v>1453</v>
      </c>
      <c r="B443" s="40" t="inlineStr">
        <is>
          <t>2026-02-12</t>
        </is>
      </c>
      <c r="C443" s="40" t="inlineStr">
        <is>
          <t>C446BH</t>
        </is>
      </c>
      <c r="D443" s="49" t="n">
        <v>219.8</v>
      </c>
      <c r="E443" s="49" t="n">
        <v>261.4</v>
      </c>
      <c r="F443" s="49" t="n">
        <v>18.95</v>
      </c>
      <c r="G443" s="49" t="n">
        <v>974.46</v>
      </c>
    </row>
    <row r="444">
      <c r="A444" s="46" t="n">
        <v>1511</v>
      </c>
      <c r="B444" s="34" t="inlineStr">
        <is>
          <t>2026-02-18</t>
        </is>
      </c>
      <c r="C444" s="34" t="inlineStr">
        <is>
          <t>P977DG</t>
        </is>
      </c>
      <c r="D444" s="46" t="n">
        <v>43.3</v>
      </c>
      <c r="E444" s="46" t="n">
        <v>49.5</v>
      </c>
      <c r="F444" s="46" t="n">
        <v>14.2</v>
      </c>
      <c r="G444" s="46" t="n">
        <v>144.01</v>
      </c>
    </row>
    <row r="445">
      <c r="A445" s="49" t="n">
        <v>1602</v>
      </c>
      <c r="B445" s="40" t="inlineStr">
        <is>
          <t>2026-02-27</t>
        </is>
      </c>
      <c r="C445" s="40" t="inlineStr">
        <is>
          <t>A529BD</t>
        </is>
      </c>
      <c r="D445" s="49" t="n">
        <v>78.7</v>
      </c>
      <c r="E445" s="49" t="n">
        <v>87.3</v>
      </c>
      <c r="F445" s="49" t="n">
        <v>10.92</v>
      </c>
      <c r="G445" s="49" t="n">
        <v>201.12</v>
      </c>
    </row>
    <row r="446">
      <c r="A446" s="46" t="n">
        <v>1640</v>
      </c>
      <c r="B446" s="34" t="inlineStr">
        <is>
          <t>2026-03-04</t>
        </is>
      </c>
      <c r="C446" s="34" t="inlineStr">
        <is>
          <t>P246JJ</t>
        </is>
      </c>
      <c r="D446" s="46" t="n">
        <v>93.7</v>
      </c>
      <c r="E446" s="46" t="n">
        <v>118.4</v>
      </c>
      <c r="F446" s="46" t="n">
        <v>26.32</v>
      </c>
      <c r="G446" s="46" t="n">
        <v>577.21</v>
      </c>
    </row>
    <row r="447">
      <c r="A447" s="49" t="n">
        <v>1682</v>
      </c>
      <c r="B447" s="40" t="inlineStr">
        <is>
          <t>2026-03-09</t>
        </is>
      </c>
      <c r="C447" s="40" t="inlineStr">
        <is>
          <t>M908AB</t>
        </is>
      </c>
      <c r="D447" s="49" t="n">
        <v>308.2</v>
      </c>
      <c r="E447" s="49" t="n">
        <v>358.6</v>
      </c>
      <c r="F447" s="49" t="n">
        <v>16.37</v>
      </c>
      <c r="G447" s="49" t="n">
        <v>1180.14</v>
      </c>
    </row>
    <row r="448">
      <c r="A448" s="46" t="n">
        <v>1744</v>
      </c>
      <c r="B448" s="34" t="inlineStr">
        <is>
          <t>2026-03-16</t>
        </is>
      </c>
      <c r="C448" s="34" t="inlineStr">
        <is>
          <t>T956CE</t>
        </is>
      </c>
      <c r="D448" s="46" t="n">
        <v>103.5</v>
      </c>
      <c r="E448" s="46" t="n">
        <v>111.9</v>
      </c>
      <c r="F448" s="46" t="n">
        <v>8.16</v>
      </c>
      <c r="G448" s="46" t="n">
        <v>197.53</v>
      </c>
    </row>
    <row r="449">
      <c r="A449" s="49" t="n">
        <v>1900</v>
      </c>
      <c r="B449" s="40" t="inlineStr">
        <is>
          <t>2026-04-01</t>
        </is>
      </c>
      <c r="C449" s="40" t="inlineStr">
        <is>
          <t>N296BB</t>
        </is>
      </c>
      <c r="D449" s="49" t="n">
        <v>401.1</v>
      </c>
      <c r="E449" s="49" t="n">
        <v>490.9</v>
      </c>
      <c r="F449" s="49" t="n">
        <v>22.39</v>
      </c>
      <c r="G449" s="49" t="n">
        <v>2101.81</v>
      </c>
    </row>
    <row r="450">
      <c r="A450" s="46" t="n">
        <v>1914</v>
      </c>
      <c r="B450" s="34" t="inlineStr">
        <is>
          <t>2026-04-02</t>
        </is>
      </c>
      <c r="C450" s="34" t="inlineStr">
        <is>
          <t>M578FC</t>
        </is>
      </c>
      <c r="D450" s="46" t="n">
        <v>138.1</v>
      </c>
      <c r="E450" s="46" t="n">
        <v>148.4</v>
      </c>
      <c r="F450" s="46" t="n">
        <v>7.44</v>
      </c>
      <c r="G450" s="46" t="n">
        <v>240.38</v>
      </c>
    </row>
    <row r="451">
      <c r="A451" s="49" t="n">
        <v>1921</v>
      </c>
      <c r="B451" s="40" t="inlineStr">
        <is>
          <t>2026-04-03</t>
        </is>
      </c>
      <c r="C451" s="40" t="inlineStr">
        <is>
          <t>P246JJ</t>
        </is>
      </c>
      <c r="D451" s="49" t="n">
        <v>119.4</v>
      </c>
      <c r="E451" s="49" t="n">
        <v>139.7</v>
      </c>
      <c r="F451" s="49" t="n">
        <v>17.01</v>
      </c>
      <c r="G451" s="49" t="n">
        <v>475.16</v>
      </c>
    </row>
    <row r="452">
      <c r="A452" s="46" t="n">
        <v>1927</v>
      </c>
      <c r="B452" s="34" t="inlineStr">
        <is>
          <t>2026-04-03</t>
        </is>
      </c>
      <c r="C452" s="34" t="inlineStr">
        <is>
          <t>C446BH</t>
        </is>
      </c>
      <c r="D452" s="46" t="n">
        <v>67.3</v>
      </c>
      <c r="E452" s="46" t="n">
        <v>81.90000000000001</v>
      </c>
      <c r="F452" s="46" t="n">
        <v>21.67</v>
      </c>
      <c r="G452" s="46" t="n">
        <v>341.32</v>
      </c>
    </row>
    <row r="453">
      <c r="A453" s="49" t="n">
        <v>1951</v>
      </c>
      <c r="B453" s="40" t="inlineStr">
        <is>
          <t>2026-04-07</t>
        </is>
      </c>
      <c r="C453" s="40" t="inlineStr">
        <is>
          <t>C446BH</t>
        </is>
      </c>
      <c r="D453" s="49" t="n">
        <v>144.6</v>
      </c>
      <c r="E453" s="49" t="n">
        <v>163.9</v>
      </c>
      <c r="F453" s="49" t="n">
        <v>13.34</v>
      </c>
      <c r="G453" s="49" t="n">
        <v>451.37</v>
      </c>
    </row>
    <row r="454">
      <c r="A454" s="46" t="n">
        <v>1987</v>
      </c>
      <c r="B454" s="34" t="inlineStr">
        <is>
          <t>2026-04-10</t>
        </is>
      </c>
      <c r="C454" s="34" t="inlineStr">
        <is>
          <t>A529BD</t>
        </is>
      </c>
      <c r="D454" s="46" t="n">
        <v>73.3</v>
      </c>
      <c r="E454" s="46" t="n">
        <v>87.09999999999999</v>
      </c>
      <c r="F454" s="46" t="n">
        <v>18.83</v>
      </c>
      <c r="G454" s="46" t="n">
        <v>322.94</v>
      </c>
    </row>
    <row r="455">
      <c r="A455" s="49" t="n">
        <v>2012</v>
      </c>
      <c r="B455" s="40" t="inlineStr">
        <is>
          <t>2026-04-13</t>
        </is>
      </c>
      <c r="C455" s="40" t="inlineStr">
        <is>
          <t>T859HH</t>
        </is>
      </c>
      <c r="D455" s="49" t="n">
        <v>131.9</v>
      </c>
      <c r="E455" s="49" t="n">
        <v>157.3</v>
      </c>
      <c r="F455" s="49" t="n">
        <v>19.25</v>
      </c>
      <c r="G455" s="49" t="n">
        <v>594.05</v>
      </c>
    </row>
    <row r="456">
      <c r="A456" s="46" t="n">
        <v>2104</v>
      </c>
      <c r="B456" s="34" t="inlineStr">
        <is>
          <t>2026-04-23</t>
        </is>
      </c>
      <c r="C456" s="34" t="inlineStr">
        <is>
          <t>P246JJ</t>
        </is>
      </c>
      <c r="D456" s="46" t="n">
        <v>158.7</v>
      </c>
      <c r="E456" s="46" t="n">
        <v>177.4</v>
      </c>
      <c r="F456" s="46" t="n">
        <v>11.77</v>
      </c>
      <c r="G456" s="46" t="n">
        <v>437.04</v>
      </c>
    </row>
    <row r="457">
      <c r="A457" s="49" t="n">
        <v>2107</v>
      </c>
      <c r="B457" s="40" t="inlineStr">
        <is>
          <t>2026-04-23</t>
        </is>
      </c>
      <c r="C457" s="40" t="inlineStr">
        <is>
          <t>K715EH</t>
        </is>
      </c>
      <c r="D457" s="49" t="n">
        <v>226.7</v>
      </c>
      <c r="E457" s="49" t="n">
        <v>253.7</v>
      </c>
      <c r="F457" s="49" t="n">
        <v>11.92</v>
      </c>
      <c r="G457" s="49" t="n">
        <v>632.08</v>
      </c>
    </row>
    <row r="458">
      <c r="A458" s="46" t="n">
        <v>2154</v>
      </c>
      <c r="B458" s="34" t="inlineStr">
        <is>
          <t>2026-04-29</t>
        </is>
      </c>
      <c r="C458" s="34" t="inlineStr">
        <is>
          <t>A359DA</t>
        </is>
      </c>
      <c r="D458" s="46" t="n">
        <v>84.59999999999999</v>
      </c>
      <c r="E458" s="46" t="n">
        <v>100.3</v>
      </c>
      <c r="F458" s="46" t="n">
        <v>18.59</v>
      </c>
      <c r="G458" s="46" t="n">
        <v>367.95</v>
      </c>
    </row>
    <row r="459">
      <c r="A459" s="49" t="n">
        <v>2210</v>
      </c>
      <c r="B459" s="40" t="inlineStr">
        <is>
          <t>2026-05-05</t>
        </is>
      </c>
      <c r="C459" s="40" t="inlineStr">
        <is>
          <t>M908AB</t>
        </is>
      </c>
      <c r="D459" s="49" t="n">
        <v>153.8</v>
      </c>
      <c r="E459" s="49" t="n">
        <v>170.9</v>
      </c>
      <c r="F459" s="49" t="n">
        <v>11.1</v>
      </c>
      <c r="G459" s="49" t="n">
        <v>399.39</v>
      </c>
    </row>
    <row r="460">
      <c r="A460" s="46" t="n">
        <v>2217</v>
      </c>
      <c r="B460" s="34" t="inlineStr">
        <is>
          <t>2026-05-06</t>
        </is>
      </c>
      <c r="C460" s="34" t="inlineStr">
        <is>
          <t>C832JB</t>
        </is>
      </c>
      <c r="D460" s="46" t="n">
        <v>93.90000000000001</v>
      </c>
      <c r="E460" s="46" t="n">
        <v>119</v>
      </c>
      <c r="F460" s="46" t="n">
        <v>26.77</v>
      </c>
      <c r="G460" s="46" t="n">
        <v>588.04</v>
      </c>
    </row>
    <row r="461">
      <c r="A461" s="49" t="n">
        <v>2223</v>
      </c>
      <c r="B461" s="40" t="inlineStr">
        <is>
          <t>2026-05-06</t>
        </is>
      </c>
      <c r="C461" s="40" t="inlineStr">
        <is>
          <t>A359DA</t>
        </is>
      </c>
      <c r="D461" s="49" t="n">
        <v>63.1</v>
      </c>
      <c r="E461" s="49" t="n">
        <v>74.2</v>
      </c>
      <c r="F461" s="49" t="n">
        <v>17.62</v>
      </c>
      <c r="G461" s="49" t="n">
        <v>260.14</v>
      </c>
    </row>
    <row r="462">
      <c r="A462" s="46" t="n">
        <v>2248</v>
      </c>
      <c r="B462" s="34" t="inlineStr">
        <is>
          <t>2026-05-08</t>
        </is>
      </c>
      <c r="C462" s="34" t="inlineStr">
        <is>
          <t>P246JJ</t>
        </is>
      </c>
      <c r="D462" s="46" t="n">
        <v>103.5</v>
      </c>
      <c r="E462" s="46" t="n">
        <v>114.3</v>
      </c>
      <c r="F462" s="46" t="n">
        <v>10.45</v>
      </c>
      <c r="G462" s="46" t="n">
        <v>253.15</v>
      </c>
    </row>
    <row r="463">
      <c r="A463" s="49" t="n">
        <v>2259</v>
      </c>
      <c r="B463" s="40" t="inlineStr">
        <is>
          <t>2026-05-11</t>
        </is>
      </c>
      <c r="C463" s="40" t="inlineStr">
        <is>
          <t>T859HH</t>
        </is>
      </c>
      <c r="D463" s="49" t="n">
        <v>206.8</v>
      </c>
      <c r="E463" s="49" t="n">
        <v>236.4</v>
      </c>
      <c r="F463" s="49" t="n">
        <v>14.29</v>
      </c>
      <c r="G463" s="49" t="n">
        <v>691.49</v>
      </c>
    </row>
    <row r="464">
      <c r="A464" s="46" t="n">
        <v>2260</v>
      </c>
      <c r="B464" s="34" t="inlineStr">
        <is>
          <t>2026-05-11</t>
        </is>
      </c>
      <c r="C464" s="34" t="inlineStr">
        <is>
          <t>P962FJ</t>
        </is>
      </c>
      <c r="D464" s="46" t="n">
        <v>91.40000000000001</v>
      </c>
      <c r="E464" s="46" t="n">
        <v>102</v>
      </c>
      <c r="F464" s="46" t="n">
        <v>11.57</v>
      </c>
      <c r="G464" s="46" t="n">
        <v>247.55</v>
      </c>
    </row>
    <row r="465">
      <c r="A465" s="49" t="n">
        <v>2398</v>
      </c>
      <c r="B465" s="40" t="inlineStr">
        <is>
          <t>2026-05-25</t>
        </is>
      </c>
      <c r="C465" s="40" t="inlineStr">
        <is>
          <t>M578FC</t>
        </is>
      </c>
      <c r="D465" s="49" t="n">
        <v>108.2</v>
      </c>
      <c r="E465" s="49" t="n">
        <v>137</v>
      </c>
      <c r="F465" s="49" t="n">
        <v>26.58</v>
      </c>
      <c r="G465" s="49" t="n">
        <v>673.12</v>
      </c>
    </row>
    <row r="466">
      <c r="A466" s="46" t="n">
        <v>2433</v>
      </c>
      <c r="B466" s="34" t="inlineStr">
        <is>
          <t>2026-05-29</t>
        </is>
      </c>
      <c r="C466" s="34" t="inlineStr">
        <is>
          <t>P977DG</t>
        </is>
      </c>
      <c r="D466" s="46" t="n">
        <v>81.2</v>
      </c>
      <c r="E466" s="46" t="n">
        <v>98.8</v>
      </c>
      <c r="F466" s="46" t="n">
        <v>21.66</v>
      </c>
      <c r="G466" s="46" t="n">
        <v>411.55</v>
      </c>
    </row>
    <row r="467">
      <c r="A467" s="49" t="n">
        <v>2449</v>
      </c>
      <c r="B467" s="40" t="inlineStr">
        <is>
          <t>2026-06-01</t>
        </is>
      </c>
      <c r="C467" s="40" t="inlineStr">
        <is>
          <t>A359DA</t>
        </is>
      </c>
      <c r="D467" s="49" t="n">
        <v>108.1</v>
      </c>
      <c r="E467" s="49" t="n">
        <v>127.8</v>
      </c>
      <c r="F467" s="49" t="n">
        <v>18.19</v>
      </c>
      <c r="G467" s="49" t="n">
        <v>460.31</v>
      </c>
    </row>
    <row r="468">
      <c r="A468" s="46" t="n">
        <v>2514</v>
      </c>
      <c r="B468" s="34" t="inlineStr">
        <is>
          <t>2026-06-09</t>
        </is>
      </c>
      <c r="C468" s="34" t="inlineStr">
        <is>
          <t>P977DG</t>
        </is>
      </c>
      <c r="D468" s="46" t="n">
        <v>317.2</v>
      </c>
      <c r="E468" s="46" t="n">
        <v>357.8</v>
      </c>
      <c r="F468" s="46" t="n">
        <v>12.81</v>
      </c>
      <c r="G468" s="46" t="n">
        <v>950.71</v>
      </c>
    </row>
    <row r="469">
      <c r="A469" s="49" t="n">
        <v>2532</v>
      </c>
      <c r="B469" s="40" t="inlineStr">
        <is>
          <t>2026-06-10</t>
        </is>
      </c>
      <c r="C469" s="40" t="inlineStr">
        <is>
          <t>A359DA</t>
        </is>
      </c>
      <c r="D469" s="49" t="n">
        <v>148.9</v>
      </c>
      <c r="E469" s="49" t="n">
        <v>182</v>
      </c>
      <c r="F469" s="49" t="n">
        <v>22.26</v>
      </c>
      <c r="G469" s="49" t="n">
        <v>775.4</v>
      </c>
    </row>
    <row r="470">
      <c r="A470" s="46" t="n">
        <v>2552</v>
      </c>
      <c r="B470" s="34" t="inlineStr">
        <is>
          <t>2026-06-12</t>
        </is>
      </c>
      <c r="C470" s="34" t="inlineStr">
        <is>
          <t>K715EH</t>
        </is>
      </c>
      <c r="D470" s="46" t="n">
        <v>109.5</v>
      </c>
      <c r="E470" s="46" t="n">
        <v>125</v>
      </c>
      <c r="F470" s="46" t="n">
        <v>14.16</v>
      </c>
      <c r="G470" s="46" t="n">
        <v>362.84</v>
      </c>
    </row>
    <row r="471">
      <c r="A471" s="49" t="n">
        <v>2554</v>
      </c>
      <c r="B471" s="40" t="inlineStr">
        <is>
          <t>2026-06-13</t>
        </is>
      </c>
      <c r="C471" s="40" t="inlineStr">
        <is>
          <t>K715EH</t>
        </is>
      </c>
      <c r="D471" s="49" t="n">
        <v>306.5</v>
      </c>
      <c r="E471" s="49" t="n">
        <v>330.2</v>
      </c>
      <c r="F471" s="49" t="n">
        <v>7.75</v>
      </c>
      <c r="G471" s="49" t="n">
        <v>555.52</v>
      </c>
    </row>
    <row r="472">
      <c r="A472" s="46" t="n">
        <v>2581</v>
      </c>
      <c r="B472" s="34" t="inlineStr">
        <is>
          <t>2026-06-16</t>
        </is>
      </c>
      <c r="C472" s="34" t="inlineStr">
        <is>
          <t>P962FJ</t>
        </is>
      </c>
      <c r="D472" s="46" t="n">
        <v>54.7</v>
      </c>
      <c r="E472" s="46" t="n">
        <v>62.6</v>
      </c>
      <c r="F472" s="46" t="n">
        <v>14.48</v>
      </c>
      <c r="G472" s="46" t="n">
        <v>185.29</v>
      </c>
    </row>
    <row r="473">
      <c r="A473" s="49" t="n">
        <v>2586</v>
      </c>
      <c r="B473" s="40" t="inlineStr">
        <is>
          <t>2026-06-17</t>
        </is>
      </c>
      <c r="C473" s="40" t="inlineStr">
        <is>
          <t>P977DG</t>
        </is>
      </c>
      <c r="D473" s="49" t="n">
        <v>108.4</v>
      </c>
      <c r="E473" s="49" t="n">
        <v>122.8</v>
      </c>
      <c r="F473" s="49" t="n">
        <v>13.28</v>
      </c>
      <c r="G473" s="49" t="n">
        <v>336.97</v>
      </c>
    </row>
    <row r="474">
      <c r="A474" s="46" t="n">
        <v>2607</v>
      </c>
      <c r="B474" s="34" t="inlineStr">
        <is>
          <t>2026-06-18</t>
        </is>
      </c>
      <c r="C474" s="34" t="inlineStr">
        <is>
          <t>P977DG</t>
        </is>
      </c>
      <c r="D474" s="46" t="n">
        <v>127.5</v>
      </c>
      <c r="E474" s="46" t="n">
        <v>162</v>
      </c>
      <c r="F474" s="46" t="n">
        <v>27.03</v>
      </c>
      <c r="G474" s="46" t="n">
        <v>806.72</v>
      </c>
    </row>
    <row r="475">
      <c r="A475" s="49" t="n">
        <v>2617</v>
      </c>
      <c r="B475" s="40" t="inlineStr">
        <is>
          <t>2026-06-19</t>
        </is>
      </c>
      <c r="C475" s="40" t="inlineStr">
        <is>
          <t>A359DA</t>
        </is>
      </c>
      <c r="D475" s="49" t="n">
        <v>141.9</v>
      </c>
      <c r="E475" s="49" t="n">
        <v>172.7</v>
      </c>
      <c r="F475" s="49" t="n">
        <v>21.74</v>
      </c>
      <c r="G475" s="49" t="n">
        <v>721.71</v>
      </c>
    </row>
    <row r="476">
      <c r="A476" s="46" t="n">
        <v>2629</v>
      </c>
      <c r="B476" s="34" t="inlineStr">
        <is>
          <t>2026-06-22</t>
        </is>
      </c>
      <c r="C476" s="34" t="inlineStr">
        <is>
          <t>M578FC</t>
        </is>
      </c>
      <c r="D476" s="46" t="n">
        <v>326.2</v>
      </c>
      <c r="E476" s="46" t="n">
        <v>383.1</v>
      </c>
      <c r="F476" s="46" t="n">
        <v>17.45</v>
      </c>
      <c r="G476" s="46" t="n">
        <v>1331.87</v>
      </c>
    </row>
    <row r="477">
      <c r="A477" s="49" t="n">
        <v>2656</v>
      </c>
      <c r="B477" s="40" t="inlineStr">
        <is>
          <t>2026-06-24</t>
        </is>
      </c>
      <c r="C477" s="40" t="inlineStr">
        <is>
          <t>P977DG</t>
        </is>
      </c>
      <c r="D477" s="49" t="n">
        <v>350.1</v>
      </c>
      <c r="E477" s="49" t="n">
        <v>410</v>
      </c>
      <c r="F477" s="49" t="n">
        <v>17.1</v>
      </c>
      <c r="G477" s="49" t="n">
        <v>1401.27</v>
      </c>
    </row>
    <row r="478">
      <c r="A478" s="46" t="n">
        <v>2717</v>
      </c>
      <c r="B478" s="34" t="inlineStr">
        <is>
          <t>2026-07-02</t>
        </is>
      </c>
      <c r="C478" s="34" t="inlineStr">
        <is>
          <t>P977DG</t>
        </is>
      </c>
      <c r="D478" s="46" t="n">
        <v>78</v>
      </c>
      <c r="E478" s="46" t="n">
        <v>84.5</v>
      </c>
      <c r="F478" s="46" t="n">
        <v>8.33</v>
      </c>
      <c r="G478" s="46" t="n">
        <v>152.06</v>
      </c>
    </row>
    <row r="479">
      <c r="A479" s="49" t="n">
        <v>2806</v>
      </c>
      <c r="B479" s="40" t="inlineStr">
        <is>
          <t>2026-07-11</t>
        </is>
      </c>
      <c r="C479" s="40" t="inlineStr">
        <is>
          <t>C832JB</t>
        </is>
      </c>
      <c r="D479" s="49" t="n">
        <v>143.5</v>
      </c>
      <c r="E479" s="49" t="n">
        <v>155.7</v>
      </c>
      <c r="F479" s="49" t="n">
        <v>8.48</v>
      </c>
      <c r="G479" s="49" t="n">
        <v>284.66</v>
      </c>
    </row>
    <row r="480">
      <c r="A480" s="46" t="n">
        <v>2807</v>
      </c>
      <c r="B480" s="34" t="inlineStr">
        <is>
          <t>2026-07-11</t>
        </is>
      </c>
      <c r="C480" s="34" t="inlineStr">
        <is>
          <t>M908AB</t>
        </is>
      </c>
      <c r="D480" s="46" t="n">
        <v>101.4</v>
      </c>
      <c r="E480" s="46" t="n">
        <v>117</v>
      </c>
      <c r="F480" s="46" t="n">
        <v>15.38</v>
      </c>
      <c r="G480" s="46" t="n">
        <v>364.93</v>
      </c>
    </row>
    <row r="481">
      <c r="A481" s="49" t="n">
        <v>2811</v>
      </c>
      <c r="B481" s="40" t="inlineStr">
        <is>
          <t>2026-07-13</t>
        </is>
      </c>
      <c r="C481" s="40" t="inlineStr">
        <is>
          <t>M908AB</t>
        </is>
      </c>
      <c r="D481" s="49" t="n">
        <v>124</v>
      </c>
      <c r="E481" s="49" t="n">
        <v>140.8</v>
      </c>
      <c r="F481" s="49" t="n">
        <v>13.59</v>
      </c>
      <c r="G481" s="49" t="n">
        <v>394.29</v>
      </c>
    </row>
    <row r="482">
      <c r="A482" s="46" t="n">
        <v>2818</v>
      </c>
      <c r="B482" s="34" t="inlineStr">
        <is>
          <t>2026-07-13</t>
        </is>
      </c>
      <c r="C482" s="34" t="inlineStr">
        <is>
          <t>T859HH</t>
        </is>
      </c>
      <c r="D482" s="46" t="n">
        <v>75.2</v>
      </c>
      <c r="E482" s="46" t="n">
        <v>95.7</v>
      </c>
      <c r="F482" s="46" t="n">
        <v>27.22</v>
      </c>
      <c r="G482" s="46" t="n">
        <v>479.08</v>
      </c>
    </row>
    <row r="483">
      <c r="A483" s="49" t="n">
        <v>2927</v>
      </c>
      <c r="B483" s="40" t="inlineStr">
        <is>
          <t>2026-07-24</t>
        </is>
      </c>
      <c r="C483" s="40" t="inlineStr">
        <is>
          <t>T859HH</t>
        </is>
      </c>
      <c r="D483" s="49" t="n">
        <v>66.90000000000001</v>
      </c>
      <c r="E483" s="49" t="n">
        <v>73</v>
      </c>
      <c r="F483" s="49" t="n">
        <v>9.18</v>
      </c>
      <c r="G483" s="49" t="n">
        <v>143.65</v>
      </c>
    </row>
    <row r="484">
      <c r="A484" s="46" t="n">
        <v>2958</v>
      </c>
      <c r="B484" s="34" t="inlineStr">
        <is>
          <t>2026-07-28</t>
        </is>
      </c>
      <c r="C484" s="34" t="inlineStr">
        <is>
          <t>N558HD</t>
        </is>
      </c>
      <c r="D484" s="46" t="n">
        <v>47.7</v>
      </c>
      <c r="E484" s="46" t="n">
        <v>52.5</v>
      </c>
      <c r="F484" s="46" t="n">
        <v>10.05</v>
      </c>
      <c r="G484" s="46" t="n">
        <v>112.2</v>
      </c>
    </row>
    <row r="485">
      <c r="A485" s="49" t="n">
        <v>2995</v>
      </c>
      <c r="B485" s="40" t="inlineStr">
        <is>
          <t>2026-08-01</t>
        </is>
      </c>
      <c r="C485" s="40" t="inlineStr">
        <is>
          <t>C832JB</t>
        </is>
      </c>
      <c r="D485" s="49" t="n">
        <v>145</v>
      </c>
      <c r="E485" s="49" t="n">
        <v>160.3</v>
      </c>
      <c r="F485" s="49" t="n">
        <v>10.55</v>
      </c>
      <c r="G485" s="49" t="n">
        <v>357.9</v>
      </c>
    </row>
    <row r="486">
      <c r="A486" s="46" t="n">
        <v>3028</v>
      </c>
      <c r="B486" s="34" t="inlineStr">
        <is>
          <t>2026-08-05</t>
        </is>
      </c>
      <c r="C486" s="34" t="inlineStr">
        <is>
          <t>P962FJ</t>
        </is>
      </c>
      <c r="D486" s="46" t="n">
        <v>95.09999999999999</v>
      </c>
      <c r="E486" s="46" t="n">
        <v>107.5</v>
      </c>
      <c r="F486" s="46" t="n">
        <v>13.1</v>
      </c>
      <c r="G486" s="46" t="n">
        <v>291.28</v>
      </c>
    </row>
    <row r="487">
      <c r="A487" s="49" t="n">
        <v>3029</v>
      </c>
      <c r="B487" s="40" t="inlineStr">
        <is>
          <t>2026-08-06</t>
        </is>
      </c>
      <c r="C487" s="40" t="inlineStr">
        <is>
          <t>N296BB</t>
        </is>
      </c>
      <c r="D487" s="49" t="n">
        <v>349.4</v>
      </c>
      <c r="E487" s="49" t="n">
        <v>444.3</v>
      </c>
      <c r="F487" s="49" t="n">
        <v>27.18</v>
      </c>
      <c r="G487" s="49" t="n">
        <v>2221.7</v>
      </c>
    </row>
    <row r="488">
      <c r="A488" s="46" t="n">
        <v>3094</v>
      </c>
      <c r="B488" s="34" t="inlineStr">
        <is>
          <t>2026-08-13</t>
        </is>
      </c>
      <c r="C488" s="34" t="inlineStr">
        <is>
          <t>P962FJ</t>
        </is>
      </c>
      <c r="D488" s="46" t="n">
        <v>141.6</v>
      </c>
      <c r="E488" s="46" t="n">
        <v>177.1</v>
      </c>
      <c r="F488" s="46" t="n">
        <v>25.09</v>
      </c>
      <c r="G488" s="46" t="n">
        <v>831.14</v>
      </c>
    </row>
    <row r="489">
      <c r="A489" s="49" t="n">
        <v>3121</v>
      </c>
      <c r="B489" s="40" t="inlineStr">
        <is>
          <t>2026-08-15</t>
        </is>
      </c>
      <c r="C489" s="40" t="inlineStr">
        <is>
          <t>T859HH</t>
        </is>
      </c>
      <c r="D489" s="49" t="n">
        <v>51.1</v>
      </c>
      <c r="E489" s="49" t="n">
        <v>60.9</v>
      </c>
      <c r="F489" s="49" t="n">
        <v>19.26</v>
      </c>
      <c r="G489" s="49" t="n">
        <v>230.11</v>
      </c>
    </row>
    <row r="490">
      <c r="A490" s="46" t="n">
        <v>3163</v>
      </c>
      <c r="B490" s="34" t="inlineStr">
        <is>
          <t>2026-08-20</t>
        </is>
      </c>
      <c r="C490" s="34" t="inlineStr">
        <is>
          <t>M908AB</t>
        </is>
      </c>
      <c r="D490" s="46" t="n">
        <v>158</v>
      </c>
      <c r="E490" s="46" t="n">
        <v>186.1</v>
      </c>
      <c r="F490" s="46" t="n">
        <v>17.82</v>
      </c>
      <c r="G490" s="46" t="n">
        <v>658.65</v>
      </c>
    </row>
    <row r="491">
      <c r="A491" s="49" t="n">
        <v>3204</v>
      </c>
      <c r="B491" s="40" t="inlineStr">
        <is>
          <t>2026-08-25</t>
        </is>
      </c>
      <c r="C491" s="40" t="inlineStr">
        <is>
          <t>P977DG</t>
        </is>
      </c>
      <c r="D491" s="49" t="n">
        <v>162.3</v>
      </c>
      <c r="E491" s="49" t="n">
        <v>193</v>
      </c>
      <c r="F491" s="49" t="n">
        <v>18.93</v>
      </c>
      <c r="G491" s="49" t="n">
        <v>718.73</v>
      </c>
    </row>
    <row r="492">
      <c r="A492" s="46" t="n">
        <v>3216</v>
      </c>
      <c r="B492" s="34" t="inlineStr">
        <is>
          <t>2026-08-26</t>
        </is>
      </c>
      <c r="C492" s="34" t="inlineStr">
        <is>
          <t>A529BD</t>
        </is>
      </c>
      <c r="D492" s="46" t="n">
        <v>70.2</v>
      </c>
      <c r="E492" s="46" t="n">
        <v>83.8</v>
      </c>
      <c r="F492" s="46" t="n">
        <v>19.46</v>
      </c>
      <c r="G492" s="46" t="n">
        <v>319.39</v>
      </c>
    </row>
    <row r="493">
      <c r="A493" s="49" t="n">
        <v>3231</v>
      </c>
      <c r="B493" s="40" t="inlineStr">
        <is>
          <t>2026-08-27</t>
        </is>
      </c>
      <c r="C493" s="40" t="inlineStr">
        <is>
          <t>N558HD</t>
        </is>
      </c>
      <c r="D493" s="49" t="n">
        <v>102.2</v>
      </c>
      <c r="E493" s="49" t="n">
        <v>120</v>
      </c>
      <c r="F493" s="49" t="n">
        <v>17.39</v>
      </c>
      <c r="G493" s="49" t="n">
        <v>416.04</v>
      </c>
    </row>
    <row r="494">
      <c r="A494" s="46" t="n">
        <v>3302</v>
      </c>
      <c r="B494" s="34" t="inlineStr">
        <is>
          <t>2026-09-04</t>
        </is>
      </c>
      <c r="C494" s="34" t="inlineStr">
        <is>
          <t>K715EH</t>
        </is>
      </c>
      <c r="D494" s="46" t="n">
        <v>296.8</v>
      </c>
      <c r="E494" s="46" t="n">
        <v>344.5</v>
      </c>
      <c r="F494" s="46" t="n">
        <v>16.06</v>
      </c>
      <c r="G494" s="46" t="n">
        <v>1115.72</v>
      </c>
    </row>
    <row r="495">
      <c r="A495" s="49" t="n">
        <v>3308</v>
      </c>
      <c r="B495" s="40" t="inlineStr">
        <is>
          <t>2026-09-04</t>
        </is>
      </c>
      <c r="C495" s="40" t="inlineStr">
        <is>
          <t>P246JJ</t>
        </is>
      </c>
      <c r="D495" s="49" t="n">
        <v>83.09999999999999</v>
      </c>
      <c r="E495" s="49" t="n">
        <v>104.7</v>
      </c>
      <c r="F495" s="49" t="n">
        <v>26.02</v>
      </c>
      <c r="G495" s="49" t="n">
        <v>505.91</v>
      </c>
    </row>
    <row r="496">
      <c r="A496" s="46" t="n">
        <v>3330</v>
      </c>
      <c r="B496" s="34" t="inlineStr">
        <is>
          <t>2026-09-07</t>
        </is>
      </c>
      <c r="C496" s="34" t="inlineStr">
        <is>
          <t>C832JB</t>
        </is>
      </c>
      <c r="D496" s="46" t="n">
        <v>62.7</v>
      </c>
      <c r="E496" s="46" t="n">
        <v>76.90000000000001</v>
      </c>
      <c r="F496" s="46" t="n">
        <v>22.68</v>
      </c>
      <c r="G496" s="46" t="n">
        <v>332.63</v>
      </c>
    </row>
    <row r="497">
      <c r="A497" s="49" t="n">
        <v>3348</v>
      </c>
      <c r="B497" s="40" t="inlineStr">
        <is>
          <t>2026-09-10</t>
        </is>
      </c>
      <c r="C497" s="40" t="inlineStr">
        <is>
          <t>M578FC</t>
        </is>
      </c>
      <c r="D497" s="49" t="n">
        <v>114.2</v>
      </c>
      <c r="E497" s="49" t="n">
        <v>136.8</v>
      </c>
      <c r="F497" s="49" t="n">
        <v>19.84</v>
      </c>
      <c r="G497" s="49" t="n">
        <v>529.87</v>
      </c>
    </row>
    <row r="498">
      <c r="A498" s="46" t="n">
        <v>3377</v>
      </c>
      <c r="B498" s="34" t="inlineStr">
        <is>
          <t>2026-09-14</t>
        </is>
      </c>
      <c r="C498" s="34" t="inlineStr">
        <is>
          <t>A529BD</t>
        </is>
      </c>
      <c r="D498" s="46" t="n">
        <v>44.2</v>
      </c>
      <c r="E498" s="46" t="n">
        <v>54.7</v>
      </c>
      <c r="F498" s="46" t="n">
        <v>23.84</v>
      </c>
      <c r="G498" s="46" t="n">
        <v>246.4</v>
      </c>
    </row>
    <row r="499">
      <c r="A499" s="49" t="n">
        <v>3400</v>
      </c>
      <c r="B499" s="40" t="inlineStr">
        <is>
          <t>2026-09-16</t>
        </is>
      </c>
      <c r="C499" s="40" t="inlineStr">
        <is>
          <t>T859HH</t>
        </is>
      </c>
      <c r="D499" s="49" t="n">
        <v>125.7</v>
      </c>
      <c r="E499" s="49" t="n">
        <v>156.9</v>
      </c>
      <c r="F499" s="49" t="n">
        <v>24.78</v>
      </c>
      <c r="G499" s="49" t="n">
        <v>729.05</v>
      </c>
    </row>
    <row r="500">
      <c r="A500" s="46" t="n">
        <v>3455</v>
      </c>
      <c r="B500" s="34" t="inlineStr">
        <is>
          <t>2026-09-22</t>
        </is>
      </c>
      <c r="C500" s="34" t="inlineStr">
        <is>
          <t>C832JB</t>
        </is>
      </c>
      <c r="D500" s="46" t="n">
        <v>326</v>
      </c>
      <c r="E500" s="46" t="n">
        <v>364.3</v>
      </c>
      <c r="F500" s="46" t="n">
        <v>11.74</v>
      </c>
      <c r="G500" s="46" t="n">
        <v>895.64</v>
      </c>
    </row>
    <row r="501">
      <c r="A501" s="49" t="n">
        <v>3470</v>
      </c>
      <c r="B501" s="40" t="inlineStr">
        <is>
          <t>2026-09-23</t>
        </is>
      </c>
      <c r="C501" s="40" t="inlineStr">
        <is>
          <t>C832JB</t>
        </is>
      </c>
      <c r="D501" s="49" t="n">
        <v>124.1</v>
      </c>
      <c r="E501" s="49" t="n">
        <v>138.6</v>
      </c>
      <c r="F501" s="49" t="n">
        <v>11.71</v>
      </c>
      <c r="G501" s="49" t="n">
        <v>339.88</v>
      </c>
    </row>
    <row r="502">
      <c r="A502" s="46" t="n">
        <v>3496</v>
      </c>
      <c r="B502" s="34" t="inlineStr">
        <is>
          <t>2026-09-26</t>
        </is>
      </c>
      <c r="C502" s="34" t="inlineStr">
        <is>
          <t>C446BH</t>
        </is>
      </c>
      <c r="D502" s="46" t="n">
        <v>289.2</v>
      </c>
      <c r="E502" s="46" t="n">
        <v>314.8</v>
      </c>
      <c r="F502" s="46" t="n">
        <v>8.859999999999999</v>
      </c>
      <c r="G502" s="46" t="n">
        <v>599.3</v>
      </c>
    </row>
    <row r="503">
      <c r="A503" s="49" t="n">
        <v>3506</v>
      </c>
      <c r="B503" s="40" t="inlineStr">
        <is>
          <t>2026-09-28</t>
        </is>
      </c>
      <c r="C503" s="40" t="inlineStr">
        <is>
          <t>M908AB</t>
        </is>
      </c>
      <c r="D503" s="49" t="n">
        <v>272.8</v>
      </c>
      <c r="E503" s="49" t="n">
        <v>344.4</v>
      </c>
      <c r="F503" s="49" t="n">
        <v>26.27</v>
      </c>
      <c r="G503" s="49" t="n">
        <v>1676.45</v>
      </c>
    </row>
    <row r="506" ht="22" customHeight="1">
      <c r="A506" s="55" t="inlineStr">
        <is>
          <t>T-08 · Полнота учёта рейса · отклонений: 19 из 3534 проверенных</t>
        </is>
      </c>
    </row>
    <row r="507" ht="30" customHeight="1">
      <c r="A507" s="33" t="inlineStr">
        <is>
          <t>Рейс</t>
        </is>
      </c>
      <c r="B507" s="33" t="inlineStr">
        <is>
          <t>Дата</t>
        </is>
      </c>
      <c r="C507" s="33" t="inlineStr">
        <is>
          <t>Статус</t>
        </is>
      </c>
      <c r="D507" s="33" t="inlineStr">
        <is>
          <t>Позиций груза</t>
        </is>
      </c>
      <c r="E507" s="33" t="inlineStr">
        <is>
          <t>Чего не хватает</t>
        </is>
      </c>
    </row>
    <row r="508">
      <c r="A508" s="46" t="n">
        <v>79</v>
      </c>
      <c r="B508" s="34" t="inlineStr">
        <is>
          <t>2025-09-09</t>
        </is>
      </c>
      <c r="C508" s="34" t="inlineStr">
        <is>
          <t>APPROVED</t>
        </is>
      </c>
      <c r="D508" s="46" t="n">
        <v>0</v>
      </c>
      <c r="E508" s="34" t="inlineStr">
        <is>
          <t>нет ни одной позиции груза; нет начисления зарплаты</t>
        </is>
      </c>
    </row>
    <row r="509">
      <c r="A509" s="49" t="n">
        <v>154</v>
      </c>
      <c r="B509" s="40" t="inlineStr">
        <is>
          <t>2025-09-18</t>
        </is>
      </c>
      <c r="C509" s="40" t="inlineStr">
        <is>
          <t>APPROVED</t>
        </is>
      </c>
      <c r="D509" s="49" t="n">
        <v>0</v>
      </c>
      <c r="E509" s="40" t="inlineStr">
        <is>
          <t>нет ни одной позиции груза; нет начисления зарплаты</t>
        </is>
      </c>
    </row>
    <row r="510">
      <c r="A510" s="46" t="n">
        <v>364</v>
      </c>
      <c r="B510" s="34" t="inlineStr">
        <is>
          <t>2025-10-11</t>
        </is>
      </c>
      <c r="C510" s="34" t="inlineStr">
        <is>
          <t>APPROVED</t>
        </is>
      </c>
      <c r="D510" s="46" t="n">
        <v>0</v>
      </c>
      <c r="E510" s="34" t="inlineStr">
        <is>
          <t>нет ни одной позиции груза; нет начисления зарплаты</t>
        </is>
      </c>
    </row>
    <row r="511">
      <c r="A511" s="49" t="n">
        <v>475</v>
      </c>
      <c r="B511" s="40" t="inlineStr">
        <is>
          <t>2025-10-24</t>
        </is>
      </c>
      <c r="C511" s="40" t="inlineStr">
        <is>
          <t>APPROVED</t>
        </is>
      </c>
      <c r="D511" s="49" t="n">
        <v>0</v>
      </c>
      <c r="E511" s="40" t="inlineStr">
        <is>
          <t>нет ни одной позиции груза; нет начисления зарплаты</t>
        </is>
      </c>
    </row>
    <row r="512">
      <c r="A512" s="46" t="n">
        <v>626</v>
      </c>
      <c r="B512" s="34" t="inlineStr">
        <is>
          <t>2025-11-12</t>
        </is>
      </c>
      <c r="C512" s="34" t="inlineStr">
        <is>
          <t>APPROVED</t>
        </is>
      </c>
      <c r="D512" s="46" t="n">
        <v>0</v>
      </c>
      <c r="E512" s="34" t="inlineStr">
        <is>
          <t>нет ни одной позиции груза; нет начисления зарплаты</t>
        </is>
      </c>
    </row>
    <row r="513">
      <c r="A513" s="49" t="n">
        <v>902</v>
      </c>
      <c r="B513" s="40" t="inlineStr">
        <is>
          <t>2025-12-13</t>
        </is>
      </c>
      <c r="C513" s="40" t="inlineStr">
        <is>
          <t>APPROVED</t>
        </is>
      </c>
      <c r="D513" s="49" t="n">
        <v>0</v>
      </c>
      <c r="E513" s="40" t="inlineStr">
        <is>
          <t>нет ни одной позиции груза; нет начисления зарплаты</t>
        </is>
      </c>
    </row>
    <row r="514">
      <c r="A514" s="46" t="n">
        <v>1149</v>
      </c>
      <c r="B514" s="34" t="inlineStr">
        <is>
          <t>2026-01-09</t>
        </is>
      </c>
      <c r="C514" s="34" t="inlineStr">
        <is>
          <t>APPROVED</t>
        </is>
      </c>
      <c r="D514" s="46" t="n">
        <v>0</v>
      </c>
      <c r="E514" s="34" t="inlineStr">
        <is>
          <t>нет ни одной позиции груза; нет начисления зарплаты</t>
        </is>
      </c>
    </row>
    <row r="515">
      <c r="A515" s="49" t="n">
        <v>1593</v>
      </c>
      <c r="B515" s="40" t="inlineStr">
        <is>
          <t>2026-02-26</t>
        </is>
      </c>
      <c r="C515" s="40" t="inlineStr">
        <is>
          <t>APPROVED</t>
        </is>
      </c>
      <c r="D515" s="49" t="n">
        <v>0</v>
      </c>
      <c r="E515" s="40" t="inlineStr">
        <is>
          <t>нет ни одной позиции груза; нет начисления зарплаты</t>
        </is>
      </c>
    </row>
    <row r="516">
      <c r="A516" s="46" t="n">
        <v>1848</v>
      </c>
      <c r="B516" s="34" t="inlineStr">
        <is>
          <t>2026-03-26</t>
        </is>
      </c>
      <c r="C516" s="34" t="inlineStr">
        <is>
          <t>APPROVED</t>
        </is>
      </c>
      <c r="D516" s="46" t="n">
        <v>0</v>
      </c>
      <c r="E516" s="34" t="inlineStr">
        <is>
          <t>нет ни одной позиции груза; нет начисления зарплаты</t>
        </is>
      </c>
    </row>
    <row r="517">
      <c r="A517" s="49" t="n">
        <v>2028</v>
      </c>
      <c r="B517" s="40" t="inlineStr">
        <is>
          <t>2026-04-15</t>
        </is>
      </c>
      <c r="C517" s="40" t="inlineStr">
        <is>
          <t>APPROVED</t>
        </is>
      </c>
      <c r="D517" s="49" t="n">
        <v>0</v>
      </c>
      <c r="E517" s="40" t="inlineStr">
        <is>
          <t>нет ни одной позиции груза; нет начисления зарплаты</t>
        </is>
      </c>
    </row>
    <row r="518">
      <c r="A518" s="46" t="n">
        <v>2070</v>
      </c>
      <c r="B518" s="34" t="inlineStr">
        <is>
          <t>2026-04-20</t>
        </is>
      </c>
      <c r="C518" s="34" t="inlineStr">
        <is>
          <t>APPROVED</t>
        </is>
      </c>
      <c r="D518" s="46" t="n">
        <v>0</v>
      </c>
      <c r="E518" s="34" t="inlineStr">
        <is>
          <t>нет ни одной позиции груза; нет начисления зарплаты</t>
        </is>
      </c>
    </row>
    <row r="519">
      <c r="A519" s="49" t="n">
        <v>2098</v>
      </c>
      <c r="B519" s="40" t="inlineStr">
        <is>
          <t>2026-04-22</t>
        </is>
      </c>
      <c r="C519" s="40" t="inlineStr">
        <is>
          <t>APPROVED</t>
        </is>
      </c>
      <c r="D519" s="49" t="n">
        <v>0</v>
      </c>
      <c r="E519" s="40" t="inlineStr">
        <is>
          <t>нет ни одной позиции груза; нет начисления зарплаты</t>
        </is>
      </c>
    </row>
    <row r="520">
      <c r="A520" s="46" t="n">
        <v>2137</v>
      </c>
      <c r="B520" s="34" t="inlineStr">
        <is>
          <t>2026-04-27</t>
        </is>
      </c>
      <c r="C520" s="34" t="inlineStr">
        <is>
          <t>APPROVED</t>
        </is>
      </c>
      <c r="D520" s="46" t="n">
        <v>0</v>
      </c>
      <c r="E520" s="34" t="inlineStr">
        <is>
          <t>нет ни одной позиции груза; нет начисления зарплаты</t>
        </is>
      </c>
    </row>
    <row r="521">
      <c r="A521" s="49" t="n">
        <v>2232</v>
      </c>
      <c r="B521" s="40" t="inlineStr">
        <is>
          <t>2026-05-07</t>
        </is>
      </c>
      <c r="C521" s="40" t="inlineStr">
        <is>
          <t>APPROVED</t>
        </is>
      </c>
      <c r="D521" s="49" t="n">
        <v>0</v>
      </c>
      <c r="E521" s="40" t="inlineStr">
        <is>
          <t>нет ни одной позиции груза; нет начисления зарплаты</t>
        </is>
      </c>
    </row>
    <row r="522">
      <c r="A522" s="46" t="n">
        <v>2267</v>
      </c>
      <c r="B522" s="34" t="inlineStr">
        <is>
          <t>2026-05-12</t>
        </is>
      </c>
      <c r="C522" s="34" t="inlineStr">
        <is>
          <t>APPROVED</t>
        </is>
      </c>
      <c r="D522" s="46" t="n">
        <v>0</v>
      </c>
      <c r="E522" s="34" t="inlineStr">
        <is>
          <t>нет ни одной позиции груза; нет начисления зарплаты</t>
        </is>
      </c>
    </row>
    <row r="523">
      <c r="A523" s="49" t="n">
        <v>2331</v>
      </c>
      <c r="B523" s="40" t="inlineStr">
        <is>
          <t>2026-05-19</t>
        </is>
      </c>
      <c r="C523" s="40" t="inlineStr">
        <is>
          <t>APPROVED</t>
        </is>
      </c>
      <c r="D523" s="49" t="n">
        <v>0</v>
      </c>
      <c r="E523" s="40" t="inlineStr">
        <is>
          <t>нет ни одной позиции груза; нет начисления зарплаты</t>
        </is>
      </c>
    </row>
    <row r="524">
      <c r="A524" s="46" t="n">
        <v>2368</v>
      </c>
      <c r="B524" s="34" t="inlineStr">
        <is>
          <t>2026-05-22</t>
        </is>
      </c>
      <c r="C524" s="34" t="inlineStr">
        <is>
          <t>APPROVED</t>
        </is>
      </c>
      <c r="D524" s="46" t="n">
        <v>0</v>
      </c>
      <c r="E524" s="34" t="inlineStr">
        <is>
          <t>нет ни одной позиции груза; нет начисления зарплаты</t>
        </is>
      </c>
    </row>
    <row r="525">
      <c r="A525" s="49" t="n">
        <v>2474</v>
      </c>
      <c r="B525" s="40" t="inlineStr">
        <is>
          <t>2026-06-04</t>
        </is>
      </c>
      <c r="C525" s="40" t="inlineStr">
        <is>
          <t>APPROVED</t>
        </is>
      </c>
      <c r="D525" s="49" t="n">
        <v>0</v>
      </c>
      <c r="E525" s="40" t="inlineStr">
        <is>
          <t>нет ни одной позиции груза; нет начисления зарплаты</t>
        </is>
      </c>
    </row>
    <row r="526">
      <c r="A526" s="46" t="n">
        <v>3316</v>
      </c>
      <c r="B526" s="34" t="inlineStr">
        <is>
          <t>2026-09-05</t>
        </is>
      </c>
      <c r="C526" s="34" t="inlineStr">
        <is>
          <t>APPROVED</t>
        </is>
      </c>
      <c r="D526" s="46" t="n">
        <v>0</v>
      </c>
      <c r="E526" s="34" t="inlineStr">
        <is>
          <t>нет ни одной позиции груза; нет начисления зарплаты</t>
        </is>
      </c>
    </row>
    <row r="529" ht="22" customHeight="1">
      <c r="A529" s="55" t="inlineStr">
        <is>
          <t>T-09 · Хронология исполнения рейса · отклонений: 35 из 3534 проверенных</t>
        </is>
      </c>
    </row>
    <row r="530" ht="30" customHeight="1">
      <c r="A530" s="33" t="inlineStr">
        <is>
          <t>Рейс</t>
        </is>
      </c>
      <c r="B530" s="33" t="inlineStr">
        <is>
          <t>Из статуса</t>
        </is>
      </c>
      <c r="C530" s="33" t="inlineStr">
        <is>
          <t>В статус</t>
        </is>
      </c>
      <c r="D530" s="33" t="inlineStr">
        <is>
          <t>Характер отклонения</t>
        </is>
      </c>
    </row>
    <row r="531">
      <c r="A531" s="46" t="n">
        <v>204</v>
      </c>
      <c r="B531" s="34" t="inlineStr">
        <is>
          <t>LOADED</t>
        </is>
      </c>
      <c r="C531" s="34" t="inlineStr">
        <is>
          <t>DELIVERED</t>
        </is>
      </c>
      <c r="D531" s="34" t="inlineStr">
        <is>
          <t>Пропущена обязательная стадия</t>
        </is>
      </c>
    </row>
    <row r="532">
      <c r="A532" s="49" t="n">
        <v>247</v>
      </c>
      <c r="B532" s="40" t="inlineStr">
        <is>
          <t>LOADED</t>
        </is>
      </c>
      <c r="C532" s="40" t="inlineStr">
        <is>
          <t>DELIVERED</t>
        </is>
      </c>
      <c r="D532" s="40" t="inlineStr">
        <is>
          <t>Пропущена обязательная стадия</t>
        </is>
      </c>
    </row>
    <row r="533">
      <c r="A533" s="46" t="n">
        <v>453</v>
      </c>
      <c r="B533" s="34" t="inlineStr">
        <is>
          <t>LOADED</t>
        </is>
      </c>
      <c r="C533" s="34" t="inlineStr">
        <is>
          <t>DELIVERED</t>
        </is>
      </c>
      <c r="D533" s="34" t="inlineStr">
        <is>
          <t>Пропущена обязательная стадия</t>
        </is>
      </c>
    </row>
    <row r="534">
      <c r="A534" s="49" t="n">
        <v>596</v>
      </c>
      <c r="B534" s="40" t="inlineStr">
        <is>
          <t>LOADED</t>
        </is>
      </c>
      <c r="C534" s="40" t="inlineStr">
        <is>
          <t>DELIVERED</t>
        </is>
      </c>
      <c r="D534" s="40" t="inlineStr">
        <is>
          <t>Пропущена обязательная стадия</t>
        </is>
      </c>
    </row>
    <row r="535">
      <c r="A535" s="46" t="n">
        <v>645</v>
      </c>
      <c r="B535" s="34" t="inlineStr">
        <is>
          <t>LOADED</t>
        </is>
      </c>
      <c r="C535" s="34" t="inlineStr">
        <is>
          <t>DELIVERED</t>
        </is>
      </c>
      <c r="D535" s="34" t="inlineStr">
        <is>
          <t>Пропущена обязательная стадия</t>
        </is>
      </c>
    </row>
    <row r="536">
      <c r="A536" s="49" t="n">
        <v>684</v>
      </c>
      <c r="B536" s="40" t="inlineStr">
        <is>
          <t>LOADED</t>
        </is>
      </c>
      <c r="C536" s="40" t="inlineStr">
        <is>
          <t>DELIVERED</t>
        </is>
      </c>
      <c r="D536" s="40" t="inlineStr">
        <is>
          <t>Пропущена обязательная стадия</t>
        </is>
      </c>
    </row>
    <row r="537">
      <c r="A537" s="46" t="n">
        <v>707</v>
      </c>
      <c r="B537" s="34" t="inlineStr">
        <is>
          <t>LOADED</t>
        </is>
      </c>
      <c r="C537" s="34" t="inlineStr">
        <is>
          <t>DELIVERED</t>
        </is>
      </c>
      <c r="D537" s="34" t="inlineStr">
        <is>
          <t>Пропущена обязательная стадия</t>
        </is>
      </c>
    </row>
    <row r="538">
      <c r="A538" s="49" t="n">
        <v>716</v>
      </c>
      <c r="B538" s="40" t="inlineStr">
        <is>
          <t>LOADED</t>
        </is>
      </c>
      <c r="C538" s="40" t="inlineStr">
        <is>
          <t>DELIVERED</t>
        </is>
      </c>
      <c r="D538" s="40" t="inlineStr">
        <is>
          <t>Пропущена обязательная стадия</t>
        </is>
      </c>
    </row>
    <row r="539">
      <c r="A539" s="46" t="n">
        <v>789</v>
      </c>
      <c r="B539" s="34" t="inlineStr">
        <is>
          <t>LOADED</t>
        </is>
      </c>
      <c r="C539" s="34" t="inlineStr">
        <is>
          <t>DELIVERED</t>
        </is>
      </c>
      <c r="D539" s="34" t="inlineStr">
        <is>
          <t>Пропущена обязательная стадия</t>
        </is>
      </c>
    </row>
    <row r="540">
      <c r="A540" s="49" t="n">
        <v>808</v>
      </c>
      <c r="B540" s="40" t="inlineStr">
        <is>
          <t>LOADED</t>
        </is>
      </c>
      <c r="C540" s="40" t="inlineStr">
        <is>
          <t>DELIVERED</t>
        </is>
      </c>
      <c r="D540" s="40" t="inlineStr">
        <is>
          <t>Пропущена обязательная стадия</t>
        </is>
      </c>
    </row>
    <row r="541">
      <c r="A541" s="46" t="n">
        <v>814</v>
      </c>
      <c r="B541" s="34" t="inlineStr">
        <is>
          <t>LOADED</t>
        </is>
      </c>
      <c r="C541" s="34" t="inlineStr">
        <is>
          <t>DELIVERED</t>
        </is>
      </c>
      <c r="D541" s="34" t="inlineStr">
        <is>
          <t>Пропущена обязательная стадия</t>
        </is>
      </c>
    </row>
    <row r="542">
      <c r="A542" s="49" t="n">
        <v>832</v>
      </c>
      <c r="B542" s="40" t="inlineStr">
        <is>
          <t>LOADED</t>
        </is>
      </c>
      <c r="C542" s="40" t="inlineStr">
        <is>
          <t>DELIVERED</t>
        </is>
      </c>
      <c r="D542" s="40" t="inlineStr">
        <is>
          <t>Пропущена обязательная стадия</t>
        </is>
      </c>
    </row>
    <row r="543">
      <c r="A543" s="46" t="n">
        <v>931</v>
      </c>
      <c r="B543" s="34" t="inlineStr">
        <is>
          <t>LOADED</t>
        </is>
      </c>
      <c r="C543" s="34" t="inlineStr">
        <is>
          <t>DELIVERED</t>
        </is>
      </c>
      <c r="D543" s="34" t="inlineStr">
        <is>
          <t>Пропущена обязательная стадия</t>
        </is>
      </c>
    </row>
    <row r="544">
      <c r="A544" s="49" t="n">
        <v>958</v>
      </c>
      <c r="B544" s="40" t="inlineStr">
        <is>
          <t>LOADED</t>
        </is>
      </c>
      <c r="C544" s="40" t="inlineStr">
        <is>
          <t>DELIVERED</t>
        </is>
      </c>
      <c r="D544" s="40" t="inlineStr">
        <is>
          <t>Пропущена обязательная стадия</t>
        </is>
      </c>
    </row>
    <row r="545">
      <c r="A545" s="46" t="n">
        <v>997</v>
      </c>
      <c r="B545" s="34" t="inlineStr">
        <is>
          <t>LOADED</t>
        </is>
      </c>
      <c r="C545" s="34" t="inlineStr">
        <is>
          <t>DELIVERED</t>
        </is>
      </c>
      <c r="D545" s="34" t="inlineStr">
        <is>
          <t>Пропущена обязательная стадия</t>
        </is>
      </c>
    </row>
    <row r="546">
      <c r="A546" s="49" t="n">
        <v>1298</v>
      </c>
      <c r="B546" s="40" t="inlineStr">
        <is>
          <t>LOADED</t>
        </is>
      </c>
      <c r="C546" s="40" t="inlineStr">
        <is>
          <t>DELIVERED</t>
        </is>
      </c>
      <c r="D546" s="40" t="inlineStr">
        <is>
          <t>Пропущена обязательная стадия</t>
        </is>
      </c>
    </row>
    <row r="547">
      <c r="A547" s="46" t="n">
        <v>1343</v>
      </c>
      <c r="B547" s="34" t="inlineStr">
        <is>
          <t>LOADED</t>
        </is>
      </c>
      <c r="C547" s="34" t="inlineStr">
        <is>
          <t>DELIVERED</t>
        </is>
      </c>
      <c r="D547" s="34" t="inlineStr">
        <is>
          <t>Пропущена обязательная стадия</t>
        </is>
      </c>
    </row>
    <row r="548">
      <c r="A548" s="49" t="n">
        <v>1432</v>
      </c>
      <c r="B548" s="40" t="inlineStr">
        <is>
          <t>LOADED</t>
        </is>
      </c>
      <c r="C548" s="40" t="inlineStr">
        <is>
          <t>DELIVERED</t>
        </is>
      </c>
      <c r="D548" s="40" t="inlineStr">
        <is>
          <t>Пропущена обязательная стадия</t>
        </is>
      </c>
    </row>
    <row r="549">
      <c r="A549" s="46" t="n">
        <v>1672</v>
      </c>
      <c r="B549" s="34" t="inlineStr">
        <is>
          <t>LOADED</t>
        </is>
      </c>
      <c r="C549" s="34" t="inlineStr">
        <is>
          <t>DELIVERED</t>
        </is>
      </c>
      <c r="D549" s="34" t="inlineStr">
        <is>
          <t>Пропущена обязательная стадия</t>
        </is>
      </c>
    </row>
    <row r="550">
      <c r="A550" s="49" t="n">
        <v>1707</v>
      </c>
      <c r="B550" s="40" t="inlineStr">
        <is>
          <t>LOADED</t>
        </is>
      </c>
      <c r="C550" s="40" t="inlineStr">
        <is>
          <t>DELIVERED</t>
        </is>
      </c>
      <c r="D550" s="40" t="inlineStr">
        <is>
          <t>Пропущена обязательная стадия</t>
        </is>
      </c>
    </row>
    <row r="551">
      <c r="A551" s="46" t="n">
        <v>1763</v>
      </c>
      <c r="B551" s="34" t="inlineStr">
        <is>
          <t>LOADED</t>
        </is>
      </c>
      <c r="C551" s="34" t="inlineStr">
        <is>
          <t>DELIVERED</t>
        </is>
      </c>
      <c r="D551" s="34" t="inlineStr">
        <is>
          <t>Пропущена обязательная стадия</t>
        </is>
      </c>
    </row>
    <row r="552">
      <c r="A552" s="49" t="n">
        <v>1783</v>
      </c>
      <c r="B552" s="40" t="inlineStr">
        <is>
          <t>LOADED</t>
        </is>
      </c>
      <c r="C552" s="40" t="inlineStr">
        <is>
          <t>DELIVERED</t>
        </is>
      </c>
      <c r="D552" s="40" t="inlineStr">
        <is>
          <t>Пропущена обязательная стадия</t>
        </is>
      </c>
    </row>
    <row r="553">
      <c r="A553" s="46" t="n">
        <v>1797</v>
      </c>
      <c r="B553" s="34" t="inlineStr">
        <is>
          <t>LOADED</t>
        </is>
      </c>
      <c r="C553" s="34" t="inlineStr">
        <is>
          <t>DELIVERED</t>
        </is>
      </c>
      <c r="D553" s="34" t="inlineStr">
        <is>
          <t>Пропущена обязательная стадия</t>
        </is>
      </c>
    </row>
    <row r="554">
      <c r="A554" s="49" t="n">
        <v>1802</v>
      </c>
      <c r="B554" s="40" t="inlineStr">
        <is>
          <t>LOADED</t>
        </is>
      </c>
      <c r="C554" s="40" t="inlineStr">
        <is>
          <t>DELIVERED</t>
        </is>
      </c>
      <c r="D554" s="40" t="inlineStr">
        <is>
          <t>Пропущена обязательная стадия</t>
        </is>
      </c>
    </row>
    <row r="555">
      <c r="A555" s="46" t="n">
        <v>1836</v>
      </c>
      <c r="B555" s="34" t="inlineStr">
        <is>
          <t>LOADED</t>
        </is>
      </c>
      <c r="C555" s="34" t="inlineStr">
        <is>
          <t>DELIVERED</t>
        </is>
      </c>
      <c r="D555" s="34" t="inlineStr">
        <is>
          <t>Пропущена обязательная стадия</t>
        </is>
      </c>
    </row>
    <row r="556">
      <c r="A556" s="49" t="n">
        <v>2043</v>
      </c>
      <c r="B556" s="40" t="inlineStr">
        <is>
          <t>LOADED</t>
        </is>
      </c>
      <c r="C556" s="40" t="inlineStr">
        <is>
          <t>DELIVERED</t>
        </is>
      </c>
      <c r="D556" s="40" t="inlineStr">
        <is>
          <t>Пропущена обязательная стадия</t>
        </is>
      </c>
    </row>
    <row r="557">
      <c r="A557" s="46" t="n">
        <v>2440</v>
      </c>
      <c r="B557" s="34" t="inlineStr">
        <is>
          <t>LOADED</t>
        </is>
      </c>
      <c r="C557" s="34" t="inlineStr">
        <is>
          <t>DELIVERED</t>
        </is>
      </c>
      <c r="D557" s="34" t="inlineStr">
        <is>
          <t>Пропущена обязательная стадия</t>
        </is>
      </c>
    </row>
    <row r="558">
      <c r="A558" s="49" t="n">
        <v>2527</v>
      </c>
      <c r="B558" s="40" t="inlineStr">
        <is>
          <t>LOADED</t>
        </is>
      </c>
      <c r="C558" s="40" t="inlineStr">
        <is>
          <t>DELIVERED</t>
        </is>
      </c>
      <c r="D558" s="40" t="inlineStr">
        <is>
          <t>Пропущена обязательная стадия</t>
        </is>
      </c>
    </row>
    <row r="559">
      <c r="A559" s="46" t="n">
        <v>2608</v>
      </c>
      <c r="B559" s="34" t="inlineStr">
        <is>
          <t>LOADED</t>
        </is>
      </c>
      <c r="C559" s="34" t="inlineStr">
        <is>
          <t>DELIVERED</t>
        </is>
      </c>
      <c r="D559" s="34" t="inlineStr">
        <is>
          <t>Пропущена обязательная стадия</t>
        </is>
      </c>
    </row>
    <row r="560">
      <c r="A560" s="49" t="n">
        <v>2648</v>
      </c>
      <c r="B560" s="40" t="inlineStr">
        <is>
          <t>LOADED</t>
        </is>
      </c>
      <c r="C560" s="40" t="inlineStr">
        <is>
          <t>DELIVERED</t>
        </is>
      </c>
      <c r="D560" s="40" t="inlineStr">
        <is>
          <t>Пропущена обязательная стадия</t>
        </is>
      </c>
    </row>
    <row r="561">
      <c r="A561" s="46" t="n">
        <v>3051</v>
      </c>
      <c r="B561" s="34" t="inlineStr">
        <is>
          <t>LOADED</t>
        </is>
      </c>
      <c r="C561" s="34" t="inlineStr">
        <is>
          <t>DELIVERED</t>
        </is>
      </c>
      <c r="D561" s="34" t="inlineStr">
        <is>
          <t>Пропущена обязательная стадия</t>
        </is>
      </c>
    </row>
    <row r="562">
      <c r="A562" s="49" t="n">
        <v>3150</v>
      </c>
      <c r="B562" s="40" t="inlineStr">
        <is>
          <t>LOADED</t>
        </is>
      </c>
      <c r="C562" s="40" t="inlineStr">
        <is>
          <t>DELIVERED</t>
        </is>
      </c>
      <c r="D562" s="40" t="inlineStr">
        <is>
          <t>Пропущена обязательная стадия</t>
        </is>
      </c>
    </row>
    <row r="563">
      <c r="A563" s="46" t="n">
        <v>3401</v>
      </c>
      <c r="B563" s="34" t="inlineStr">
        <is>
          <t>LOADED</t>
        </is>
      </c>
      <c r="C563" s="34" t="inlineStr">
        <is>
          <t>DELIVERED</t>
        </is>
      </c>
      <c r="D563" s="34" t="inlineStr">
        <is>
          <t>Пропущена обязательная стадия</t>
        </is>
      </c>
    </row>
    <row r="564">
      <c r="A564" s="49" t="n">
        <v>3497</v>
      </c>
      <c r="B564" s="40" t="inlineStr">
        <is>
          <t>LOADED</t>
        </is>
      </c>
      <c r="C564" s="40" t="inlineStr">
        <is>
          <t>DELIVERED</t>
        </is>
      </c>
      <c r="D564" s="40" t="inlineStr">
        <is>
          <t>Пропущена обязательная стадия</t>
        </is>
      </c>
    </row>
    <row r="565">
      <c r="A565" s="46" t="n">
        <v>3520</v>
      </c>
      <c r="B565" s="34" t="inlineStr">
        <is>
          <t>LOADED</t>
        </is>
      </c>
      <c r="C565" s="34" t="inlineStr">
        <is>
          <t>DELIVERED</t>
        </is>
      </c>
      <c r="D565" s="34" t="inlineStr">
        <is>
          <t>Пропущена обязательная стадия</t>
        </is>
      </c>
    </row>
    <row r="568" ht="22" customHeight="1">
      <c r="A568" s="55" t="inlineStr">
        <is>
          <t>T-10 · Разделение полномочий · отклонений: 74 из 3534 проверенных</t>
        </is>
      </c>
    </row>
    <row r="569" ht="30" customHeight="1">
      <c r="A569" s="33" t="inlineStr">
        <is>
          <t>Рейс</t>
        </is>
      </c>
      <c r="B569" s="33" t="inlineStr">
        <is>
          <t>Дата</t>
        </is>
      </c>
      <c r="C569" s="33" t="inlineStr">
        <is>
          <t>Создал</t>
        </is>
      </c>
      <c r="D569" s="33" t="inlineStr">
        <is>
          <t>Утвердил</t>
        </is>
      </c>
      <c r="E569" s="33" t="inlineStr">
        <is>
          <t>Начислено, лей</t>
        </is>
      </c>
    </row>
    <row r="570">
      <c r="A570" s="46" t="n">
        <v>75</v>
      </c>
      <c r="B570" s="34" t="inlineStr">
        <is>
          <t>2025-09-09</t>
        </is>
      </c>
      <c r="C570" s="34" t="inlineStr">
        <is>
          <t>dispecer1</t>
        </is>
      </c>
      <c r="D570" s="34" t="inlineStr">
        <is>
          <t>dispecer1</t>
        </is>
      </c>
      <c r="E570" s="46" t="n">
        <v>1583.4</v>
      </c>
    </row>
    <row r="571">
      <c r="A571" s="49" t="n">
        <v>131</v>
      </c>
      <c r="B571" s="40" t="inlineStr">
        <is>
          <t>2025-09-15</t>
        </is>
      </c>
      <c r="C571" s="40" t="inlineStr">
        <is>
          <t>logist2</t>
        </is>
      </c>
      <c r="D571" s="40" t="inlineStr">
        <is>
          <t>logist2</t>
        </is>
      </c>
      <c r="E571" s="49" t="n">
        <v>1205.55</v>
      </c>
    </row>
    <row r="572">
      <c r="A572" s="46" t="n">
        <v>202</v>
      </c>
      <c r="B572" s="34" t="inlineStr">
        <is>
          <t>2025-09-23</t>
        </is>
      </c>
      <c r="C572" s="34" t="inlineStr">
        <is>
          <t>dispecer1</t>
        </is>
      </c>
      <c r="D572" s="34" t="inlineStr">
        <is>
          <t>dispecer1</t>
        </is>
      </c>
      <c r="E572" s="46" t="n">
        <v>1746.8</v>
      </c>
    </row>
    <row r="573">
      <c r="A573" s="49" t="n">
        <v>207</v>
      </c>
      <c r="B573" s="40" t="inlineStr">
        <is>
          <t>2025-09-24</t>
        </is>
      </c>
      <c r="C573" s="40" t="inlineStr">
        <is>
          <t>dispecer2</t>
        </is>
      </c>
      <c r="D573" s="40" t="inlineStr">
        <is>
          <t>dispecer2</t>
        </is>
      </c>
      <c r="E573" s="49" t="n">
        <v>1042.47</v>
      </c>
    </row>
    <row r="574">
      <c r="A574" s="46" t="n">
        <v>232</v>
      </c>
      <c r="B574" s="34" t="inlineStr">
        <is>
          <t>2025-09-26</t>
        </is>
      </c>
      <c r="C574" s="34" t="inlineStr">
        <is>
          <t>logist1</t>
        </is>
      </c>
      <c r="D574" s="34" t="inlineStr">
        <is>
          <t>logist1</t>
        </is>
      </c>
      <c r="E574" s="46" t="n">
        <v>1193.17</v>
      </c>
    </row>
    <row r="575">
      <c r="A575" s="49" t="n">
        <v>347</v>
      </c>
      <c r="B575" s="40" t="inlineStr">
        <is>
          <t>2025-10-09</t>
        </is>
      </c>
      <c r="C575" s="40" t="inlineStr">
        <is>
          <t>dispecer1</t>
        </is>
      </c>
      <c r="D575" s="40" t="inlineStr">
        <is>
          <t>dispecer1</t>
        </is>
      </c>
      <c r="E575" s="49" t="n">
        <v>1061.72</v>
      </c>
    </row>
    <row r="576">
      <c r="A576" s="46" t="n">
        <v>353</v>
      </c>
      <c r="B576" s="34" t="inlineStr">
        <is>
          <t>2025-10-10</t>
        </is>
      </c>
      <c r="C576" s="34" t="inlineStr">
        <is>
          <t>logist1</t>
        </is>
      </c>
      <c r="D576" s="34" t="inlineStr">
        <is>
          <t>logist1</t>
        </is>
      </c>
      <c r="E576" s="46" t="n">
        <v>1409.6</v>
      </c>
    </row>
    <row r="577">
      <c r="A577" s="49" t="n">
        <v>378</v>
      </c>
      <c r="B577" s="40" t="inlineStr">
        <is>
          <t>2025-10-13</t>
        </is>
      </c>
      <c r="C577" s="40" t="inlineStr">
        <is>
          <t>dispecer2</t>
        </is>
      </c>
      <c r="D577" s="40" t="inlineStr">
        <is>
          <t>dispecer2</t>
        </is>
      </c>
      <c r="E577" s="49" t="n">
        <v>2449.43</v>
      </c>
    </row>
    <row r="578">
      <c r="A578" s="46" t="n">
        <v>383</v>
      </c>
      <c r="B578" s="34" t="inlineStr">
        <is>
          <t>2025-10-13</t>
        </is>
      </c>
      <c r="C578" s="34" t="inlineStr">
        <is>
          <t>logist1</t>
        </is>
      </c>
      <c r="D578" s="34" t="inlineStr">
        <is>
          <t>logist1</t>
        </is>
      </c>
      <c r="E578" s="46" t="n">
        <v>1709.35</v>
      </c>
    </row>
    <row r="579">
      <c r="A579" s="49" t="n">
        <v>464</v>
      </c>
      <c r="B579" s="40" t="inlineStr">
        <is>
          <t>2025-10-23</t>
        </is>
      </c>
      <c r="C579" s="40" t="inlineStr">
        <is>
          <t>dispecer1</t>
        </is>
      </c>
      <c r="D579" s="40" t="inlineStr">
        <is>
          <t>dispecer1</t>
        </is>
      </c>
      <c r="E579" s="49" t="n">
        <v>1210.22</v>
      </c>
    </row>
    <row r="580">
      <c r="A580" s="46" t="n">
        <v>467</v>
      </c>
      <c r="B580" s="34" t="inlineStr">
        <is>
          <t>2025-10-23</t>
        </is>
      </c>
      <c r="C580" s="34" t="inlineStr">
        <is>
          <t>dispecer2</t>
        </is>
      </c>
      <c r="D580" s="34" t="inlineStr">
        <is>
          <t>dispecer2</t>
        </is>
      </c>
      <c r="E580" s="46" t="n">
        <v>1874.62</v>
      </c>
    </row>
    <row r="581">
      <c r="A581" s="49" t="n">
        <v>497</v>
      </c>
      <c r="B581" s="40" t="inlineStr">
        <is>
          <t>2025-10-27</t>
        </is>
      </c>
      <c r="C581" s="40" t="inlineStr">
        <is>
          <t>logist2</t>
        </is>
      </c>
      <c r="D581" s="40" t="inlineStr">
        <is>
          <t>logist2</t>
        </is>
      </c>
      <c r="E581" s="49" t="n">
        <v>1086.75</v>
      </c>
    </row>
    <row r="582">
      <c r="A582" s="46" t="n">
        <v>531</v>
      </c>
      <c r="B582" s="34" t="inlineStr">
        <is>
          <t>2025-10-31</t>
        </is>
      </c>
      <c r="C582" s="34" t="inlineStr">
        <is>
          <t>dispecer2</t>
        </is>
      </c>
      <c r="D582" s="34" t="inlineStr">
        <is>
          <t>dispecer2</t>
        </is>
      </c>
      <c r="E582" s="46" t="n">
        <v>1795.42</v>
      </c>
    </row>
    <row r="583">
      <c r="A583" s="49" t="n">
        <v>560</v>
      </c>
      <c r="B583" s="40" t="inlineStr">
        <is>
          <t>2025-11-04</t>
        </is>
      </c>
      <c r="C583" s="40" t="inlineStr">
        <is>
          <t>dispecer2</t>
        </is>
      </c>
      <c r="D583" s="40" t="inlineStr">
        <is>
          <t>dispecer2</t>
        </is>
      </c>
      <c r="E583" s="49" t="n">
        <v>1384.58</v>
      </c>
    </row>
    <row r="584">
      <c r="A584" s="46" t="n">
        <v>561</v>
      </c>
      <c r="B584" s="34" t="inlineStr">
        <is>
          <t>2025-11-05</t>
        </is>
      </c>
      <c r="C584" s="34" t="inlineStr">
        <is>
          <t>logist2</t>
        </is>
      </c>
      <c r="D584" s="34" t="inlineStr">
        <is>
          <t>logist2</t>
        </is>
      </c>
      <c r="E584" s="46" t="n">
        <v>1255.88</v>
      </c>
    </row>
    <row r="585">
      <c r="A585" s="49" t="n">
        <v>591</v>
      </c>
      <c r="B585" s="40" t="inlineStr">
        <is>
          <t>2025-11-07</t>
        </is>
      </c>
      <c r="C585" s="40" t="inlineStr">
        <is>
          <t>logist1</t>
        </is>
      </c>
      <c r="D585" s="40" t="inlineStr">
        <is>
          <t>logist1</t>
        </is>
      </c>
      <c r="E585" s="49" t="n">
        <v>1132.67</v>
      </c>
    </row>
    <row r="586">
      <c r="A586" s="46" t="n">
        <v>638</v>
      </c>
      <c r="B586" s="34" t="inlineStr">
        <is>
          <t>2025-11-13</t>
        </is>
      </c>
      <c r="C586" s="34" t="inlineStr">
        <is>
          <t>logist1</t>
        </is>
      </c>
      <c r="D586" s="34" t="inlineStr">
        <is>
          <t>logist1</t>
        </is>
      </c>
      <c r="E586" s="46" t="n">
        <v>971.52</v>
      </c>
    </row>
    <row r="587">
      <c r="A587" s="49" t="n">
        <v>655</v>
      </c>
      <c r="B587" s="40" t="inlineStr">
        <is>
          <t>2025-11-15</t>
        </is>
      </c>
      <c r="C587" s="40" t="inlineStr">
        <is>
          <t>logist2</t>
        </is>
      </c>
      <c r="D587" s="40" t="inlineStr">
        <is>
          <t>logist2</t>
        </is>
      </c>
      <c r="E587" s="49" t="n">
        <v>1418.67</v>
      </c>
    </row>
    <row r="588">
      <c r="A588" s="46" t="n">
        <v>697</v>
      </c>
      <c r="B588" s="34" t="inlineStr">
        <is>
          <t>2025-11-20</t>
        </is>
      </c>
      <c r="C588" s="34" t="inlineStr">
        <is>
          <t>dispecer2</t>
        </is>
      </c>
      <c r="D588" s="34" t="inlineStr">
        <is>
          <t>dispecer2</t>
        </is>
      </c>
      <c r="E588" s="46" t="n">
        <v>1684.88</v>
      </c>
    </row>
    <row r="589">
      <c r="A589" s="49" t="n">
        <v>731</v>
      </c>
      <c r="B589" s="40" t="inlineStr">
        <is>
          <t>2025-11-25</t>
        </is>
      </c>
      <c r="C589" s="40" t="inlineStr">
        <is>
          <t>logist2</t>
        </is>
      </c>
      <c r="D589" s="40" t="inlineStr">
        <is>
          <t>logist2</t>
        </is>
      </c>
      <c r="E589" s="49" t="n">
        <v>1827.38</v>
      </c>
    </row>
    <row r="590">
      <c r="A590" s="46" t="n">
        <v>832</v>
      </c>
      <c r="B590" s="34" t="inlineStr">
        <is>
          <t>2025-12-05</t>
        </is>
      </c>
      <c r="C590" s="34" t="inlineStr">
        <is>
          <t>dispecer2</t>
        </is>
      </c>
      <c r="D590" s="34" t="inlineStr">
        <is>
          <t>dispecer2</t>
        </is>
      </c>
      <c r="E590" s="46" t="n">
        <v>1531.7</v>
      </c>
    </row>
    <row r="591">
      <c r="A591" s="49" t="n">
        <v>868</v>
      </c>
      <c r="B591" s="40" t="inlineStr">
        <is>
          <t>2025-12-09</t>
        </is>
      </c>
      <c r="C591" s="40" t="inlineStr">
        <is>
          <t>logist2</t>
        </is>
      </c>
      <c r="D591" s="40" t="inlineStr">
        <is>
          <t>logist2</t>
        </is>
      </c>
      <c r="E591" s="49" t="n">
        <v>1704.95</v>
      </c>
    </row>
    <row r="592">
      <c r="A592" s="46" t="n">
        <v>877</v>
      </c>
      <c r="B592" s="34" t="inlineStr">
        <is>
          <t>2025-12-10</t>
        </is>
      </c>
      <c r="C592" s="34" t="inlineStr">
        <is>
          <t>dispecer1</t>
        </is>
      </c>
      <c r="D592" s="34" t="inlineStr">
        <is>
          <t>dispecer1</t>
        </is>
      </c>
      <c r="E592" s="46" t="n">
        <v>1548.47</v>
      </c>
    </row>
    <row r="593">
      <c r="A593" s="49" t="n">
        <v>934</v>
      </c>
      <c r="B593" s="40" t="inlineStr">
        <is>
          <t>2025-12-16</t>
        </is>
      </c>
      <c r="C593" s="40" t="inlineStr">
        <is>
          <t>logist1</t>
        </is>
      </c>
      <c r="D593" s="40" t="inlineStr">
        <is>
          <t>logist1</t>
        </is>
      </c>
      <c r="E593" s="49" t="n">
        <v>1547.92</v>
      </c>
    </row>
    <row r="594">
      <c r="A594" s="46" t="n">
        <v>941</v>
      </c>
      <c r="B594" s="34" t="inlineStr">
        <is>
          <t>2025-12-16</t>
        </is>
      </c>
      <c r="C594" s="34" t="inlineStr">
        <is>
          <t>dispecer2</t>
        </is>
      </c>
      <c r="D594" s="34" t="inlineStr">
        <is>
          <t>dispecer2</t>
        </is>
      </c>
      <c r="E594" s="46" t="n">
        <v>2158.2</v>
      </c>
    </row>
    <row r="595">
      <c r="A595" s="49" t="n">
        <v>999</v>
      </c>
      <c r="B595" s="40" t="inlineStr">
        <is>
          <t>2025-12-23</t>
        </is>
      </c>
      <c r="C595" s="40" t="inlineStr">
        <is>
          <t>dispecer1</t>
        </is>
      </c>
      <c r="D595" s="40" t="inlineStr">
        <is>
          <t>dispecer1</t>
        </is>
      </c>
      <c r="E595" s="49" t="n">
        <v>2225.3</v>
      </c>
    </row>
    <row r="596">
      <c r="A596" s="46" t="n">
        <v>1039</v>
      </c>
      <c r="B596" s="34" t="inlineStr">
        <is>
          <t>2025-12-26</t>
        </is>
      </c>
      <c r="C596" s="34" t="inlineStr">
        <is>
          <t>dispecer1</t>
        </is>
      </c>
      <c r="D596" s="34" t="inlineStr">
        <is>
          <t>dispecer1</t>
        </is>
      </c>
      <c r="E596" s="46" t="n">
        <v>1435.17</v>
      </c>
    </row>
    <row r="597">
      <c r="A597" s="49" t="n">
        <v>1163</v>
      </c>
      <c r="B597" s="40" t="inlineStr">
        <is>
          <t>2026-01-10</t>
        </is>
      </c>
      <c r="C597" s="40" t="inlineStr">
        <is>
          <t>logist2</t>
        </is>
      </c>
      <c r="D597" s="40" t="inlineStr">
        <is>
          <t>logist2</t>
        </is>
      </c>
      <c r="E597" s="49" t="n">
        <v>2079.28</v>
      </c>
    </row>
    <row r="598">
      <c r="A598" s="46" t="n">
        <v>1173</v>
      </c>
      <c r="B598" s="34" t="inlineStr">
        <is>
          <t>2026-01-12</t>
        </is>
      </c>
      <c r="C598" s="34" t="inlineStr">
        <is>
          <t>logist2</t>
        </is>
      </c>
      <c r="D598" s="34" t="inlineStr">
        <is>
          <t>logist2</t>
        </is>
      </c>
      <c r="E598" s="46" t="n">
        <v>1417.85</v>
      </c>
    </row>
    <row r="599">
      <c r="A599" s="49" t="n">
        <v>1206</v>
      </c>
      <c r="B599" s="40" t="inlineStr">
        <is>
          <t>2026-01-15</t>
        </is>
      </c>
      <c r="C599" s="40" t="inlineStr">
        <is>
          <t>dispecer2</t>
        </is>
      </c>
      <c r="D599" s="40" t="inlineStr">
        <is>
          <t>dispecer2</t>
        </is>
      </c>
      <c r="E599" s="49" t="n">
        <v>1091.97</v>
      </c>
    </row>
    <row r="600">
      <c r="A600" s="46" t="n">
        <v>1214</v>
      </c>
      <c r="B600" s="34" t="inlineStr">
        <is>
          <t>2026-01-15</t>
        </is>
      </c>
      <c r="C600" s="34" t="inlineStr">
        <is>
          <t>dispecer1</t>
        </is>
      </c>
      <c r="D600" s="34" t="inlineStr">
        <is>
          <t>dispecer1</t>
        </is>
      </c>
      <c r="E600" s="46" t="n">
        <v>1296.58</v>
      </c>
    </row>
    <row r="601">
      <c r="A601" s="49" t="n">
        <v>1420</v>
      </c>
      <c r="B601" s="40" t="inlineStr">
        <is>
          <t>2026-02-07</t>
        </is>
      </c>
      <c r="C601" s="40" t="inlineStr">
        <is>
          <t>dispecer2</t>
        </is>
      </c>
      <c r="D601" s="40" t="inlineStr">
        <is>
          <t>dispecer2</t>
        </is>
      </c>
      <c r="E601" s="49" t="n">
        <v>1062</v>
      </c>
    </row>
    <row r="602">
      <c r="A602" s="46" t="n">
        <v>1439</v>
      </c>
      <c r="B602" s="34" t="inlineStr">
        <is>
          <t>2026-02-10</t>
        </is>
      </c>
      <c r="C602" s="34" t="inlineStr">
        <is>
          <t>dispecer2</t>
        </is>
      </c>
      <c r="D602" s="34" t="inlineStr">
        <is>
          <t>dispecer2</t>
        </is>
      </c>
      <c r="E602" s="46" t="n">
        <v>2773.65</v>
      </c>
    </row>
    <row r="603">
      <c r="A603" s="49" t="n">
        <v>1445</v>
      </c>
      <c r="B603" s="40" t="inlineStr">
        <is>
          <t>2026-02-11</t>
        </is>
      </c>
      <c r="C603" s="40" t="inlineStr">
        <is>
          <t>dispecer1</t>
        </is>
      </c>
      <c r="D603" s="40" t="inlineStr">
        <is>
          <t>dispecer1</t>
        </is>
      </c>
      <c r="E603" s="49" t="n">
        <v>1083.72</v>
      </c>
    </row>
    <row r="604">
      <c r="A604" s="46" t="n">
        <v>1549</v>
      </c>
      <c r="B604" s="34" t="inlineStr">
        <is>
          <t>2026-02-21</t>
        </is>
      </c>
      <c r="C604" s="34" t="inlineStr">
        <is>
          <t>logist2</t>
        </is>
      </c>
      <c r="D604" s="34" t="inlineStr">
        <is>
          <t>logist2</t>
        </is>
      </c>
      <c r="E604" s="46" t="n">
        <v>958.88</v>
      </c>
    </row>
    <row r="605">
      <c r="A605" s="49" t="n">
        <v>1593</v>
      </c>
      <c r="B605" s="40" t="inlineStr">
        <is>
          <t>2026-02-26</t>
        </is>
      </c>
      <c r="C605" s="40" t="inlineStr">
        <is>
          <t>dispecer1</t>
        </is>
      </c>
      <c r="D605" s="40" t="inlineStr">
        <is>
          <t>dispecer1</t>
        </is>
      </c>
      <c r="E605" s="49" t="n">
        <v>0</v>
      </c>
    </row>
    <row r="606">
      <c r="A606" s="46" t="n">
        <v>1647</v>
      </c>
      <c r="B606" s="34" t="inlineStr">
        <is>
          <t>2026-03-05</t>
        </is>
      </c>
      <c r="C606" s="34" t="inlineStr">
        <is>
          <t>dispecer2</t>
        </is>
      </c>
      <c r="D606" s="34" t="inlineStr">
        <is>
          <t>dispecer2</t>
        </is>
      </c>
      <c r="E606" s="46" t="n">
        <v>1697.53</v>
      </c>
    </row>
    <row r="607">
      <c r="A607" s="49" t="n">
        <v>1665</v>
      </c>
      <c r="B607" s="40" t="inlineStr">
        <is>
          <t>2026-03-06</t>
        </is>
      </c>
      <c r="C607" s="40" t="inlineStr">
        <is>
          <t>logist2</t>
        </is>
      </c>
      <c r="D607" s="40" t="inlineStr">
        <is>
          <t>logist2</t>
        </is>
      </c>
      <c r="E607" s="49" t="n">
        <v>1666.45</v>
      </c>
    </row>
    <row r="608">
      <c r="A608" s="46" t="n">
        <v>1700</v>
      </c>
      <c r="B608" s="34" t="inlineStr">
        <is>
          <t>2026-03-11</t>
        </is>
      </c>
      <c r="C608" s="34" t="inlineStr">
        <is>
          <t>logist1</t>
        </is>
      </c>
      <c r="D608" s="34" t="inlineStr">
        <is>
          <t>logist1</t>
        </is>
      </c>
      <c r="E608" s="46" t="n">
        <v>2996.68</v>
      </c>
    </row>
    <row r="609">
      <c r="A609" s="49" t="n">
        <v>1741</v>
      </c>
      <c r="B609" s="40" t="inlineStr">
        <is>
          <t>2026-03-14</t>
        </is>
      </c>
      <c r="C609" s="40" t="inlineStr">
        <is>
          <t>dispecer2</t>
        </is>
      </c>
      <c r="D609" s="40" t="inlineStr">
        <is>
          <t>dispecer2</t>
        </is>
      </c>
      <c r="E609" s="49" t="n">
        <v>1188.78</v>
      </c>
    </row>
    <row r="610">
      <c r="A610" s="46" t="n">
        <v>1774</v>
      </c>
      <c r="B610" s="34" t="inlineStr">
        <is>
          <t>2026-03-19</t>
        </is>
      </c>
      <c r="C610" s="34" t="inlineStr">
        <is>
          <t>dispecer1</t>
        </is>
      </c>
      <c r="D610" s="34" t="inlineStr">
        <is>
          <t>dispecer1</t>
        </is>
      </c>
      <c r="E610" s="46" t="n">
        <v>1859.5</v>
      </c>
    </row>
    <row r="611">
      <c r="A611" s="49" t="n">
        <v>1867</v>
      </c>
      <c r="B611" s="40" t="inlineStr">
        <is>
          <t>2026-03-28</t>
        </is>
      </c>
      <c r="C611" s="40" t="inlineStr">
        <is>
          <t>logist2</t>
        </is>
      </c>
      <c r="D611" s="40" t="inlineStr">
        <is>
          <t>logist2</t>
        </is>
      </c>
      <c r="E611" s="49" t="n">
        <v>1718.97</v>
      </c>
    </row>
    <row r="612">
      <c r="A612" s="46" t="n">
        <v>1894</v>
      </c>
      <c r="B612" s="34" t="inlineStr">
        <is>
          <t>2026-03-31</t>
        </is>
      </c>
      <c r="C612" s="34" t="inlineStr">
        <is>
          <t>dispecer2</t>
        </is>
      </c>
      <c r="D612" s="34" t="inlineStr">
        <is>
          <t>dispecer2</t>
        </is>
      </c>
      <c r="E612" s="46" t="n">
        <v>2007.5</v>
      </c>
    </row>
    <row r="613">
      <c r="A613" s="49" t="n">
        <v>1975</v>
      </c>
      <c r="B613" s="40" t="inlineStr">
        <is>
          <t>2026-04-09</t>
        </is>
      </c>
      <c r="C613" s="40" t="inlineStr">
        <is>
          <t>logist2</t>
        </is>
      </c>
      <c r="D613" s="40" t="inlineStr">
        <is>
          <t>logist2</t>
        </is>
      </c>
      <c r="E613" s="49" t="n">
        <v>1688.72</v>
      </c>
    </row>
    <row r="614">
      <c r="A614" s="46" t="n">
        <v>1985</v>
      </c>
      <c r="B614" s="34" t="inlineStr">
        <is>
          <t>2026-04-10</t>
        </is>
      </c>
      <c r="C614" s="34" t="inlineStr">
        <is>
          <t>logist1</t>
        </is>
      </c>
      <c r="D614" s="34" t="inlineStr">
        <is>
          <t>logist1</t>
        </is>
      </c>
      <c r="E614" s="46" t="n">
        <v>1304.55</v>
      </c>
    </row>
    <row r="615">
      <c r="A615" s="49" t="n">
        <v>2063</v>
      </c>
      <c r="B615" s="40" t="inlineStr">
        <is>
          <t>2026-04-18</t>
        </is>
      </c>
      <c r="C615" s="40" t="inlineStr">
        <is>
          <t>logist2</t>
        </is>
      </c>
      <c r="D615" s="40" t="inlineStr">
        <is>
          <t>logist2</t>
        </is>
      </c>
      <c r="E615" s="49" t="n">
        <v>1184.1</v>
      </c>
    </row>
    <row r="616">
      <c r="A616" s="46" t="n">
        <v>2104</v>
      </c>
      <c r="B616" s="34" t="inlineStr">
        <is>
          <t>2026-04-23</t>
        </is>
      </c>
      <c r="C616" s="34" t="inlineStr">
        <is>
          <t>logist1</t>
        </is>
      </c>
      <c r="D616" s="34" t="inlineStr">
        <is>
          <t>logist1</t>
        </is>
      </c>
      <c r="E616" s="46" t="n">
        <v>1902.95</v>
      </c>
    </row>
    <row r="617">
      <c r="A617" s="49" t="n">
        <v>2144</v>
      </c>
      <c r="B617" s="40" t="inlineStr">
        <is>
          <t>2026-04-28</t>
        </is>
      </c>
      <c r="C617" s="40" t="inlineStr">
        <is>
          <t>dispecer2</t>
        </is>
      </c>
      <c r="D617" s="40" t="inlineStr">
        <is>
          <t>dispecer2</t>
        </is>
      </c>
      <c r="E617" s="49" t="n">
        <v>1360.1</v>
      </c>
    </row>
    <row r="618">
      <c r="A618" s="46" t="n">
        <v>2149</v>
      </c>
      <c r="B618" s="34" t="inlineStr">
        <is>
          <t>2026-04-28</t>
        </is>
      </c>
      <c r="C618" s="34" t="inlineStr">
        <is>
          <t>dispecer1</t>
        </is>
      </c>
      <c r="D618" s="34" t="inlineStr">
        <is>
          <t>dispecer1</t>
        </is>
      </c>
      <c r="E618" s="46" t="n">
        <v>2791.8</v>
      </c>
    </row>
    <row r="619">
      <c r="A619" s="49" t="n">
        <v>2169</v>
      </c>
      <c r="B619" s="40" t="inlineStr">
        <is>
          <t>2026-04-30</t>
        </is>
      </c>
      <c r="C619" s="40" t="inlineStr">
        <is>
          <t>logist2</t>
        </is>
      </c>
      <c r="D619" s="40" t="inlineStr">
        <is>
          <t>logist2</t>
        </is>
      </c>
      <c r="E619" s="49" t="n">
        <v>1152.2</v>
      </c>
    </row>
    <row r="620">
      <c r="A620" s="46" t="n">
        <v>2227</v>
      </c>
      <c r="B620" s="34" t="inlineStr">
        <is>
          <t>2026-05-06</t>
        </is>
      </c>
      <c r="C620" s="34" t="inlineStr">
        <is>
          <t>logist2</t>
        </is>
      </c>
      <c r="D620" s="34" t="inlineStr">
        <is>
          <t>logist2</t>
        </is>
      </c>
      <c r="E620" s="46" t="n">
        <v>2492.88</v>
      </c>
    </row>
    <row r="621">
      <c r="A621" s="49" t="n">
        <v>2232</v>
      </c>
      <c r="B621" s="40" t="inlineStr">
        <is>
          <t>2026-05-07</t>
        </is>
      </c>
      <c r="C621" s="40" t="inlineStr">
        <is>
          <t>logist1</t>
        </is>
      </c>
      <c r="D621" s="40" t="inlineStr">
        <is>
          <t>logist1</t>
        </is>
      </c>
      <c r="E621" s="49" t="n">
        <v>0</v>
      </c>
    </row>
    <row r="622">
      <c r="A622" s="46" t="n">
        <v>2242</v>
      </c>
      <c r="B622" s="34" t="inlineStr">
        <is>
          <t>2026-05-08</t>
        </is>
      </c>
      <c r="C622" s="34" t="inlineStr">
        <is>
          <t>logist1</t>
        </is>
      </c>
      <c r="D622" s="34" t="inlineStr">
        <is>
          <t>logist1</t>
        </is>
      </c>
      <c r="E622" s="46" t="n">
        <v>1690.65</v>
      </c>
    </row>
    <row r="623">
      <c r="A623" s="49" t="n">
        <v>2266</v>
      </c>
      <c r="B623" s="40" t="inlineStr">
        <is>
          <t>2026-05-12</t>
        </is>
      </c>
      <c r="C623" s="40" t="inlineStr">
        <is>
          <t>logist2</t>
        </is>
      </c>
      <c r="D623" s="40" t="inlineStr">
        <is>
          <t>logist2</t>
        </is>
      </c>
      <c r="E623" s="49" t="n">
        <v>1764.35</v>
      </c>
    </row>
    <row r="624">
      <c r="A624" s="46" t="n">
        <v>2399</v>
      </c>
      <c r="B624" s="34" t="inlineStr">
        <is>
          <t>2026-05-26</t>
        </is>
      </c>
      <c r="C624" s="34" t="inlineStr">
        <is>
          <t>dispecer1</t>
        </is>
      </c>
      <c r="D624" s="34" t="inlineStr">
        <is>
          <t>dispecer1</t>
        </is>
      </c>
      <c r="E624" s="46" t="n">
        <v>1830.68</v>
      </c>
    </row>
    <row r="625">
      <c r="A625" s="49" t="n">
        <v>2435</v>
      </c>
      <c r="B625" s="40" t="inlineStr">
        <is>
          <t>2026-05-30</t>
        </is>
      </c>
      <c r="C625" s="40" t="inlineStr">
        <is>
          <t>logist2</t>
        </is>
      </c>
      <c r="D625" s="40" t="inlineStr">
        <is>
          <t>logist2</t>
        </is>
      </c>
      <c r="E625" s="49" t="n">
        <v>2138.12</v>
      </c>
    </row>
    <row r="626">
      <c r="A626" s="46" t="n">
        <v>2440</v>
      </c>
      <c r="B626" s="34" t="inlineStr">
        <is>
          <t>2026-05-30</t>
        </is>
      </c>
      <c r="C626" s="34" t="inlineStr">
        <is>
          <t>logist1</t>
        </is>
      </c>
      <c r="D626" s="34" t="inlineStr">
        <is>
          <t>logist1</t>
        </is>
      </c>
      <c r="E626" s="46" t="n">
        <v>2957.62</v>
      </c>
    </row>
    <row r="627">
      <c r="A627" s="49" t="n">
        <v>2490</v>
      </c>
      <c r="B627" s="40" t="inlineStr">
        <is>
          <t>2026-06-06</t>
        </is>
      </c>
      <c r="C627" s="40" t="inlineStr">
        <is>
          <t>logist1</t>
        </is>
      </c>
      <c r="D627" s="40" t="inlineStr">
        <is>
          <t>logist1</t>
        </is>
      </c>
      <c r="E627" s="49" t="n">
        <v>1343.05</v>
      </c>
    </row>
    <row r="628">
      <c r="A628" s="46" t="n">
        <v>2520</v>
      </c>
      <c r="B628" s="34" t="inlineStr">
        <is>
          <t>2026-06-09</t>
        </is>
      </c>
      <c r="C628" s="34" t="inlineStr">
        <is>
          <t>logist2</t>
        </is>
      </c>
      <c r="D628" s="34" t="inlineStr">
        <is>
          <t>logist2</t>
        </is>
      </c>
      <c r="E628" s="46" t="n">
        <v>1082.9</v>
      </c>
    </row>
    <row r="629">
      <c r="A629" s="49" t="n">
        <v>2677</v>
      </c>
      <c r="B629" s="40" t="inlineStr">
        <is>
          <t>2026-06-26</t>
        </is>
      </c>
      <c r="C629" s="40" t="inlineStr">
        <is>
          <t>dispecer2</t>
        </is>
      </c>
      <c r="D629" s="40" t="inlineStr">
        <is>
          <t>dispecer2</t>
        </is>
      </c>
      <c r="E629" s="49" t="n">
        <v>1454.7</v>
      </c>
    </row>
    <row r="630">
      <c r="A630" s="46" t="n">
        <v>2732</v>
      </c>
      <c r="B630" s="34" t="inlineStr">
        <is>
          <t>2026-07-03</t>
        </is>
      </c>
      <c r="C630" s="34" t="inlineStr">
        <is>
          <t>logist2</t>
        </is>
      </c>
      <c r="D630" s="34" t="inlineStr">
        <is>
          <t>logist2</t>
        </is>
      </c>
      <c r="E630" s="46" t="n">
        <v>1736.03</v>
      </c>
    </row>
    <row r="631">
      <c r="A631" s="49" t="n">
        <v>2795</v>
      </c>
      <c r="B631" s="40" t="inlineStr">
        <is>
          <t>2026-07-10</t>
        </is>
      </c>
      <c r="C631" s="40" t="inlineStr">
        <is>
          <t>logist1</t>
        </is>
      </c>
      <c r="D631" s="40" t="inlineStr">
        <is>
          <t>logist1</t>
        </is>
      </c>
      <c r="E631" s="49" t="n">
        <v>1853.72</v>
      </c>
    </row>
    <row r="632">
      <c r="A632" s="46" t="n">
        <v>2846</v>
      </c>
      <c r="B632" s="34" t="inlineStr">
        <is>
          <t>2026-07-16</t>
        </is>
      </c>
      <c r="C632" s="34" t="inlineStr">
        <is>
          <t>logist1</t>
        </is>
      </c>
      <c r="D632" s="34" t="inlineStr">
        <is>
          <t>logist1</t>
        </is>
      </c>
      <c r="E632" s="46" t="n">
        <v>1215.45</v>
      </c>
    </row>
    <row r="633">
      <c r="A633" s="49" t="n">
        <v>2886</v>
      </c>
      <c r="B633" s="40" t="inlineStr">
        <is>
          <t>2026-07-21</t>
        </is>
      </c>
      <c r="C633" s="40" t="inlineStr">
        <is>
          <t>dispecer2</t>
        </is>
      </c>
      <c r="D633" s="40" t="inlineStr">
        <is>
          <t>dispecer2</t>
        </is>
      </c>
      <c r="E633" s="49" t="n">
        <v>2780.25</v>
      </c>
    </row>
    <row r="634">
      <c r="A634" s="46" t="n">
        <v>2931</v>
      </c>
      <c r="B634" s="34" t="inlineStr">
        <is>
          <t>2026-07-25</t>
        </is>
      </c>
      <c r="C634" s="34" t="inlineStr">
        <is>
          <t>dispecer1</t>
        </is>
      </c>
      <c r="D634" s="34" t="inlineStr">
        <is>
          <t>dispecer1</t>
        </is>
      </c>
      <c r="E634" s="46" t="n">
        <v>1380.72</v>
      </c>
    </row>
    <row r="635">
      <c r="A635" s="49" t="n">
        <v>2945</v>
      </c>
      <c r="B635" s="40" t="inlineStr">
        <is>
          <t>2026-07-27</t>
        </is>
      </c>
      <c r="C635" s="40" t="inlineStr">
        <is>
          <t>logist2</t>
        </is>
      </c>
      <c r="D635" s="40" t="inlineStr">
        <is>
          <t>logist2</t>
        </is>
      </c>
      <c r="E635" s="49" t="n">
        <v>3099.52</v>
      </c>
    </row>
    <row r="636">
      <c r="A636" s="46" t="n">
        <v>3141</v>
      </c>
      <c r="B636" s="34" t="inlineStr">
        <is>
          <t>2026-08-18</t>
        </is>
      </c>
      <c r="C636" s="34" t="inlineStr">
        <is>
          <t>dispecer1</t>
        </is>
      </c>
      <c r="D636" s="34" t="inlineStr">
        <is>
          <t>dispecer1</t>
        </is>
      </c>
      <c r="E636" s="46" t="n">
        <v>1627.95</v>
      </c>
    </row>
    <row r="637">
      <c r="A637" s="49" t="n">
        <v>3184</v>
      </c>
      <c r="B637" s="40" t="inlineStr">
        <is>
          <t>2026-08-22</t>
        </is>
      </c>
      <c r="C637" s="40" t="inlineStr">
        <is>
          <t>logist2</t>
        </is>
      </c>
      <c r="D637" s="40" t="inlineStr">
        <is>
          <t>logist2</t>
        </is>
      </c>
      <c r="E637" s="49" t="n">
        <v>1673.6</v>
      </c>
    </row>
    <row r="638">
      <c r="A638" s="46" t="n">
        <v>3201</v>
      </c>
      <c r="B638" s="34" t="inlineStr">
        <is>
          <t>2026-08-25</t>
        </is>
      </c>
      <c r="C638" s="34" t="inlineStr">
        <is>
          <t>dispecer1</t>
        </is>
      </c>
      <c r="D638" s="34" t="inlineStr">
        <is>
          <t>dispecer1</t>
        </is>
      </c>
      <c r="E638" s="46" t="n">
        <v>1151.38</v>
      </c>
    </row>
    <row r="639">
      <c r="A639" s="49" t="n">
        <v>3392</v>
      </c>
      <c r="B639" s="40" t="inlineStr">
        <is>
          <t>2026-09-16</t>
        </is>
      </c>
      <c r="C639" s="40" t="inlineStr">
        <is>
          <t>logist1</t>
        </is>
      </c>
      <c r="D639" s="40" t="inlineStr">
        <is>
          <t>logist1</t>
        </is>
      </c>
      <c r="E639" s="49" t="n">
        <v>441</v>
      </c>
    </row>
    <row r="640">
      <c r="A640" s="46" t="n">
        <v>3393</v>
      </c>
      <c r="B640" s="34" t="inlineStr">
        <is>
          <t>2026-09-16</t>
        </is>
      </c>
      <c r="C640" s="34" t="inlineStr">
        <is>
          <t>dispecer2</t>
        </is>
      </c>
      <c r="D640" s="34" t="inlineStr">
        <is>
          <t>dispecer2</t>
        </is>
      </c>
      <c r="E640" s="46" t="n">
        <v>2759.4</v>
      </c>
    </row>
    <row r="641">
      <c r="A641" s="49" t="n">
        <v>3429</v>
      </c>
      <c r="B641" s="40" t="inlineStr">
        <is>
          <t>2026-09-19</t>
        </is>
      </c>
      <c r="C641" s="40" t="inlineStr">
        <is>
          <t>logist2</t>
        </is>
      </c>
      <c r="D641" s="40" t="inlineStr">
        <is>
          <t>logist2</t>
        </is>
      </c>
      <c r="E641" s="49" t="n">
        <v>1585.15</v>
      </c>
    </row>
    <row r="642">
      <c r="A642" s="46" t="n">
        <v>3479</v>
      </c>
      <c r="B642" s="34" t="inlineStr">
        <is>
          <t>2026-09-24</t>
        </is>
      </c>
      <c r="C642" s="34" t="inlineStr">
        <is>
          <t>logist1</t>
        </is>
      </c>
      <c r="D642" s="34" t="inlineStr">
        <is>
          <t>logist1</t>
        </is>
      </c>
      <c r="E642" s="46" t="n">
        <v>640.5</v>
      </c>
    </row>
    <row r="643">
      <c r="A643" s="49" t="n">
        <v>3505</v>
      </c>
      <c r="B643" s="40" t="inlineStr">
        <is>
          <t>2026-09-28</t>
        </is>
      </c>
      <c r="C643" s="40" t="inlineStr">
        <is>
          <t>dispecer2</t>
        </is>
      </c>
      <c r="D643" s="40" t="inlineStr">
        <is>
          <t>dispecer2</t>
        </is>
      </c>
      <c r="E643" s="49" t="n">
        <v>502.95</v>
      </c>
    </row>
    <row r="646" ht="22" customHeight="1">
      <c r="A646" s="55" t="inlineStr">
        <is>
          <t>T-11 · Дублирование документов · отклонений: 3 из 3534 проверенных</t>
        </is>
      </c>
    </row>
    <row r="647" ht="30" customHeight="1">
      <c r="A647" s="33" t="inlineStr">
        <is>
          <t>Рейс</t>
        </is>
      </c>
      <c r="B647" s="33" t="inlineStr">
        <is>
          <t>Дата</t>
        </is>
      </c>
      <c r="C647" s="33" t="inlineStr">
        <is>
          <t>Ключ повтора</t>
        </is>
      </c>
      <c r="D647" s="33" t="inlineStr">
        <is>
          <t>Первый рейс с тем же ключом</t>
        </is>
      </c>
      <c r="E647" s="33" t="inlineStr">
        <is>
          <t>Характер отклонения</t>
        </is>
      </c>
    </row>
    <row r="648">
      <c r="A648" s="46" t="n">
        <v>745</v>
      </c>
      <c r="B648" s="34" t="inlineStr">
        <is>
          <t>2025-11-26</t>
        </is>
      </c>
      <c r="C648" s="34" t="inlineStr">
        <is>
          <t>путевой лист AP-40732</t>
        </is>
      </c>
      <c r="D648" s="46" t="n">
        <v>732</v>
      </c>
      <c r="E648" s="34" t="inlineStr">
        <is>
          <t>Дубль номера путевого листа</t>
        </is>
      </c>
    </row>
    <row r="649">
      <c r="A649" s="49" t="n">
        <v>2062</v>
      </c>
      <c r="B649" s="40" t="inlineStr">
        <is>
          <t>2026-04-18</t>
        </is>
      </c>
      <c r="C649" s="40" t="inlineStr">
        <is>
          <t>путевой лист AP-42029</t>
        </is>
      </c>
      <c r="D649" s="49" t="n">
        <v>2029</v>
      </c>
      <c r="E649" s="40" t="inlineStr">
        <is>
          <t>Дубль номера путевого листа</t>
        </is>
      </c>
    </row>
    <row r="650">
      <c r="A650" s="46" t="n">
        <v>2915</v>
      </c>
      <c r="B650" s="34" t="inlineStr">
        <is>
          <t>2026-07-23</t>
        </is>
      </c>
      <c r="C650" s="34" t="inlineStr">
        <is>
          <t>путевой лист AP-42881</t>
        </is>
      </c>
      <c r="D650" s="46" t="n">
        <v>2881</v>
      </c>
      <c r="E650" s="34" t="inlineStr">
        <is>
          <t>Дубль номера путевого листа</t>
        </is>
      </c>
    </row>
    <row r="653" ht="22" customHeight="1">
      <c r="A653" s="55" t="inlineStr">
        <is>
          <t>T-12 · Непротиворечивость справочников · отклонений: 2 из 91 проверенных</t>
        </is>
      </c>
    </row>
    <row r="654" ht="30" customHeight="1">
      <c r="A654" s="33" t="inlineStr">
        <is>
          <t>Объект</t>
        </is>
      </c>
      <c r="B654" s="33" t="inlineStr">
        <is>
          <t>Продукт</t>
        </is>
      </c>
      <c r="C654" s="33" t="inlineStr">
        <is>
          <t>Ёмкость, л</t>
        </is>
      </c>
      <c r="D654" s="33" t="inlineStr">
        <is>
          <t>Допустимый налив, л</t>
        </is>
      </c>
      <c r="E654" s="33" t="inlineStr">
        <is>
          <t>Страховой запас, л</t>
        </is>
      </c>
      <c r="F654" s="33" t="inlineStr">
        <is>
          <t>Остаток, л</t>
        </is>
      </c>
      <c r="G654" s="33" t="inlineStr">
        <is>
          <t>Характер отклонения</t>
        </is>
      </c>
    </row>
    <row r="655">
      <c r="A655" s="34" t="inlineStr">
        <is>
          <t>КАГ-03</t>
        </is>
      </c>
      <c r="B655" s="34" t="inlineStr">
        <is>
          <t>A92</t>
        </is>
      </c>
      <c r="C655" s="46" t="n">
        <v>40000</v>
      </c>
      <c r="D655" s="46" t="n">
        <v>41500</v>
      </c>
      <c r="E655" s="46" t="n">
        <v>2612</v>
      </c>
      <c r="F655" s="46" t="n">
        <v>28638</v>
      </c>
      <c r="G655" s="34" t="inlineStr">
        <is>
          <t>допустимый налив 41500 л больше паспортной ёмкости 40000 л</t>
        </is>
      </c>
    </row>
    <row r="656">
      <c r="A656" s="40" t="inlineStr">
        <is>
          <t>C446BH</t>
        </is>
      </c>
      <c r="B656" s="40" t="inlineStr">
        <is>
          <t>—</t>
        </is>
      </c>
      <c r="C656" s="49" t="n">
        <v>17000</v>
      </c>
      <c r="D656" s="49" t="n">
        <v>15000</v>
      </c>
      <c r="E656" s="49" t="n">
        <v>0</v>
      </c>
      <c r="F656" s="49" t="n">
        <v>0</v>
      </c>
      <c r="G656" s="40" t="inlineStr">
        <is>
          <t>сумма отсеков 15000 л не равна ёмкости цистерны 17000 л</t>
        </is>
      </c>
    </row>
    <row r="659" ht="22" customHeight="1">
      <c r="A659" s="55" t="inlineStr">
        <is>
          <t>T-13 · Покрытие страхового запаса · отклонений: 6 из 77 проверенных</t>
        </is>
      </c>
    </row>
    <row r="660" ht="30" customHeight="1">
      <c r="A660" s="33" t="inlineStr">
        <is>
          <t>АЗС</t>
        </is>
      </c>
      <c r="B660" s="33" t="inlineStr">
        <is>
          <t>Продукт</t>
        </is>
      </c>
      <c r="C660" s="33" t="inlineStr">
        <is>
          <t>Остаток, л</t>
        </is>
      </c>
      <c r="D660" s="33" t="inlineStr">
        <is>
          <t>Страховой запас, л</t>
        </is>
      </c>
      <c r="E660" s="33" t="inlineStr">
        <is>
          <t>Продажи, л/сут</t>
        </is>
      </c>
      <c r="F660" s="33" t="inlineStr">
        <is>
          <t>Дней до нуля</t>
        </is>
      </c>
      <c r="G660" s="33" t="inlineStr">
        <is>
          <t>Статус</t>
        </is>
      </c>
    </row>
    <row r="661">
      <c r="A661" s="34" t="inlineStr">
        <is>
          <t>УНГ-05</t>
        </is>
      </c>
      <c r="B661" s="34" t="inlineStr">
        <is>
          <t>A92</t>
        </is>
      </c>
      <c r="C661" s="46" t="n">
        <v>4861</v>
      </c>
      <c r="D661" s="46" t="n">
        <v>8086</v>
      </c>
      <c r="E661" s="46" t="n">
        <v>4043</v>
      </c>
      <c r="F661" s="46" t="n">
        <v>-0.8</v>
      </c>
      <c r="G661" s="34" t="inlineStr">
        <is>
          <t>покрыт рейсом</t>
        </is>
      </c>
    </row>
    <row r="662">
      <c r="A662" s="40" t="inlineStr">
        <is>
          <t>КОМ-06</t>
        </is>
      </c>
      <c r="B662" s="40" t="inlineStr">
        <is>
          <t>A95</t>
        </is>
      </c>
      <c r="C662" s="49" t="n">
        <v>4630</v>
      </c>
      <c r="D662" s="49" t="n">
        <v>5210</v>
      </c>
      <c r="E662" s="49" t="n">
        <v>2605</v>
      </c>
      <c r="F662" s="49" t="n">
        <v>-0.22</v>
      </c>
      <c r="G662" s="40" t="inlineStr">
        <is>
          <t>покрыт рейсом</t>
        </is>
      </c>
    </row>
    <row r="663">
      <c r="A663" s="34" t="inlineStr">
        <is>
          <t>БЭЛ-14</t>
        </is>
      </c>
      <c r="B663" s="34" t="inlineStr">
        <is>
          <t>A92</t>
        </is>
      </c>
      <c r="C663" s="46" t="n">
        <v>1623</v>
      </c>
      <c r="D663" s="46" t="n">
        <v>3116</v>
      </c>
      <c r="E663" s="46" t="n">
        <v>1558</v>
      </c>
      <c r="F663" s="46" t="n">
        <v>-0.96</v>
      </c>
      <c r="G663" s="34" t="inlineStr">
        <is>
          <t>покрыт рейсом</t>
        </is>
      </c>
    </row>
    <row r="664">
      <c r="A664" s="40" t="inlineStr">
        <is>
          <t>УНГ-17</t>
        </is>
      </c>
      <c r="B664" s="40" t="inlineStr">
        <is>
          <t>A95</t>
        </is>
      </c>
      <c r="C664" s="49" t="n">
        <v>1586</v>
      </c>
      <c r="D664" s="49" t="n">
        <v>1838</v>
      </c>
      <c r="E664" s="49" t="n">
        <v>919</v>
      </c>
      <c r="F664" s="49" t="n">
        <v>-0.27</v>
      </c>
      <c r="G664" s="40" t="inlineStr">
        <is>
          <t>покрыт рейсом</t>
        </is>
      </c>
    </row>
    <row r="665">
      <c r="A665" s="34" t="inlineStr">
        <is>
          <t>ОРХ-22</t>
        </is>
      </c>
      <c r="B665" s="34" t="inlineStr">
        <is>
          <t>A95</t>
        </is>
      </c>
      <c r="C665" s="46" t="n">
        <v>3618</v>
      </c>
      <c r="D665" s="46" t="n">
        <v>6374</v>
      </c>
      <c r="E665" s="46" t="n">
        <v>3187</v>
      </c>
      <c r="F665" s="46" t="n">
        <v>-0.86</v>
      </c>
      <c r="G665" s="34" t="inlineStr">
        <is>
          <t>покрыт рейсом</t>
        </is>
      </c>
    </row>
    <row r="666">
      <c r="A666" s="40" t="inlineStr">
        <is>
          <t>ОРХ-22</t>
        </is>
      </c>
      <c r="B666" s="40" t="inlineStr">
        <is>
          <t>DIESEL</t>
        </is>
      </c>
      <c r="C666" s="49" t="n">
        <v>1587</v>
      </c>
      <c r="D666" s="49" t="n">
        <v>2196</v>
      </c>
      <c r="E666" s="49" t="n">
        <v>1098</v>
      </c>
      <c r="F666" s="49" t="n">
        <v>-0.55</v>
      </c>
      <c r="G666" s="40" t="inlineStr">
        <is>
          <t>покрыт рейсом</t>
        </is>
      </c>
    </row>
  </sheetData>
  <mergeCells count="14">
    <mergeCell ref="A5:J5"/>
    <mergeCell ref="A506:J506"/>
    <mergeCell ref="A646:J646"/>
    <mergeCell ref="A27:J27"/>
    <mergeCell ref="A659:J659"/>
    <mergeCell ref="A3:J3"/>
    <mergeCell ref="A653:J653"/>
    <mergeCell ref="A50:J50"/>
    <mergeCell ref="A529:J529"/>
    <mergeCell ref="A406:J406"/>
    <mergeCell ref="A2:J2"/>
    <mergeCell ref="A568:J568"/>
    <mergeCell ref="A251:J251"/>
    <mergeCell ref="A41:J41"/>
  </mergeCells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H35"/>
  <sheetViews>
    <sheetView showGridLines="0" zoomScale="10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4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2" ht="34" customHeight="1">
      <c r="A2" s="13" t="inlineStr">
        <is>
          <t>Аудиторская выборка</t>
        </is>
      </c>
    </row>
    <row r="3" ht="20" customHeight="1">
      <c r="A3" s="14" t="inlineStr">
        <is>
          <t>Для контролей, которые не видны в данных целиком, проверяется выборка документов.</t>
        </is>
      </c>
    </row>
    <row r="5">
      <c r="A5" s="11" t="inlineStr">
        <is>
          <t>Как сформирована выборка</t>
        </is>
      </c>
    </row>
    <row r="6" ht="24" customHeight="1">
      <c r="A6" s="12" t="inlineStr">
        <is>
          <t>•  Ключ воспроизводимости: «BEMOL-2026». Состав выборки определяется хешем SHA-256 от ключа и номера документа, а не генератором случайных чисел: та же команда на другой машине и в другом году даст тот же список.</t>
        </is>
      </c>
    </row>
    <row r="7" ht="24" customHeight="1">
      <c r="A7" s="12" t="inlineStr">
        <is>
          <t>•  Объём выборки задан шкалой attribute sampling при ожидаемом нулевом уровне отклонений и доверии 90 %: контроль, срабатывающий ежедневно — 25 документов, еженедельно — 5, ежемесячно — 2.</t>
        </is>
      </c>
    </row>
    <row r="8" ht="24" customHeight="1">
      <c r="A8" s="12" t="inlineStr">
        <is>
          <t>•  Одно отклонение в выборке уже означает, что контроль не может быть признан эффективным: нулевой ожидаемый уровень отклонений не допускает исключений.</t>
        </is>
      </c>
    </row>
    <row r="10" ht="30" customHeight="1">
      <c r="A10" s="33" t="inlineStr">
        <is>
          <t>Контроль</t>
        </is>
      </c>
      <c r="B10" s="33" t="inlineStr">
        <is>
          <t>№</t>
        </is>
      </c>
      <c r="C10" s="33" t="inlineStr">
        <is>
          <t>Рейс</t>
        </is>
      </c>
      <c r="D10" s="33" t="inlineStr">
        <is>
          <t>Дата</t>
        </is>
      </c>
      <c r="E10" s="33" t="inlineStr">
        <is>
          <t>Путевой лист</t>
        </is>
      </c>
      <c r="F10" s="33" t="inlineStr">
        <is>
          <t>Создал</t>
        </is>
      </c>
      <c r="G10" s="33" t="inlineStr">
        <is>
          <t>Утвердил</t>
        </is>
      </c>
      <c r="H10" s="33" t="inlineStr">
        <is>
          <t>Результат</t>
        </is>
      </c>
    </row>
    <row r="11">
      <c r="A11" s="34" t="inlineStr">
        <is>
          <t>FLT-C-10</t>
        </is>
      </c>
      <c r="B11" s="46" t="n">
        <v>1</v>
      </c>
      <c r="C11" s="46" t="n">
        <v>94</v>
      </c>
      <c r="D11" s="34" t="inlineStr">
        <is>
          <t>2025-09-10</t>
        </is>
      </c>
      <c r="E11" s="34" t="inlineStr">
        <is>
          <t>AP-40094</t>
        </is>
      </c>
      <c r="F11" s="34" t="inlineStr">
        <is>
          <t>dispecer1</t>
        </is>
      </c>
      <c r="G11" s="34" t="inlineStr">
        <is>
          <t>logist1</t>
        </is>
      </c>
      <c r="H11" s="36" t="inlineStr">
        <is>
          <t>Без отклонений</t>
        </is>
      </c>
    </row>
    <row r="12">
      <c r="A12" s="40" t="inlineStr">
        <is>
          <t>FLT-C-10</t>
        </is>
      </c>
      <c r="B12" s="49" t="n">
        <v>2</v>
      </c>
      <c r="C12" s="49" t="n">
        <v>95</v>
      </c>
      <c r="D12" s="40" t="inlineStr">
        <is>
          <t>2025-09-11</t>
        </is>
      </c>
      <c r="E12" s="40" t="inlineStr">
        <is>
          <t>AP-40095</t>
        </is>
      </c>
      <c r="F12" s="40" t="inlineStr">
        <is>
          <t>dispecer2</t>
        </is>
      </c>
      <c r="G12" s="40" t="inlineStr">
        <is>
          <t>logist2</t>
        </is>
      </c>
      <c r="H12" s="36" t="inlineStr">
        <is>
          <t>Без отклонений</t>
        </is>
      </c>
    </row>
    <row r="13">
      <c r="A13" s="34" t="inlineStr">
        <is>
          <t>FLT-C-10</t>
        </is>
      </c>
      <c r="B13" s="46" t="n">
        <v>3</v>
      </c>
      <c r="C13" s="46" t="n">
        <v>204</v>
      </c>
      <c r="D13" s="34" t="inlineStr">
        <is>
          <t>2025-09-24</t>
        </is>
      </c>
      <c r="E13" s="34" t="inlineStr">
        <is>
          <t>AP-40204</t>
        </is>
      </c>
      <c r="F13" s="34" t="inlineStr">
        <is>
          <t>dispecer1</t>
        </is>
      </c>
      <c r="G13" s="34" t="inlineStr">
        <is>
          <t>logist2</t>
        </is>
      </c>
      <c r="H13" s="36" t="inlineStr">
        <is>
          <t>Без отклонений</t>
        </is>
      </c>
    </row>
    <row r="14">
      <c r="A14" s="40" t="inlineStr">
        <is>
          <t>FLT-C-10</t>
        </is>
      </c>
      <c r="B14" s="49" t="n">
        <v>4</v>
      </c>
      <c r="C14" s="49" t="n">
        <v>347</v>
      </c>
      <c r="D14" s="40" t="inlineStr">
        <is>
          <t>2025-10-09</t>
        </is>
      </c>
      <c r="E14" s="40" t="inlineStr">
        <is>
          <t>AP-40347</t>
        </is>
      </c>
      <c r="F14" s="40" t="inlineStr">
        <is>
          <t>dispecer1</t>
        </is>
      </c>
      <c r="G14" s="40" t="inlineStr">
        <is>
          <t>dispecer1</t>
        </is>
      </c>
      <c r="H14" s="40" t="inlineStr">
        <is>
          <t>Отклонение</t>
        </is>
      </c>
    </row>
    <row r="15">
      <c r="A15" s="34" t="inlineStr">
        <is>
          <t>FLT-C-10</t>
        </is>
      </c>
      <c r="B15" s="46" t="n">
        <v>5</v>
      </c>
      <c r="C15" s="46" t="n">
        <v>432</v>
      </c>
      <c r="D15" s="34" t="inlineStr">
        <is>
          <t>2025-10-18</t>
        </is>
      </c>
      <c r="E15" s="34" t="inlineStr">
        <is>
          <t>AP-40432</t>
        </is>
      </c>
      <c r="F15" s="34" t="inlineStr">
        <is>
          <t>dispecer1</t>
        </is>
      </c>
      <c r="G15" s="34" t="inlineStr">
        <is>
          <t>dispecer2</t>
        </is>
      </c>
      <c r="H15" s="36" t="inlineStr">
        <is>
          <t>Без отклонений</t>
        </is>
      </c>
    </row>
    <row r="16">
      <c r="A16" s="40" t="inlineStr">
        <is>
          <t>FLT-C-10</t>
        </is>
      </c>
      <c r="B16" s="49" t="n">
        <v>6</v>
      </c>
      <c r="C16" s="49" t="n">
        <v>443</v>
      </c>
      <c r="D16" s="40" t="inlineStr">
        <is>
          <t>2025-10-20</t>
        </is>
      </c>
      <c r="E16" s="40" t="inlineStr">
        <is>
          <t>AP-40443</t>
        </is>
      </c>
      <c r="F16" s="40" t="inlineStr">
        <is>
          <t>logist1</t>
        </is>
      </c>
      <c r="G16" s="40" t="inlineStr">
        <is>
          <t>sef.transport</t>
        </is>
      </c>
      <c r="H16" s="36" t="inlineStr">
        <is>
          <t>Без отклонений</t>
        </is>
      </c>
    </row>
    <row r="17">
      <c r="A17" s="34" t="inlineStr">
        <is>
          <t>FLT-C-10</t>
        </is>
      </c>
      <c r="B17" s="46" t="n">
        <v>7</v>
      </c>
      <c r="C17" s="46" t="n">
        <v>641</v>
      </c>
      <c r="D17" s="34" t="inlineStr">
        <is>
          <t>2025-11-14</t>
        </is>
      </c>
      <c r="E17" s="34" t="inlineStr">
        <is>
          <t>AP-40641</t>
        </is>
      </c>
      <c r="F17" s="34" t="inlineStr">
        <is>
          <t>dispecer1</t>
        </is>
      </c>
      <c r="G17" s="34" t="inlineStr">
        <is>
          <t>sef.transport</t>
        </is>
      </c>
      <c r="H17" s="36" t="inlineStr">
        <is>
          <t>Без отклонений</t>
        </is>
      </c>
    </row>
    <row r="18">
      <c r="A18" s="40" t="inlineStr">
        <is>
          <t>FLT-C-10</t>
        </is>
      </c>
      <c r="B18" s="49" t="n">
        <v>8</v>
      </c>
      <c r="C18" s="49" t="n">
        <v>698</v>
      </c>
      <c r="D18" s="40" t="inlineStr">
        <is>
          <t>2025-11-20</t>
        </is>
      </c>
      <c r="E18" s="40" t="inlineStr">
        <is>
          <t>AP-40698</t>
        </is>
      </c>
      <c r="F18" s="40" t="inlineStr">
        <is>
          <t>logist1</t>
        </is>
      </c>
      <c r="G18" s="40" t="inlineStr">
        <is>
          <t>dispecer2</t>
        </is>
      </c>
      <c r="H18" s="36" t="inlineStr">
        <is>
          <t>Без отклонений</t>
        </is>
      </c>
    </row>
    <row r="19">
      <c r="A19" s="34" t="inlineStr">
        <is>
          <t>FLT-C-10</t>
        </is>
      </c>
      <c r="B19" s="46" t="n">
        <v>9</v>
      </c>
      <c r="C19" s="46" t="n">
        <v>1017</v>
      </c>
      <c r="D19" s="34" t="inlineStr">
        <is>
          <t>2025-12-24</t>
        </is>
      </c>
      <c r="E19" s="34" t="inlineStr">
        <is>
          <t>AP-41017</t>
        </is>
      </c>
      <c r="F19" s="34" t="inlineStr">
        <is>
          <t>dispecer2</t>
        </is>
      </c>
      <c r="G19" s="34" t="inlineStr">
        <is>
          <t>logist1</t>
        </is>
      </c>
      <c r="H19" s="36" t="inlineStr">
        <is>
          <t>Без отклонений</t>
        </is>
      </c>
    </row>
    <row r="20">
      <c r="A20" s="40" t="inlineStr">
        <is>
          <t>FLT-C-10</t>
        </is>
      </c>
      <c r="B20" s="49" t="n">
        <v>10</v>
      </c>
      <c r="C20" s="49" t="n">
        <v>1171</v>
      </c>
      <c r="D20" s="40" t="inlineStr">
        <is>
          <t>2026-01-12</t>
        </is>
      </c>
      <c r="E20" s="40" t="inlineStr">
        <is>
          <t>AP-41171</t>
        </is>
      </c>
      <c r="F20" s="40" t="inlineStr">
        <is>
          <t>logist1</t>
        </is>
      </c>
      <c r="G20" s="40" t="inlineStr">
        <is>
          <t>contabil1</t>
        </is>
      </c>
      <c r="H20" s="36" t="inlineStr">
        <is>
          <t>Без отклонений</t>
        </is>
      </c>
    </row>
    <row r="21">
      <c r="A21" s="34" t="inlineStr">
        <is>
          <t>FLT-C-10</t>
        </is>
      </c>
      <c r="B21" s="46" t="n">
        <v>11</v>
      </c>
      <c r="C21" s="46" t="n">
        <v>1248</v>
      </c>
      <c r="D21" s="34" t="inlineStr">
        <is>
          <t>2026-01-20</t>
        </is>
      </c>
      <c r="E21" s="34" t="inlineStr">
        <is>
          <t>AP-41248</t>
        </is>
      </c>
      <c r="F21" s="34" t="inlineStr">
        <is>
          <t>logist2</t>
        </is>
      </c>
      <c r="G21" s="34" t="inlineStr">
        <is>
          <t>dispecer2</t>
        </is>
      </c>
      <c r="H21" s="36" t="inlineStr">
        <is>
          <t>Без отклонений</t>
        </is>
      </c>
    </row>
    <row r="22">
      <c r="A22" s="40" t="inlineStr">
        <is>
          <t>FLT-C-10</t>
        </is>
      </c>
      <c r="B22" s="49" t="n">
        <v>12</v>
      </c>
      <c r="C22" s="49" t="n">
        <v>1432</v>
      </c>
      <c r="D22" s="40" t="inlineStr">
        <is>
          <t>2026-02-09</t>
        </is>
      </c>
      <c r="E22" s="40" t="inlineStr">
        <is>
          <t>AP-41432</t>
        </is>
      </c>
      <c r="F22" s="40" t="inlineStr">
        <is>
          <t>dispecer1</t>
        </is>
      </c>
      <c r="G22" s="40" t="inlineStr">
        <is>
          <t>dispecer2</t>
        </is>
      </c>
      <c r="H22" s="36" t="inlineStr">
        <is>
          <t>Без отклонений</t>
        </is>
      </c>
    </row>
    <row r="23">
      <c r="A23" s="34" t="inlineStr">
        <is>
          <t>FLT-C-10</t>
        </is>
      </c>
      <c r="B23" s="46" t="n">
        <v>13</v>
      </c>
      <c r="C23" s="46" t="n">
        <v>1472</v>
      </c>
      <c r="D23" s="34" t="inlineStr">
        <is>
          <t>2026-02-13</t>
        </is>
      </c>
      <c r="E23" s="34" t="inlineStr">
        <is>
          <t>AP-41472</t>
        </is>
      </c>
      <c r="F23" s="34" t="inlineStr">
        <is>
          <t>dispecer2</t>
        </is>
      </c>
      <c r="G23" s="34" t="inlineStr">
        <is>
          <t>logist2</t>
        </is>
      </c>
      <c r="H23" s="36" t="inlineStr">
        <is>
          <t>Без отклонений</t>
        </is>
      </c>
    </row>
    <row r="24">
      <c r="A24" s="40" t="inlineStr">
        <is>
          <t>FLT-C-10</t>
        </is>
      </c>
      <c r="B24" s="49" t="n">
        <v>14</v>
      </c>
      <c r="C24" s="49" t="n">
        <v>1631</v>
      </c>
      <c r="D24" s="40" t="inlineStr">
        <is>
          <t>2026-03-03</t>
        </is>
      </c>
      <c r="E24" s="40" t="inlineStr">
        <is>
          <t>AP-41631</t>
        </is>
      </c>
      <c r="F24" s="40" t="inlineStr">
        <is>
          <t>dispecer2</t>
        </is>
      </c>
      <c r="G24" s="40" t="inlineStr">
        <is>
          <t>sef.transport</t>
        </is>
      </c>
      <c r="H24" s="36" t="inlineStr">
        <is>
          <t>Без отклонений</t>
        </is>
      </c>
    </row>
    <row r="25">
      <c r="A25" s="34" t="inlineStr">
        <is>
          <t>FLT-C-10</t>
        </is>
      </c>
      <c r="B25" s="46" t="n">
        <v>15</v>
      </c>
      <c r="C25" s="46" t="n">
        <v>1692</v>
      </c>
      <c r="D25" s="34" t="inlineStr">
        <is>
          <t>2026-03-10</t>
        </is>
      </c>
      <c r="E25" s="34" t="inlineStr">
        <is>
          <t>AP-41692</t>
        </is>
      </c>
      <c r="F25" s="34" t="inlineStr">
        <is>
          <t>logist2</t>
        </is>
      </c>
      <c r="G25" s="34" t="inlineStr">
        <is>
          <t>logist1</t>
        </is>
      </c>
      <c r="H25" s="36" t="inlineStr">
        <is>
          <t>Без отклонений</t>
        </is>
      </c>
    </row>
    <row r="26">
      <c r="A26" s="40" t="inlineStr">
        <is>
          <t>FLT-C-10</t>
        </is>
      </c>
      <c r="B26" s="49" t="n">
        <v>16</v>
      </c>
      <c r="C26" s="49" t="n">
        <v>2226</v>
      </c>
      <c r="D26" s="40" t="inlineStr">
        <is>
          <t>2026-05-06</t>
        </is>
      </c>
      <c r="E26" s="40" t="inlineStr">
        <is>
          <t>AP-42226</t>
        </is>
      </c>
      <c r="F26" s="40" t="inlineStr">
        <is>
          <t>logist2</t>
        </is>
      </c>
      <c r="G26" s="40" t="inlineStr">
        <is>
          <t>dispecer2</t>
        </is>
      </c>
      <c r="H26" s="36" t="inlineStr">
        <is>
          <t>Без отклонений</t>
        </is>
      </c>
    </row>
    <row r="27">
      <c r="A27" s="34" t="inlineStr">
        <is>
          <t>FLT-C-10</t>
        </is>
      </c>
      <c r="B27" s="46" t="n">
        <v>17</v>
      </c>
      <c r="C27" s="46" t="n">
        <v>2383</v>
      </c>
      <c r="D27" s="34" t="inlineStr">
        <is>
          <t>2026-05-23</t>
        </is>
      </c>
      <c r="E27" s="34" t="inlineStr">
        <is>
          <t>AP-42383</t>
        </is>
      </c>
      <c r="F27" s="34" t="inlineStr">
        <is>
          <t>dispecer2</t>
        </is>
      </c>
      <c r="G27" s="34" t="inlineStr">
        <is>
          <t>dispecer1</t>
        </is>
      </c>
      <c r="H27" s="36" t="inlineStr">
        <is>
          <t>Без отклонений</t>
        </is>
      </c>
    </row>
    <row r="28">
      <c r="A28" s="40" t="inlineStr">
        <is>
          <t>FLT-C-10</t>
        </is>
      </c>
      <c r="B28" s="49" t="n">
        <v>18</v>
      </c>
      <c r="C28" s="49" t="n">
        <v>2448</v>
      </c>
      <c r="D28" s="40" t="inlineStr">
        <is>
          <t>2026-06-01</t>
        </is>
      </c>
      <c r="E28" s="40" t="inlineStr">
        <is>
          <t>AP-42448</t>
        </is>
      </c>
      <c r="F28" s="40" t="inlineStr">
        <is>
          <t>logist2</t>
        </is>
      </c>
      <c r="G28" s="40" t="inlineStr">
        <is>
          <t>logist1</t>
        </is>
      </c>
      <c r="H28" s="36" t="inlineStr">
        <is>
          <t>Без отклонений</t>
        </is>
      </c>
    </row>
    <row r="29">
      <c r="A29" s="34" t="inlineStr">
        <is>
          <t>FLT-C-10</t>
        </is>
      </c>
      <c r="B29" s="46" t="n">
        <v>19</v>
      </c>
      <c r="C29" s="46" t="n">
        <v>2703</v>
      </c>
      <c r="D29" s="34" t="inlineStr">
        <is>
          <t>2026-06-30</t>
        </is>
      </c>
      <c r="E29" s="34" t="inlineStr">
        <is>
          <t>AP-42703</t>
        </is>
      </c>
      <c r="F29" s="34" t="inlineStr">
        <is>
          <t>logist1</t>
        </is>
      </c>
      <c r="G29" s="34" t="inlineStr">
        <is>
          <t>dispecer2</t>
        </is>
      </c>
      <c r="H29" s="36" t="inlineStr">
        <is>
          <t>Без отклонений</t>
        </is>
      </c>
    </row>
    <row r="30">
      <c r="A30" s="40" t="inlineStr">
        <is>
          <t>FLT-C-10</t>
        </is>
      </c>
      <c r="B30" s="49" t="n">
        <v>20</v>
      </c>
      <c r="C30" s="49" t="n">
        <v>2798</v>
      </c>
      <c r="D30" s="40" t="inlineStr">
        <is>
          <t>2026-07-10</t>
        </is>
      </c>
      <c r="E30" s="40" t="inlineStr">
        <is>
          <t>AP-42798</t>
        </is>
      </c>
      <c r="F30" s="40" t="inlineStr">
        <is>
          <t>logist1</t>
        </is>
      </c>
      <c r="G30" s="40" t="inlineStr">
        <is>
          <t>dispecer1</t>
        </is>
      </c>
      <c r="H30" s="36" t="inlineStr">
        <is>
          <t>Без отклонений</t>
        </is>
      </c>
    </row>
    <row r="31">
      <c r="A31" s="34" t="inlineStr">
        <is>
          <t>FLT-C-10</t>
        </is>
      </c>
      <c r="B31" s="46" t="n">
        <v>21</v>
      </c>
      <c r="C31" s="46" t="n">
        <v>2920</v>
      </c>
      <c r="D31" s="34" t="inlineStr">
        <is>
          <t>2026-07-24</t>
        </is>
      </c>
      <c r="E31" s="34" t="inlineStr">
        <is>
          <t>AP-42920</t>
        </is>
      </c>
      <c r="F31" s="34" t="inlineStr">
        <is>
          <t>logist1</t>
        </is>
      </c>
      <c r="G31" s="34" t="inlineStr">
        <is>
          <t>dispecer1</t>
        </is>
      </c>
      <c r="H31" s="36" t="inlineStr">
        <is>
          <t>Без отклонений</t>
        </is>
      </c>
    </row>
    <row r="32">
      <c r="A32" s="40" t="inlineStr">
        <is>
          <t>FLT-C-10</t>
        </is>
      </c>
      <c r="B32" s="49" t="n">
        <v>22</v>
      </c>
      <c r="C32" s="49" t="n">
        <v>2935</v>
      </c>
      <c r="D32" s="40" t="inlineStr">
        <is>
          <t>2026-07-25</t>
        </is>
      </c>
      <c r="E32" s="40" t="inlineStr">
        <is>
          <t>AP-42935</t>
        </is>
      </c>
      <c r="F32" s="40" t="inlineStr">
        <is>
          <t>logist1</t>
        </is>
      </c>
      <c r="G32" s="40" t="inlineStr">
        <is>
          <t>contabil1</t>
        </is>
      </c>
      <c r="H32" s="36" t="inlineStr">
        <is>
          <t>Без отклонений</t>
        </is>
      </c>
    </row>
    <row r="33">
      <c r="A33" s="34" t="inlineStr">
        <is>
          <t>FLT-C-10</t>
        </is>
      </c>
      <c r="B33" s="46" t="n">
        <v>23</v>
      </c>
      <c r="C33" s="46" t="n">
        <v>3372</v>
      </c>
      <c r="D33" s="34" t="inlineStr">
        <is>
          <t>2026-09-12</t>
        </is>
      </c>
      <c r="E33" s="34" t="inlineStr">
        <is>
          <t>AP-43372</t>
        </is>
      </c>
      <c r="F33" s="34" t="inlineStr">
        <is>
          <t>dispecer2</t>
        </is>
      </c>
      <c r="G33" s="34" t="inlineStr">
        <is>
          <t>logist1</t>
        </is>
      </c>
      <c r="H33" s="36" t="inlineStr">
        <is>
          <t>Без отклонений</t>
        </is>
      </c>
    </row>
    <row r="34">
      <c r="A34" s="40" t="inlineStr">
        <is>
          <t>FLT-C-10</t>
        </is>
      </c>
      <c r="B34" s="49" t="n">
        <v>24</v>
      </c>
      <c r="C34" s="49" t="n">
        <v>3391</v>
      </c>
      <c r="D34" s="40" t="inlineStr">
        <is>
          <t>2026-09-16</t>
        </is>
      </c>
      <c r="E34" s="40" t="inlineStr">
        <is>
          <t>AP-43391</t>
        </is>
      </c>
      <c r="F34" s="40" t="inlineStr">
        <is>
          <t>dispecer2</t>
        </is>
      </c>
      <c r="G34" s="40" t="inlineStr">
        <is>
          <t>contabil1</t>
        </is>
      </c>
      <c r="H34" s="36" t="inlineStr">
        <is>
          <t>Без отклонений</t>
        </is>
      </c>
    </row>
    <row r="35">
      <c r="A35" s="34" t="inlineStr">
        <is>
          <t>FLT-C-10</t>
        </is>
      </c>
      <c r="B35" s="46" t="n">
        <v>25</v>
      </c>
      <c r="C35" s="46" t="n">
        <v>3392</v>
      </c>
      <c r="D35" s="34" t="inlineStr">
        <is>
          <t>2026-09-16</t>
        </is>
      </c>
      <c r="E35" s="34" t="inlineStr">
        <is>
          <t>AP-43392</t>
        </is>
      </c>
      <c r="F35" s="34" t="inlineStr">
        <is>
          <t>logist1</t>
        </is>
      </c>
      <c r="G35" s="34" t="inlineStr">
        <is>
          <t>logist1</t>
        </is>
      </c>
      <c r="H35" s="34" t="inlineStr">
        <is>
          <t>Отклонение</t>
        </is>
      </c>
    </row>
  </sheetData>
  <mergeCells count="6">
    <mergeCell ref="A3:H3"/>
    <mergeCell ref="A7:H7"/>
    <mergeCell ref="A2:H2"/>
    <mergeCell ref="A5:H5"/>
    <mergeCell ref="A8:H8"/>
    <mergeCell ref="A6:H6"/>
  </mergeCells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74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5" customWidth="1" min="4" max="4"/>
    <col width="12" customWidth="1" min="5" max="5"/>
    <col width="14" customWidth="1" min="6" max="6"/>
    <col width="16" customWidth="1" min="7" max="7"/>
    <col width="12" customWidth="1" min="8" max="8"/>
    <col width="12" customWidth="1" min="9" max="9"/>
  </cols>
  <sheetData>
    <row r="1">
      <c r="A1" s="56" t="inlineStr">
        <is>
          <t>Месяц</t>
        </is>
      </c>
      <c r="B1" s="56" t="inlineStr">
        <is>
          <t>Регион</t>
        </is>
      </c>
      <c r="C1" s="56" t="inlineStr">
        <is>
          <t>Продукт</t>
        </is>
      </c>
      <c r="D1" s="56" t="inlineStr">
        <is>
          <t>Принято, л</t>
        </is>
      </c>
      <c r="E1" s="56" t="inlineStr">
        <is>
          <t>Позиций</t>
        </is>
      </c>
      <c r="F1" s="56" t="inlineStr">
        <is>
          <t>Потери, л</t>
        </is>
      </c>
      <c r="G1" s="56" t="inlineStr">
        <is>
          <t>Оценка потерь, лей</t>
        </is>
      </c>
      <c r="H1" s="56" t="inlineStr">
        <is>
          <t>В срезе</t>
        </is>
      </c>
      <c r="I1" s="56" t="inlineStr">
        <is>
          <t>В срезе без месяца</t>
        </is>
      </c>
    </row>
    <row r="2">
      <c r="A2" s="25" t="inlineStr">
        <is>
          <t>2025-09</t>
        </is>
      </c>
      <c r="B2" s="25" t="inlineStr">
        <is>
          <t>Бэлць</t>
        </is>
      </c>
      <c r="C2" s="25" t="inlineStr">
        <is>
          <t>A92</t>
        </is>
      </c>
      <c r="D2" s="31" t="n">
        <v>213942</v>
      </c>
      <c r="E2" s="31" t="n">
        <v>44</v>
      </c>
      <c r="F2" s="31" t="n">
        <v>1058</v>
      </c>
      <c r="G2" s="57" t="n">
        <v>25603.6</v>
      </c>
      <c r="H2" s="58">
        <f>IF(AND(OR('Панель BI'!$C$6="Все","сентябрь 2025"='Панель BI'!$C$6),OR('Панель BI'!$F$6="Все",$B2='Панель BI'!$F$6),OR('Панель BI'!$I$6="Все",$C2='Панель BI'!$I$6)),1,0)</f>
        <v/>
      </c>
      <c r="I2" s="58">
        <f>IF(AND(OR('Панель BI'!$F$6="Все",$B2='Панель BI'!$F$6),OR('Панель BI'!$I$6="Все",$C2='Панель BI'!$I$6)),1,0)</f>
        <v/>
      </c>
    </row>
    <row r="3">
      <c r="A3" s="25" t="inlineStr">
        <is>
          <t>2025-09</t>
        </is>
      </c>
      <c r="B3" s="25" t="inlineStr">
        <is>
          <t>Бэлць</t>
        </is>
      </c>
      <c r="C3" s="25" t="inlineStr">
        <is>
          <t>A95</t>
        </is>
      </c>
      <c r="D3" s="31" t="n">
        <v>159619</v>
      </c>
      <c r="E3" s="31" t="n">
        <v>32</v>
      </c>
      <c r="F3" s="31" t="n">
        <v>381</v>
      </c>
      <c r="G3" s="57" t="n">
        <v>9563.1</v>
      </c>
      <c r="H3" s="58">
        <f>IF(AND(OR('Панель BI'!$C$6="Все","сентябрь 2025"='Панель BI'!$C$6),OR('Панель BI'!$F$6="Все",$B3='Панель BI'!$F$6),OR('Панель BI'!$I$6="Все",$C3='Панель BI'!$I$6)),1,0)</f>
        <v/>
      </c>
      <c r="I3" s="58">
        <f>IF(AND(OR('Панель BI'!$F$6="Все",$B3='Панель BI'!$F$6),OR('Панель BI'!$I$6="Все",$C3='Панель BI'!$I$6)),1,0)</f>
        <v/>
      </c>
    </row>
    <row r="4">
      <c r="A4" s="25" t="inlineStr">
        <is>
          <t>2025-09</t>
        </is>
      </c>
      <c r="B4" s="25" t="inlineStr">
        <is>
          <t>Бэлць</t>
        </is>
      </c>
      <c r="C4" s="25" t="inlineStr">
        <is>
          <t>DIESEL</t>
        </is>
      </c>
      <c r="D4" s="31" t="n">
        <v>238184</v>
      </c>
      <c r="E4" s="31" t="n">
        <v>49</v>
      </c>
      <c r="F4" s="31" t="n">
        <v>816</v>
      </c>
      <c r="G4" s="57" t="n">
        <v>19094.4</v>
      </c>
      <c r="H4" s="58">
        <f>IF(AND(OR('Панель BI'!$C$6="Все","сентябрь 2025"='Панель BI'!$C$6),OR('Панель BI'!$F$6="Все",$B4='Панель BI'!$F$6),OR('Панель BI'!$I$6="Все",$C4='Панель BI'!$I$6)),1,0)</f>
        <v/>
      </c>
      <c r="I4" s="58">
        <f>IF(AND(OR('Панель BI'!$F$6="Все",$B4='Панель BI'!$F$6),OR('Панель BI'!$I$6="Все",$C4='Панель BI'!$I$6)),1,0)</f>
        <v/>
      </c>
    </row>
    <row r="5">
      <c r="A5" s="25" t="inlineStr">
        <is>
          <t>2025-09</t>
        </is>
      </c>
      <c r="B5" s="25" t="inlineStr">
        <is>
          <t>Кагул</t>
        </is>
      </c>
      <c r="C5" s="25" t="inlineStr">
        <is>
          <t>A92</t>
        </is>
      </c>
      <c r="D5" s="31" t="n">
        <v>178446</v>
      </c>
      <c r="E5" s="31" t="n">
        <v>37</v>
      </c>
      <c r="F5" s="31" t="n">
        <v>554</v>
      </c>
      <c r="G5" s="57" t="n">
        <v>13406.8</v>
      </c>
      <c r="H5" s="58">
        <f>IF(AND(OR('Панель BI'!$C$6="Все","сентябрь 2025"='Панель BI'!$C$6),OR('Панель BI'!$F$6="Все",$B5='Панель BI'!$F$6),OR('Панель BI'!$I$6="Все",$C5='Панель BI'!$I$6)),1,0)</f>
        <v/>
      </c>
      <c r="I5" s="58">
        <f>IF(AND(OR('Панель BI'!$F$6="Все",$B5='Панель BI'!$F$6),OR('Панель BI'!$I$6="Все",$C5='Панель BI'!$I$6)),1,0)</f>
        <v/>
      </c>
    </row>
    <row r="6">
      <c r="A6" s="25" t="inlineStr">
        <is>
          <t>2025-09</t>
        </is>
      </c>
      <c r="B6" s="25" t="inlineStr">
        <is>
          <t>Кагул</t>
        </is>
      </c>
      <c r="C6" s="25" t="inlineStr">
        <is>
          <t>A95</t>
        </is>
      </c>
      <c r="D6" s="31" t="n">
        <v>182115</v>
      </c>
      <c r="E6" s="31" t="n">
        <v>36</v>
      </c>
      <c r="F6" s="31" t="n">
        <v>885</v>
      </c>
      <c r="G6" s="57" t="n">
        <v>22213.5</v>
      </c>
      <c r="H6" s="58">
        <f>IF(AND(OR('Панель BI'!$C$6="Все","сентябрь 2025"='Панель BI'!$C$6),OR('Панель BI'!$F$6="Все",$B6='Панель BI'!$F$6),OR('Панель BI'!$I$6="Все",$C6='Панель BI'!$I$6)),1,0)</f>
        <v/>
      </c>
      <c r="I6" s="58">
        <f>IF(AND(OR('Панель BI'!$F$6="Все",$B6='Панель BI'!$F$6),OR('Панель BI'!$I$6="Все",$C6='Панель BI'!$I$6)),1,0)</f>
        <v/>
      </c>
    </row>
    <row r="7">
      <c r="A7" s="25" t="inlineStr">
        <is>
          <t>2025-09</t>
        </is>
      </c>
      <c r="B7" s="25" t="inlineStr">
        <is>
          <t>Кагул</t>
        </is>
      </c>
      <c r="C7" s="25" t="inlineStr">
        <is>
          <t>DIESEL</t>
        </is>
      </c>
      <c r="D7" s="31" t="n">
        <v>162555</v>
      </c>
      <c r="E7" s="31" t="n">
        <v>34</v>
      </c>
      <c r="F7" s="31" t="n">
        <v>445</v>
      </c>
      <c r="G7" s="57" t="n">
        <v>10413</v>
      </c>
      <c r="H7" s="58">
        <f>IF(AND(OR('Панель BI'!$C$6="Все","сентябрь 2025"='Панель BI'!$C$6),OR('Панель BI'!$F$6="Все",$B7='Панель BI'!$F$6),OR('Панель BI'!$I$6="Все",$C7='Панель BI'!$I$6)),1,0)</f>
        <v/>
      </c>
      <c r="I7" s="58">
        <f>IF(AND(OR('Панель BI'!$F$6="Все",$B7='Панель BI'!$F$6),OR('Панель BI'!$I$6="Все",$C7='Панель BI'!$I$6)),1,0)</f>
        <v/>
      </c>
    </row>
    <row r="8">
      <c r="A8" s="25" t="inlineStr">
        <is>
          <t>2025-09</t>
        </is>
      </c>
      <c r="B8" s="25" t="inlineStr">
        <is>
          <t>Кишинёв</t>
        </is>
      </c>
      <c r="C8" s="25" t="inlineStr">
        <is>
          <t>A92</t>
        </is>
      </c>
      <c r="D8" s="31" t="n">
        <v>193456</v>
      </c>
      <c r="E8" s="31" t="n">
        <v>39</v>
      </c>
      <c r="F8" s="31" t="n">
        <v>544</v>
      </c>
      <c r="G8" s="57" t="n">
        <v>13164.8</v>
      </c>
      <c r="H8" s="58">
        <f>IF(AND(OR('Панель BI'!$C$6="Все","сентябрь 2025"='Панель BI'!$C$6),OR('Панель BI'!$F$6="Все",$B8='Панель BI'!$F$6),OR('Панель BI'!$I$6="Все",$C8='Панель BI'!$I$6)),1,0)</f>
        <v/>
      </c>
      <c r="I8" s="58">
        <f>IF(AND(OR('Панель BI'!$F$6="Все",$B8='Панель BI'!$F$6),OR('Панель BI'!$I$6="Все",$C8='Панель BI'!$I$6)),1,0)</f>
        <v/>
      </c>
    </row>
    <row r="9">
      <c r="A9" s="25" t="inlineStr">
        <is>
          <t>2025-09</t>
        </is>
      </c>
      <c r="B9" s="25" t="inlineStr">
        <is>
          <t>Кишинёв</t>
        </is>
      </c>
      <c r="C9" s="25" t="inlineStr">
        <is>
          <t>A95</t>
        </is>
      </c>
      <c r="D9" s="31" t="n">
        <v>198923</v>
      </c>
      <c r="E9" s="31" t="n">
        <v>41</v>
      </c>
      <c r="F9" s="31" t="n">
        <v>1077</v>
      </c>
      <c r="G9" s="57" t="n">
        <v>27032.7</v>
      </c>
      <c r="H9" s="58">
        <f>IF(AND(OR('Панель BI'!$C$6="Все","сентябрь 2025"='Панель BI'!$C$6),OR('Панель BI'!$F$6="Все",$B9='Панель BI'!$F$6),OR('Панель BI'!$I$6="Все",$C9='Панель BI'!$I$6)),1,0)</f>
        <v/>
      </c>
      <c r="I9" s="58">
        <f>IF(AND(OR('Панель BI'!$F$6="Все",$B9='Панель BI'!$F$6),OR('Панель BI'!$I$6="Все",$C9='Панель BI'!$I$6)),1,0)</f>
        <v/>
      </c>
    </row>
    <row r="10">
      <c r="A10" s="25" t="inlineStr">
        <is>
          <t>2025-09</t>
        </is>
      </c>
      <c r="B10" s="25" t="inlineStr">
        <is>
          <t>Кишинёв</t>
        </is>
      </c>
      <c r="C10" s="25" t="inlineStr">
        <is>
          <t>DIESEL</t>
        </is>
      </c>
      <c r="D10" s="31" t="n">
        <v>172471</v>
      </c>
      <c r="E10" s="31" t="n">
        <v>34</v>
      </c>
      <c r="F10" s="31" t="n">
        <v>529</v>
      </c>
      <c r="G10" s="57" t="n">
        <v>12378.6</v>
      </c>
      <c r="H10" s="58">
        <f>IF(AND(OR('Панель BI'!$C$6="Все","сентябрь 2025"='Панель BI'!$C$6),OR('Панель BI'!$F$6="Все",$B10='Панель BI'!$F$6),OR('Панель BI'!$I$6="Все",$C10='Панель BI'!$I$6)),1,0)</f>
        <v/>
      </c>
      <c r="I10" s="58">
        <f>IF(AND(OR('Панель BI'!$F$6="Все",$B10='Панель BI'!$F$6),OR('Панель BI'!$I$6="Все",$C10='Панель BI'!$I$6)),1,0)</f>
        <v/>
      </c>
    </row>
    <row r="11">
      <c r="A11" s="25" t="inlineStr">
        <is>
          <t>2025-09</t>
        </is>
      </c>
      <c r="B11" s="25" t="inlineStr">
        <is>
          <t>Кишинёв</t>
        </is>
      </c>
      <c r="C11" s="25" t="inlineStr">
        <is>
          <t>GPL</t>
        </is>
      </c>
      <c r="D11" s="31" t="n">
        <v>35891</v>
      </c>
      <c r="E11" s="31" t="n">
        <v>8</v>
      </c>
      <c r="F11" s="31" t="n">
        <v>109</v>
      </c>
      <c r="G11" s="57" t="n">
        <v>1504.2</v>
      </c>
      <c r="H11" s="58">
        <f>IF(AND(OR('Панель BI'!$C$6="Все","сентябрь 2025"='Панель BI'!$C$6),OR('Панель BI'!$F$6="Все",$B11='Панель BI'!$F$6),OR('Панель BI'!$I$6="Все",$C11='Панель BI'!$I$6)),1,0)</f>
        <v/>
      </c>
      <c r="I11" s="58">
        <f>IF(AND(OR('Панель BI'!$F$6="Все",$B11='Панель BI'!$F$6),OR('Панель BI'!$I$6="Все",$C11='Панель BI'!$I$6)),1,0)</f>
        <v/>
      </c>
    </row>
    <row r="12">
      <c r="A12" s="25" t="inlineStr">
        <is>
          <t>2025-09</t>
        </is>
      </c>
      <c r="B12" s="25" t="inlineStr">
        <is>
          <t>Комрат</t>
        </is>
      </c>
      <c r="C12" s="25" t="inlineStr">
        <is>
          <t>A92</t>
        </is>
      </c>
      <c r="D12" s="31" t="n">
        <v>272061</v>
      </c>
      <c r="E12" s="31" t="n">
        <v>54</v>
      </c>
      <c r="F12" s="31" t="n">
        <v>1110</v>
      </c>
      <c r="G12" s="57" t="n">
        <v>26862</v>
      </c>
      <c r="H12" s="58">
        <f>IF(AND(OR('Панель BI'!$C$6="Все","сентябрь 2025"='Панель BI'!$C$6),OR('Панель BI'!$F$6="Все",$B12='Панель BI'!$F$6),OR('Панель BI'!$I$6="Все",$C12='Панель BI'!$I$6)),1,0)</f>
        <v/>
      </c>
      <c r="I12" s="58">
        <f>IF(AND(OR('Панель BI'!$F$6="Все",$B12='Панель BI'!$F$6),OR('Панель BI'!$I$6="Все",$C12='Панель BI'!$I$6)),1,0)</f>
        <v/>
      </c>
    </row>
    <row r="13">
      <c r="A13" s="25" t="inlineStr">
        <is>
          <t>2025-09</t>
        </is>
      </c>
      <c r="B13" s="25" t="inlineStr">
        <is>
          <t>Комрат</t>
        </is>
      </c>
      <c r="C13" s="25" t="inlineStr">
        <is>
          <t>A95</t>
        </is>
      </c>
      <c r="D13" s="31" t="n">
        <v>211426</v>
      </c>
      <c r="E13" s="31" t="n">
        <v>43</v>
      </c>
      <c r="F13" s="31" t="n">
        <v>574</v>
      </c>
      <c r="G13" s="57" t="n">
        <v>14407.4</v>
      </c>
      <c r="H13" s="58">
        <f>IF(AND(OR('Панель BI'!$C$6="Все","сентябрь 2025"='Панель BI'!$C$6),OR('Панель BI'!$F$6="Все",$B13='Панель BI'!$F$6),OR('Панель BI'!$I$6="Все",$C13='Панель BI'!$I$6)),1,0)</f>
        <v/>
      </c>
      <c r="I13" s="58">
        <f>IF(AND(OR('Панель BI'!$F$6="Все",$B13='Панель BI'!$F$6),OR('Панель BI'!$I$6="Все",$C13='Панель BI'!$I$6)),1,0)</f>
        <v/>
      </c>
    </row>
    <row r="14">
      <c r="A14" s="25" t="inlineStr">
        <is>
          <t>2025-09</t>
        </is>
      </c>
      <c r="B14" s="25" t="inlineStr">
        <is>
          <t>Комрат</t>
        </is>
      </c>
      <c r="C14" s="25" t="inlineStr">
        <is>
          <t>DIESEL</t>
        </is>
      </c>
      <c r="D14" s="31" t="n">
        <v>271791</v>
      </c>
      <c r="E14" s="31" t="n">
        <v>55</v>
      </c>
      <c r="F14" s="31" t="n">
        <v>1209</v>
      </c>
      <c r="G14" s="57" t="n">
        <v>28290.6</v>
      </c>
      <c r="H14" s="58">
        <f>IF(AND(OR('Панель BI'!$C$6="Все","сентябрь 2025"='Панель BI'!$C$6),OR('Панель BI'!$F$6="Все",$B14='Панель BI'!$F$6),OR('Панель BI'!$I$6="Все",$C14='Панель BI'!$I$6)),1,0)</f>
        <v/>
      </c>
      <c r="I14" s="58">
        <f>IF(AND(OR('Панель BI'!$F$6="Все",$B14='Панель BI'!$F$6),OR('Панель BI'!$I$6="Все",$C14='Панель BI'!$I$6)),1,0)</f>
        <v/>
      </c>
    </row>
    <row r="15">
      <c r="A15" s="25" t="inlineStr">
        <is>
          <t>2025-09</t>
        </is>
      </c>
      <c r="B15" s="25" t="inlineStr">
        <is>
          <t>Комрат</t>
        </is>
      </c>
      <c r="C15" s="25" t="inlineStr">
        <is>
          <t>GPL</t>
        </is>
      </c>
      <c r="D15" s="31" t="n">
        <v>171897</v>
      </c>
      <c r="E15" s="31" t="n">
        <v>35</v>
      </c>
      <c r="F15" s="31" t="n">
        <v>1103</v>
      </c>
      <c r="G15" s="57" t="n">
        <v>15221.4</v>
      </c>
      <c r="H15" s="58">
        <f>IF(AND(OR('Панель BI'!$C$6="Все","сентябрь 2025"='Панель BI'!$C$6),OR('Панель BI'!$F$6="Все",$B15='Панель BI'!$F$6),OR('Панель BI'!$I$6="Все",$C15='Панель BI'!$I$6)),1,0)</f>
        <v/>
      </c>
      <c r="I15" s="58">
        <f>IF(AND(OR('Панель BI'!$F$6="Все",$B15='Панель BI'!$F$6),OR('Панель BI'!$I$6="Все",$C15='Панель BI'!$I$6)),1,0)</f>
        <v/>
      </c>
    </row>
    <row r="16">
      <c r="A16" s="25" t="inlineStr">
        <is>
          <t>2025-09</t>
        </is>
      </c>
      <c r="B16" s="25" t="inlineStr">
        <is>
          <t>Орхей</t>
        </is>
      </c>
      <c r="C16" s="25" t="inlineStr">
        <is>
          <t>A92</t>
        </is>
      </c>
      <c r="D16" s="31" t="n">
        <v>208206</v>
      </c>
      <c r="E16" s="31" t="n">
        <v>42</v>
      </c>
      <c r="F16" s="31" t="n">
        <v>794</v>
      </c>
      <c r="G16" s="57" t="n">
        <v>19214.8</v>
      </c>
      <c r="H16" s="58">
        <f>IF(AND(OR('Панель BI'!$C$6="Все","сентябрь 2025"='Панель BI'!$C$6),OR('Панель BI'!$F$6="Все",$B16='Панель BI'!$F$6),OR('Панель BI'!$I$6="Все",$C16='Панель BI'!$I$6)),1,0)</f>
        <v/>
      </c>
      <c r="I16" s="58">
        <f>IF(AND(OR('Панель BI'!$F$6="Все",$B16='Панель BI'!$F$6),OR('Панель BI'!$I$6="Все",$C16='Панель BI'!$I$6)),1,0)</f>
        <v/>
      </c>
    </row>
    <row r="17">
      <c r="A17" s="25" t="inlineStr">
        <is>
          <t>2025-09</t>
        </is>
      </c>
      <c r="B17" s="25" t="inlineStr">
        <is>
          <t>Орхей</t>
        </is>
      </c>
      <c r="C17" s="25" t="inlineStr">
        <is>
          <t>A95</t>
        </is>
      </c>
      <c r="D17" s="31" t="n">
        <v>202053</v>
      </c>
      <c r="E17" s="31" t="n">
        <v>40</v>
      </c>
      <c r="F17" s="31" t="n">
        <v>947</v>
      </c>
      <c r="G17" s="57" t="n">
        <v>23769.7</v>
      </c>
      <c r="H17" s="58">
        <f>IF(AND(OR('Панель BI'!$C$6="Все","сентябрь 2025"='Панель BI'!$C$6),OR('Панель BI'!$F$6="Все",$B17='Панель BI'!$F$6),OR('Панель BI'!$I$6="Все",$C17='Панель BI'!$I$6)),1,0)</f>
        <v/>
      </c>
      <c r="I17" s="58">
        <f>IF(AND(OR('Панель BI'!$F$6="Все",$B17='Панель BI'!$F$6),OR('Панель BI'!$I$6="Все",$C17='Панель BI'!$I$6)),1,0)</f>
        <v/>
      </c>
    </row>
    <row r="18">
      <c r="A18" s="25" t="inlineStr">
        <is>
          <t>2025-09</t>
        </is>
      </c>
      <c r="B18" s="25" t="inlineStr">
        <is>
          <t>Орхей</t>
        </is>
      </c>
      <c r="C18" s="25" t="inlineStr">
        <is>
          <t>DIESEL</t>
        </is>
      </c>
      <c r="D18" s="31" t="n">
        <v>205421</v>
      </c>
      <c r="E18" s="31" t="n">
        <v>41</v>
      </c>
      <c r="F18" s="31" t="n">
        <v>579</v>
      </c>
      <c r="G18" s="57" t="n">
        <v>13548.6</v>
      </c>
      <c r="H18" s="58">
        <f>IF(AND(OR('Панель BI'!$C$6="Все","сентябрь 2025"='Панель BI'!$C$6),OR('Панель BI'!$F$6="Все",$B18='Панель BI'!$F$6),OR('Панель BI'!$I$6="Все",$C18='Панель BI'!$I$6)),1,0)</f>
        <v/>
      </c>
      <c r="I18" s="58">
        <f>IF(AND(OR('Панель BI'!$F$6="Все",$B18='Панель BI'!$F$6),OR('Панель BI'!$I$6="Все",$C18='Панель BI'!$I$6)),1,0)</f>
        <v/>
      </c>
    </row>
    <row r="19">
      <c r="A19" s="25" t="inlineStr">
        <is>
          <t>2025-09</t>
        </is>
      </c>
      <c r="B19" s="25" t="inlineStr">
        <is>
          <t>Унгень</t>
        </is>
      </c>
      <c r="C19" s="25" t="inlineStr">
        <is>
          <t>A92</t>
        </is>
      </c>
      <c r="D19" s="31" t="n">
        <v>218391</v>
      </c>
      <c r="E19" s="31" t="n">
        <v>45</v>
      </c>
      <c r="F19" s="31" t="n">
        <v>609</v>
      </c>
      <c r="G19" s="57" t="n">
        <v>14737.8</v>
      </c>
      <c r="H19" s="58">
        <f>IF(AND(OR('Панель BI'!$C$6="Все","сентябрь 2025"='Панель BI'!$C$6),OR('Панель BI'!$F$6="Все",$B19='Панель BI'!$F$6),OR('Панель BI'!$I$6="Все",$C19='Панель BI'!$I$6)),1,0)</f>
        <v/>
      </c>
      <c r="I19" s="58">
        <f>IF(AND(OR('Панель BI'!$F$6="Все",$B19='Панель BI'!$F$6),OR('Панель BI'!$I$6="Все",$C19='Панель BI'!$I$6)),1,0)</f>
        <v/>
      </c>
    </row>
    <row r="20">
      <c r="A20" s="25" t="inlineStr">
        <is>
          <t>2025-09</t>
        </is>
      </c>
      <c r="B20" s="25" t="inlineStr">
        <is>
          <t>Унгень</t>
        </is>
      </c>
      <c r="C20" s="25" t="inlineStr">
        <is>
          <t>A95</t>
        </is>
      </c>
      <c r="D20" s="31" t="n">
        <v>237095</v>
      </c>
      <c r="E20" s="31" t="n">
        <v>46</v>
      </c>
      <c r="F20" s="31" t="n">
        <v>1905</v>
      </c>
      <c r="G20" s="57" t="n">
        <v>47815.5</v>
      </c>
      <c r="H20" s="58">
        <f>IF(AND(OR('Панель BI'!$C$6="Все","сентябрь 2025"='Панель BI'!$C$6),OR('Панель BI'!$F$6="Все",$B20='Панель BI'!$F$6),OR('Панель BI'!$I$6="Все",$C20='Панель BI'!$I$6)),1,0)</f>
        <v/>
      </c>
      <c r="I20" s="58">
        <f>IF(AND(OR('Панель BI'!$F$6="Все",$B20='Панель BI'!$F$6),OR('Панель BI'!$I$6="Все",$C20='Панель BI'!$I$6)),1,0)</f>
        <v/>
      </c>
    </row>
    <row r="21">
      <c r="A21" s="25" t="inlineStr">
        <is>
          <t>2025-09</t>
        </is>
      </c>
      <c r="B21" s="25" t="inlineStr">
        <is>
          <t>Унгень</t>
        </is>
      </c>
      <c r="C21" s="25" t="inlineStr">
        <is>
          <t>DIESEL</t>
        </is>
      </c>
      <c r="D21" s="31" t="n">
        <v>215063</v>
      </c>
      <c r="E21" s="31" t="n">
        <v>41</v>
      </c>
      <c r="F21" s="31" t="n">
        <v>937</v>
      </c>
      <c r="G21" s="57" t="n">
        <v>21925.8</v>
      </c>
      <c r="H21" s="58">
        <f>IF(AND(OR('Панель BI'!$C$6="Все","сентябрь 2025"='Панель BI'!$C$6),OR('Панель BI'!$F$6="Все",$B21='Панель BI'!$F$6),OR('Панель BI'!$I$6="Все",$C21='Панель BI'!$I$6)),1,0)</f>
        <v/>
      </c>
      <c r="I21" s="58">
        <f>IF(AND(OR('Панель BI'!$F$6="Все",$B21='Панель BI'!$F$6),OR('Панель BI'!$I$6="Все",$C21='Панель BI'!$I$6)),1,0)</f>
        <v/>
      </c>
    </row>
    <row r="22">
      <c r="A22" s="25" t="inlineStr">
        <is>
          <t>2025-09</t>
        </is>
      </c>
      <c r="B22" s="25" t="inlineStr">
        <is>
          <t>Унгень</t>
        </is>
      </c>
      <c r="C22" s="25" t="inlineStr">
        <is>
          <t>GPL</t>
        </is>
      </c>
      <c r="D22" s="31" t="n">
        <v>29926</v>
      </c>
      <c r="E22" s="31" t="n">
        <v>6</v>
      </c>
      <c r="F22" s="31" t="n">
        <v>74</v>
      </c>
      <c r="G22" s="57" t="n">
        <v>1021.2</v>
      </c>
      <c r="H22" s="58">
        <f>IF(AND(OR('Панель BI'!$C$6="Все","сентябрь 2025"='Панель BI'!$C$6),OR('Панель BI'!$F$6="Все",$B22='Панель BI'!$F$6),OR('Панель BI'!$I$6="Все",$C22='Панель BI'!$I$6)),1,0)</f>
        <v/>
      </c>
      <c r="I22" s="58">
        <f>IF(AND(OR('Панель BI'!$F$6="Все",$B22='Панель BI'!$F$6),OR('Панель BI'!$I$6="Все",$C22='Панель BI'!$I$6)),1,0)</f>
        <v/>
      </c>
    </row>
    <row r="23">
      <c r="A23" s="25" t="inlineStr">
        <is>
          <t>2025-10</t>
        </is>
      </c>
      <c r="B23" s="25" t="inlineStr">
        <is>
          <t>Бэлць</t>
        </is>
      </c>
      <c r="C23" s="25" t="inlineStr">
        <is>
          <t>A92</t>
        </is>
      </c>
      <c r="D23" s="31" t="n">
        <v>170476</v>
      </c>
      <c r="E23" s="31" t="n">
        <v>35</v>
      </c>
      <c r="F23" s="31" t="n">
        <v>524</v>
      </c>
      <c r="G23" s="57" t="n">
        <v>12680.8</v>
      </c>
      <c r="H23" s="58">
        <f>IF(AND(OR('Панель BI'!$C$6="Все","октябрь 2025"='Панель BI'!$C$6),OR('Панель BI'!$F$6="Все",$B23='Панель BI'!$F$6),OR('Панель BI'!$I$6="Все",$C23='Панель BI'!$I$6)),1,0)</f>
        <v/>
      </c>
      <c r="I23" s="58">
        <f>IF(AND(OR('Панель BI'!$F$6="Все",$B23='Панель BI'!$F$6),OR('Панель BI'!$I$6="Все",$C23='Панель BI'!$I$6)),1,0)</f>
        <v/>
      </c>
    </row>
    <row r="24">
      <c r="A24" s="25" t="inlineStr">
        <is>
          <t>2025-10</t>
        </is>
      </c>
      <c r="B24" s="25" t="inlineStr">
        <is>
          <t>Бэлць</t>
        </is>
      </c>
      <c r="C24" s="25" t="inlineStr">
        <is>
          <t>A95</t>
        </is>
      </c>
      <c r="D24" s="31" t="n">
        <v>198416</v>
      </c>
      <c r="E24" s="31" t="n">
        <v>39</v>
      </c>
      <c r="F24" s="31" t="n">
        <v>584</v>
      </c>
      <c r="G24" s="57" t="n">
        <v>14658.4</v>
      </c>
      <c r="H24" s="58">
        <f>IF(AND(OR('Панель BI'!$C$6="Все","октябрь 2025"='Панель BI'!$C$6),OR('Панель BI'!$F$6="Все",$B24='Панель BI'!$F$6),OR('Панель BI'!$I$6="Все",$C24='Панель BI'!$I$6)),1,0)</f>
        <v/>
      </c>
      <c r="I24" s="58">
        <f>IF(AND(OR('Панель BI'!$F$6="Все",$B24='Панель BI'!$F$6),OR('Панель BI'!$I$6="Все",$C24='Панель BI'!$I$6)),1,0)</f>
        <v/>
      </c>
    </row>
    <row r="25">
      <c r="A25" s="25" t="inlineStr">
        <is>
          <t>2025-10</t>
        </is>
      </c>
      <c r="B25" s="25" t="inlineStr">
        <is>
          <t>Бэлць</t>
        </is>
      </c>
      <c r="C25" s="25" t="inlineStr">
        <is>
          <t>DIESEL</t>
        </is>
      </c>
      <c r="D25" s="31" t="n">
        <v>255393</v>
      </c>
      <c r="E25" s="31" t="n">
        <v>51</v>
      </c>
      <c r="F25" s="31" t="n">
        <v>607</v>
      </c>
      <c r="G25" s="57" t="n">
        <v>14203.8</v>
      </c>
      <c r="H25" s="58">
        <f>IF(AND(OR('Панель BI'!$C$6="Все","октябрь 2025"='Панель BI'!$C$6),OR('Панель BI'!$F$6="Все",$B25='Панель BI'!$F$6),OR('Панель BI'!$I$6="Все",$C25='Панель BI'!$I$6)),1,0)</f>
        <v/>
      </c>
      <c r="I25" s="58">
        <f>IF(AND(OR('Панель BI'!$F$6="Все",$B25='Панель BI'!$F$6),OR('Панель BI'!$I$6="Все",$C25='Панель BI'!$I$6)),1,0)</f>
        <v/>
      </c>
    </row>
    <row r="26">
      <c r="A26" s="25" t="inlineStr">
        <is>
          <t>2025-10</t>
        </is>
      </c>
      <c r="B26" s="25" t="inlineStr">
        <is>
          <t>Кагул</t>
        </is>
      </c>
      <c r="C26" s="25" t="inlineStr">
        <is>
          <t>A92</t>
        </is>
      </c>
      <c r="D26" s="31" t="n">
        <v>193427</v>
      </c>
      <c r="E26" s="31" t="n">
        <v>39</v>
      </c>
      <c r="F26" s="31" t="n">
        <v>573</v>
      </c>
      <c r="G26" s="57" t="n">
        <v>13866.6</v>
      </c>
      <c r="H26" s="58">
        <f>IF(AND(OR('Панель BI'!$C$6="Все","октябрь 2025"='Панель BI'!$C$6),OR('Панель BI'!$F$6="Все",$B26='Панель BI'!$F$6),OR('Панель BI'!$I$6="Все",$C26='Панель BI'!$I$6)),1,0)</f>
        <v/>
      </c>
      <c r="I26" s="58">
        <f>IF(AND(OR('Панель BI'!$F$6="Все",$B26='Панель BI'!$F$6),OR('Панель BI'!$I$6="Все",$C26='Панель BI'!$I$6)),1,0)</f>
        <v/>
      </c>
    </row>
    <row r="27">
      <c r="A27" s="25" t="inlineStr">
        <is>
          <t>2025-10</t>
        </is>
      </c>
      <c r="B27" s="25" t="inlineStr">
        <is>
          <t>Кагул</t>
        </is>
      </c>
      <c r="C27" s="25" t="inlineStr">
        <is>
          <t>A95</t>
        </is>
      </c>
      <c r="D27" s="31" t="n">
        <v>198065</v>
      </c>
      <c r="E27" s="31" t="n">
        <v>41</v>
      </c>
      <c r="F27" s="31" t="n">
        <v>935</v>
      </c>
      <c r="G27" s="57" t="n">
        <v>23468.5</v>
      </c>
      <c r="H27" s="58">
        <f>IF(AND(OR('Панель BI'!$C$6="Все","октябрь 2025"='Панель BI'!$C$6),OR('Панель BI'!$F$6="Все",$B27='Панель BI'!$F$6),OR('Панель BI'!$I$6="Все",$C27='Панель BI'!$I$6)),1,0)</f>
        <v/>
      </c>
      <c r="I27" s="58">
        <f>IF(AND(OR('Панель BI'!$F$6="Все",$B27='Панель BI'!$F$6),OR('Панель BI'!$I$6="Все",$C27='Панель BI'!$I$6)),1,0)</f>
        <v/>
      </c>
    </row>
    <row r="28">
      <c r="A28" s="25" t="inlineStr">
        <is>
          <t>2025-10</t>
        </is>
      </c>
      <c r="B28" s="25" t="inlineStr">
        <is>
          <t>Кагул</t>
        </is>
      </c>
      <c r="C28" s="25" t="inlineStr">
        <is>
          <t>DIESEL</t>
        </is>
      </c>
      <c r="D28" s="31" t="n">
        <v>205575</v>
      </c>
      <c r="E28" s="31" t="n">
        <v>44</v>
      </c>
      <c r="F28" s="31" t="n">
        <v>1425</v>
      </c>
      <c r="G28" s="57" t="n">
        <v>33345</v>
      </c>
      <c r="H28" s="58">
        <f>IF(AND(OR('Панель BI'!$C$6="Все","октябрь 2025"='Панель BI'!$C$6),OR('Панель BI'!$F$6="Все",$B28='Панель BI'!$F$6),OR('Панель BI'!$I$6="Все",$C28='Панель BI'!$I$6)),1,0)</f>
        <v/>
      </c>
      <c r="I28" s="58">
        <f>IF(AND(OR('Панель BI'!$F$6="Все",$B28='Панель BI'!$F$6),OR('Панель BI'!$I$6="Все",$C28='Панель BI'!$I$6)),1,0)</f>
        <v/>
      </c>
    </row>
    <row r="29">
      <c r="A29" s="25" t="inlineStr">
        <is>
          <t>2025-10</t>
        </is>
      </c>
      <c r="B29" s="25" t="inlineStr">
        <is>
          <t>Кишинёв</t>
        </is>
      </c>
      <c r="C29" s="25" t="inlineStr">
        <is>
          <t>A92</t>
        </is>
      </c>
      <c r="D29" s="31" t="n">
        <v>210397</v>
      </c>
      <c r="E29" s="31" t="n">
        <v>42</v>
      </c>
      <c r="F29" s="31" t="n">
        <v>603</v>
      </c>
      <c r="G29" s="57" t="n">
        <v>14592.6</v>
      </c>
      <c r="H29" s="58">
        <f>IF(AND(OR('Панель BI'!$C$6="Все","октябрь 2025"='Панель BI'!$C$6),OR('Панель BI'!$F$6="Все",$B29='Панель BI'!$F$6),OR('Панель BI'!$I$6="Все",$C29='Панель BI'!$I$6)),1,0)</f>
        <v/>
      </c>
      <c r="I29" s="58">
        <f>IF(AND(OR('Панель BI'!$F$6="Все",$B29='Панель BI'!$F$6),OR('Панель BI'!$I$6="Все",$C29='Панель BI'!$I$6)),1,0)</f>
        <v/>
      </c>
    </row>
    <row r="30">
      <c r="A30" s="25" t="inlineStr">
        <is>
          <t>2025-10</t>
        </is>
      </c>
      <c r="B30" s="25" t="inlineStr">
        <is>
          <t>Кишинёв</t>
        </is>
      </c>
      <c r="C30" s="25" t="inlineStr">
        <is>
          <t>A95</t>
        </is>
      </c>
      <c r="D30" s="31" t="n">
        <v>202395</v>
      </c>
      <c r="E30" s="31" t="n">
        <v>39</v>
      </c>
      <c r="F30" s="31" t="n">
        <v>605</v>
      </c>
      <c r="G30" s="57" t="n">
        <v>15185.5</v>
      </c>
      <c r="H30" s="58">
        <f>IF(AND(OR('Панель BI'!$C$6="Все","октябрь 2025"='Панель BI'!$C$6),OR('Панель BI'!$F$6="Все",$B30='Панель BI'!$F$6),OR('Панель BI'!$I$6="Все",$C30='Панель BI'!$I$6)),1,0)</f>
        <v/>
      </c>
      <c r="I30" s="58">
        <f>IF(AND(OR('Панель BI'!$F$6="Все",$B30='Панель BI'!$F$6),OR('Панель BI'!$I$6="Все",$C30='Панель BI'!$I$6)),1,0)</f>
        <v/>
      </c>
    </row>
    <row r="31">
      <c r="A31" s="25" t="inlineStr">
        <is>
          <t>2025-10</t>
        </is>
      </c>
      <c r="B31" s="25" t="inlineStr">
        <is>
          <t>Кишинёв</t>
        </is>
      </c>
      <c r="C31" s="25" t="inlineStr">
        <is>
          <t>DIESEL</t>
        </is>
      </c>
      <c r="D31" s="31" t="n">
        <v>201471</v>
      </c>
      <c r="E31" s="31" t="n">
        <v>40</v>
      </c>
      <c r="F31" s="31" t="n">
        <v>529</v>
      </c>
      <c r="G31" s="57" t="n">
        <v>12378.6</v>
      </c>
      <c r="H31" s="58">
        <f>IF(AND(OR('Панель BI'!$C$6="Все","октябрь 2025"='Панель BI'!$C$6),OR('Панель BI'!$F$6="Все",$B31='Панель BI'!$F$6),OR('Панель BI'!$I$6="Все",$C31='Панель BI'!$I$6)),1,0)</f>
        <v/>
      </c>
      <c r="I31" s="58">
        <f>IF(AND(OR('Панель BI'!$F$6="Все",$B31='Панель BI'!$F$6),OR('Панель BI'!$I$6="Все",$C31='Панель BI'!$I$6)),1,0)</f>
        <v/>
      </c>
    </row>
    <row r="32">
      <c r="A32" s="25" t="inlineStr">
        <is>
          <t>2025-10</t>
        </is>
      </c>
      <c r="B32" s="25" t="inlineStr">
        <is>
          <t>Кишинёв</t>
        </is>
      </c>
      <c r="C32" s="25" t="inlineStr">
        <is>
          <t>GPL</t>
        </is>
      </c>
      <c r="D32" s="31" t="n">
        <v>41866</v>
      </c>
      <c r="E32" s="31" t="n">
        <v>8</v>
      </c>
      <c r="F32" s="31" t="n">
        <v>134</v>
      </c>
      <c r="G32" s="57" t="n">
        <v>1849.2</v>
      </c>
      <c r="H32" s="58">
        <f>IF(AND(OR('Панель BI'!$C$6="Все","октябрь 2025"='Панель BI'!$C$6),OR('Панель BI'!$F$6="Все",$B32='Панель BI'!$F$6),OR('Панель BI'!$I$6="Все",$C32='Панель BI'!$I$6)),1,0)</f>
        <v/>
      </c>
      <c r="I32" s="58">
        <f>IF(AND(OR('Панель BI'!$F$6="Все",$B32='Панель BI'!$F$6),OR('Панель BI'!$I$6="Все",$C32='Панель BI'!$I$6)),1,0)</f>
        <v/>
      </c>
    </row>
    <row r="33">
      <c r="A33" s="25" t="inlineStr">
        <is>
          <t>2025-10</t>
        </is>
      </c>
      <c r="B33" s="25" t="inlineStr">
        <is>
          <t>Комрат</t>
        </is>
      </c>
      <c r="C33" s="25" t="inlineStr">
        <is>
          <t>A92</t>
        </is>
      </c>
      <c r="D33" s="31" t="n">
        <v>184470</v>
      </c>
      <c r="E33" s="31" t="n">
        <v>37</v>
      </c>
      <c r="F33" s="31" t="n">
        <v>530</v>
      </c>
      <c r="G33" s="57" t="n">
        <v>12826</v>
      </c>
      <c r="H33" s="58">
        <f>IF(AND(OR('Панель BI'!$C$6="Все","октябрь 2025"='Панель BI'!$C$6),OR('Панель BI'!$F$6="Все",$B33='Панель BI'!$F$6),OR('Панель BI'!$I$6="Все",$C33='Панель BI'!$I$6)),1,0)</f>
        <v/>
      </c>
      <c r="I33" s="58">
        <f>IF(AND(OR('Панель BI'!$F$6="Все",$B33='Панель BI'!$F$6),OR('Панель BI'!$I$6="Все",$C33='Панель BI'!$I$6)),1,0)</f>
        <v/>
      </c>
    </row>
    <row r="34">
      <c r="A34" s="25" t="inlineStr">
        <is>
          <t>2025-10</t>
        </is>
      </c>
      <c r="B34" s="25" t="inlineStr">
        <is>
          <t>Комрат</t>
        </is>
      </c>
      <c r="C34" s="25" t="inlineStr">
        <is>
          <t>A95</t>
        </is>
      </c>
      <c r="D34" s="31" t="n">
        <v>237070</v>
      </c>
      <c r="E34" s="31" t="n">
        <v>49</v>
      </c>
      <c r="F34" s="31" t="n">
        <v>930</v>
      </c>
      <c r="G34" s="57" t="n">
        <v>23343</v>
      </c>
      <c r="H34" s="58">
        <f>IF(AND(OR('Панель BI'!$C$6="Все","октябрь 2025"='Панель BI'!$C$6),OR('Панель BI'!$F$6="Все",$B34='Панель BI'!$F$6),OR('Панель BI'!$I$6="Все",$C34='Панель BI'!$I$6)),1,0)</f>
        <v/>
      </c>
      <c r="I34" s="58">
        <f>IF(AND(OR('Панель BI'!$F$6="Все",$B34='Панель BI'!$F$6),OR('Панель BI'!$I$6="Все",$C34='Панель BI'!$I$6)),1,0)</f>
        <v/>
      </c>
    </row>
    <row r="35">
      <c r="A35" s="25" t="inlineStr">
        <is>
          <t>2025-10</t>
        </is>
      </c>
      <c r="B35" s="25" t="inlineStr">
        <is>
          <t>Комрат</t>
        </is>
      </c>
      <c r="C35" s="25" t="inlineStr">
        <is>
          <t>DIESEL</t>
        </is>
      </c>
      <c r="D35" s="31" t="n">
        <v>173537</v>
      </c>
      <c r="E35" s="31" t="n">
        <v>35</v>
      </c>
      <c r="F35" s="31" t="n">
        <v>463</v>
      </c>
      <c r="G35" s="57" t="n">
        <v>10834.2</v>
      </c>
      <c r="H35" s="58">
        <f>IF(AND(OR('Панель BI'!$C$6="Все","октябрь 2025"='Панель BI'!$C$6),OR('Панель BI'!$F$6="Все",$B35='Панель BI'!$F$6),OR('Панель BI'!$I$6="Все",$C35='Панель BI'!$I$6)),1,0)</f>
        <v/>
      </c>
      <c r="I35" s="58">
        <f>IF(AND(OR('Панель BI'!$F$6="Все",$B35='Панель BI'!$F$6),OR('Панель BI'!$I$6="Все",$C35='Панель BI'!$I$6)),1,0)</f>
        <v/>
      </c>
    </row>
    <row r="36">
      <c r="A36" s="25" t="inlineStr">
        <is>
          <t>2025-10</t>
        </is>
      </c>
      <c r="B36" s="25" t="inlineStr">
        <is>
          <t>Комрат</t>
        </is>
      </c>
      <c r="C36" s="25" t="inlineStr">
        <is>
          <t>GPL</t>
        </is>
      </c>
      <c r="D36" s="31" t="n">
        <v>161208</v>
      </c>
      <c r="E36" s="31" t="n">
        <v>33</v>
      </c>
      <c r="F36" s="31" t="n">
        <v>792</v>
      </c>
      <c r="G36" s="57" t="n">
        <v>10929.6</v>
      </c>
      <c r="H36" s="58">
        <f>IF(AND(OR('Панель BI'!$C$6="Все","октябрь 2025"='Панель BI'!$C$6),OR('Панель BI'!$F$6="Все",$B36='Панель BI'!$F$6),OR('Панель BI'!$I$6="Все",$C36='Панель BI'!$I$6)),1,0)</f>
        <v/>
      </c>
      <c r="I36" s="58">
        <f>IF(AND(OR('Панель BI'!$F$6="Все",$B36='Панель BI'!$F$6),OR('Панель BI'!$I$6="Все",$C36='Панель BI'!$I$6)),1,0)</f>
        <v/>
      </c>
    </row>
    <row r="37">
      <c r="A37" s="25" t="inlineStr">
        <is>
          <t>2025-10</t>
        </is>
      </c>
      <c r="B37" s="25" t="inlineStr">
        <is>
          <t>Орхей</t>
        </is>
      </c>
      <c r="C37" s="25" t="inlineStr">
        <is>
          <t>A92</t>
        </is>
      </c>
      <c r="D37" s="31" t="n">
        <v>240235</v>
      </c>
      <c r="E37" s="31" t="n">
        <v>49</v>
      </c>
      <c r="F37" s="31" t="n">
        <v>765</v>
      </c>
      <c r="G37" s="57" t="n">
        <v>18513</v>
      </c>
      <c r="H37" s="58">
        <f>IF(AND(OR('Панель BI'!$C$6="Все","октябрь 2025"='Панель BI'!$C$6),OR('Панель BI'!$F$6="Все",$B37='Панель BI'!$F$6),OR('Панель BI'!$I$6="Все",$C37='Панель BI'!$I$6)),1,0)</f>
        <v/>
      </c>
      <c r="I37" s="58">
        <f>IF(AND(OR('Панель BI'!$F$6="Все",$B37='Панель BI'!$F$6),OR('Панель BI'!$I$6="Все",$C37='Панель BI'!$I$6)),1,0)</f>
        <v/>
      </c>
    </row>
    <row r="38">
      <c r="A38" s="25" t="inlineStr">
        <is>
          <t>2025-10</t>
        </is>
      </c>
      <c r="B38" s="25" t="inlineStr">
        <is>
          <t>Орхей</t>
        </is>
      </c>
      <c r="C38" s="25" t="inlineStr">
        <is>
          <t>A95</t>
        </is>
      </c>
      <c r="D38" s="31" t="n">
        <v>245807</v>
      </c>
      <c r="E38" s="31" t="n">
        <v>51</v>
      </c>
      <c r="F38" s="31" t="n">
        <v>1193</v>
      </c>
      <c r="G38" s="57" t="n">
        <v>29944.3</v>
      </c>
      <c r="H38" s="58">
        <f>IF(AND(OR('Панель BI'!$C$6="Все","октябрь 2025"='Панель BI'!$C$6),OR('Панель BI'!$F$6="Все",$B38='Панель BI'!$F$6),OR('Панель BI'!$I$6="Все",$C38='Панель BI'!$I$6)),1,0)</f>
        <v/>
      </c>
      <c r="I38" s="58">
        <f>IF(AND(OR('Панель BI'!$F$6="Все",$B38='Панель BI'!$F$6),OR('Панель BI'!$I$6="Все",$C38='Панель BI'!$I$6)),1,0)</f>
        <v/>
      </c>
    </row>
    <row r="39">
      <c r="A39" s="25" t="inlineStr">
        <is>
          <t>2025-10</t>
        </is>
      </c>
      <c r="B39" s="25" t="inlineStr">
        <is>
          <t>Орхей</t>
        </is>
      </c>
      <c r="C39" s="25" t="inlineStr">
        <is>
          <t>DIESEL</t>
        </is>
      </c>
      <c r="D39" s="31" t="n">
        <v>183488</v>
      </c>
      <c r="E39" s="31" t="n">
        <v>39</v>
      </c>
      <c r="F39" s="31" t="n">
        <v>512</v>
      </c>
      <c r="G39" s="57" t="n">
        <v>11980.8</v>
      </c>
      <c r="H39" s="58">
        <f>IF(AND(OR('Панель BI'!$C$6="Все","октябрь 2025"='Панель BI'!$C$6),OR('Панель BI'!$F$6="Все",$B39='Панель BI'!$F$6),OR('Панель BI'!$I$6="Все",$C39='Панель BI'!$I$6)),1,0)</f>
        <v/>
      </c>
      <c r="I39" s="58">
        <f>IF(AND(OR('Панель BI'!$F$6="Все",$B39='Панель BI'!$F$6),OR('Панель BI'!$I$6="Все",$C39='Панель BI'!$I$6)),1,0)</f>
        <v/>
      </c>
    </row>
    <row r="40">
      <c r="A40" s="25" t="inlineStr">
        <is>
          <t>2025-10</t>
        </is>
      </c>
      <c r="B40" s="25" t="inlineStr">
        <is>
          <t>Унгень</t>
        </is>
      </c>
      <c r="C40" s="25" t="inlineStr">
        <is>
          <t>A92</t>
        </is>
      </c>
      <c r="D40" s="31" t="n">
        <v>193150</v>
      </c>
      <c r="E40" s="31" t="n">
        <v>41</v>
      </c>
      <c r="F40" s="31" t="n">
        <v>850</v>
      </c>
      <c r="G40" s="57" t="n">
        <v>20570</v>
      </c>
      <c r="H40" s="58">
        <f>IF(AND(OR('Панель BI'!$C$6="Все","октябрь 2025"='Панель BI'!$C$6),OR('Панель BI'!$F$6="Все",$B40='Панель BI'!$F$6),OR('Панель BI'!$I$6="Все",$C40='Панель BI'!$I$6)),1,0)</f>
        <v/>
      </c>
      <c r="I40" s="58">
        <f>IF(AND(OR('Панель BI'!$F$6="Все",$B40='Панель BI'!$F$6),OR('Панель BI'!$I$6="Все",$C40='Панель BI'!$I$6)),1,0)</f>
        <v/>
      </c>
    </row>
    <row r="41">
      <c r="A41" s="25" t="inlineStr">
        <is>
          <t>2025-10</t>
        </is>
      </c>
      <c r="B41" s="25" t="inlineStr">
        <is>
          <t>Унгень</t>
        </is>
      </c>
      <c r="C41" s="25" t="inlineStr">
        <is>
          <t>A95</t>
        </is>
      </c>
      <c r="D41" s="31" t="n">
        <v>192409</v>
      </c>
      <c r="E41" s="31" t="n">
        <v>40</v>
      </c>
      <c r="F41" s="31" t="n">
        <v>591</v>
      </c>
      <c r="G41" s="57" t="n">
        <v>14834.1</v>
      </c>
      <c r="H41" s="58">
        <f>IF(AND(OR('Панель BI'!$C$6="Все","октябрь 2025"='Панель BI'!$C$6),OR('Панель BI'!$F$6="Все",$B41='Панель BI'!$F$6),OR('Панель BI'!$I$6="Все",$C41='Панель BI'!$I$6)),1,0)</f>
        <v/>
      </c>
      <c r="I41" s="58">
        <f>IF(AND(OR('Панель BI'!$F$6="Все",$B41='Панель BI'!$F$6),OR('Панель BI'!$I$6="Все",$C41='Панель BI'!$I$6)),1,0)</f>
        <v/>
      </c>
    </row>
    <row r="42">
      <c r="A42" s="25" t="inlineStr">
        <is>
          <t>2025-10</t>
        </is>
      </c>
      <c r="B42" s="25" t="inlineStr">
        <is>
          <t>Унгень</t>
        </is>
      </c>
      <c r="C42" s="25" t="inlineStr">
        <is>
          <t>DIESEL</t>
        </is>
      </c>
      <c r="D42" s="31" t="n">
        <v>174429</v>
      </c>
      <c r="E42" s="31" t="n">
        <v>36</v>
      </c>
      <c r="F42" s="31" t="n">
        <v>571</v>
      </c>
      <c r="G42" s="57" t="n">
        <v>13361.4</v>
      </c>
      <c r="H42" s="58">
        <f>IF(AND(OR('Панель BI'!$C$6="Все","октябрь 2025"='Панель BI'!$C$6),OR('Панель BI'!$F$6="Все",$B42='Панель BI'!$F$6),OR('Панель BI'!$I$6="Все",$C42='Панель BI'!$I$6)),1,0)</f>
        <v/>
      </c>
      <c r="I42" s="58">
        <f>IF(AND(OR('Панель BI'!$F$6="Все",$B42='Панель BI'!$F$6),OR('Панель BI'!$I$6="Все",$C42='Панель BI'!$I$6)),1,0)</f>
        <v/>
      </c>
    </row>
    <row r="43">
      <c r="A43" s="25" t="inlineStr">
        <is>
          <t>2025-10</t>
        </is>
      </c>
      <c r="B43" s="25" t="inlineStr">
        <is>
          <t>Унгень</t>
        </is>
      </c>
      <c r="C43" s="25" t="inlineStr">
        <is>
          <t>GPL</t>
        </is>
      </c>
      <c r="D43" s="31" t="n">
        <v>38910</v>
      </c>
      <c r="E43" s="31" t="n">
        <v>8</v>
      </c>
      <c r="F43" s="31" t="n">
        <v>90</v>
      </c>
      <c r="G43" s="57" t="n">
        <v>1242</v>
      </c>
      <c r="H43" s="58">
        <f>IF(AND(OR('Панель BI'!$C$6="Все","октябрь 2025"='Панель BI'!$C$6),OR('Панель BI'!$F$6="Все",$B43='Панель BI'!$F$6),OR('Панель BI'!$I$6="Все",$C43='Панель BI'!$I$6)),1,0)</f>
        <v/>
      </c>
      <c r="I43" s="58">
        <f>IF(AND(OR('Панель BI'!$F$6="Все",$B43='Панель BI'!$F$6),OR('Панель BI'!$I$6="Все",$C43='Панель BI'!$I$6)),1,0)</f>
        <v/>
      </c>
    </row>
    <row r="44">
      <c r="A44" s="25" t="inlineStr">
        <is>
          <t>2025-11</t>
        </is>
      </c>
      <c r="B44" s="25" t="inlineStr">
        <is>
          <t>Бэлць</t>
        </is>
      </c>
      <c r="C44" s="25" t="inlineStr">
        <is>
          <t>A92</t>
        </is>
      </c>
      <c r="D44" s="31" t="n">
        <v>226216</v>
      </c>
      <c r="E44" s="31" t="n">
        <v>46</v>
      </c>
      <c r="F44" s="31" t="n">
        <v>784</v>
      </c>
      <c r="G44" s="57" t="n">
        <v>18972.8</v>
      </c>
      <c r="H44" s="58">
        <f>IF(AND(OR('Панель BI'!$C$6="Все","ноябрь 2025"='Панель BI'!$C$6),OR('Панель BI'!$F$6="Все",$B44='Панель BI'!$F$6),OR('Панель BI'!$I$6="Все",$C44='Панель BI'!$I$6)),1,0)</f>
        <v/>
      </c>
      <c r="I44" s="58">
        <f>IF(AND(OR('Панель BI'!$F$6="Все",$B44='Панель BI'!$F$6),OR('Панель BI'!$I$6="Все",$C44='Панель BI'!$I$6)),1,0)</f>
        <v/>
      </c>
    </row>
    <row r="45">
      <c r="A45" s="25" t="inlineStr">
        <is>
          <t>2025-11</t>
        </is>
      </c>
      <c r="B45" s="25" t="inlineStr">
        <is>
          <t>Бэлць</t>
        </is>
      </c>
      <c r="C45" s="25" t="inlineStr">
        <is>
          <t>A95</t>
        </is>
      </c>
      <c r="D45" s="31" t="n">
        <v>232276</v>
      </c>
      <c r="E45" s="31" t="n">
        <v>48</v>
      </c>
      <c r="F45" s="31" t="n">
        <v>724</v>
      </c>
      <c r="G45" s="57" t="n">
        <v>18172.4</v>
      </c>
      <c r="H45" s="58">
        <f>IF(AND(OR('Панель BI'!$C$6="Все","ноябрь 2025"='Панель BI'!$C$6),OR('Панель BI'!$F$6="Все",$B45='Панель BI'!$F$6),OR('Панель BI'!$I$6="Все",$C45='Панель BI'!$I$6)),1,0)</f>
        <v/>
      </c>
      <c r="I45" s="58">
        <f>IF(AND(OR('Панель BI'!$F$6="Все",$B45='Панель BI'!$F$6),OR('Панель BI'!$I$6="Все",$C45='Панель BI'!$I$6)),1,0)</f>
        <v/>
      </c>
    </row>
    <row r="46">
      <c r="A46" s="25" t="inlineStr">
        <is>
          <t>2025-11</t>
        </is>
      </c>
      <c r="B46" s="25" t="inlineStr">
        <is>
          <t>Бэлць</t>
        </is>
      </c>
      <c r="C46" s="25" t="inlineStr">
        <is>
          <t>DIESEL</t>
        </is>
      </c>
      <c r="D46" s="31" t="n">
        <v>240191</v>
      </c>
      <c r="E46" s="31" t="n">
        <v>48</v>
      </c>
      <c r="F46" s="31" t="n">
        <v>809</v>
      </c>
      <c r="G46" s="57" t="n">
        <v>18930.6</v>
      </c>
      <c r="H46" s="58">
        <f>IF(AND(OR('Панель BI'!$C$6="Все","ноябрь 2025"='Панель BI'!$C$6),OR('Панель BI'!$F$6="Все",$B46='Панель BI'!$F$6),OR('Панель BI'!$I$6="Все",$C46='Панель BI'!$I$6)),1,0)</f>
        <v/>
      </c>
      <c r="I46" s="58">
        <f>IF(AND(OR('Панель BI'!$F$6="Все",$B46='Панель BI'!$F$6),OR('Панель BI'!$I$6="Все",$C46='Панель BI'!$I$6)),1,0)</f>
        <v/>
      </c>
    </row>
    <row r="47">
      <c r="A47" s="25" t="inlineStr">
        <is>
          <t>2025-11</t>
        </is>
      </c>
      <c r="B47" s="25" t="inlineStr">
        <is>
          <t>Кагул</t>
        </is>
      </c>
      <c r="C47" s="25" t="inlineStr">
        <is>
          <t>A92</t>
        </is>
      </c>
      <c r="D47" s="31" t="n">
        <v>176549</v>
      </c>
      <c r="E47" s="31" t="n">
        <v>36</v>
      </c>
      <c r="F47" s="31" t="n">
        <v>451</v>
      </c>
      <c r="G47" s="57" t="n">
        <v>10914.2</v>
      </c>
      <c r="H47" s="58">
        <f>IF(AND(OR('Панель BI'!$C$6="Все","ноябрь 2025"='Панель BI'!$C$6),OR('Панель BI'!$F$6="Все",$B47='Панель BI'!$F$6),OR('Панель BI'!$I$6="Все",$C47='Панель BI'!$I$6)),1,0)</f>
        <v/>
      </c>
      <c r="I47" s="58">
        <f>IF(AND(OR('Панель BI'!$F$6="Все",$B47='Панель BI'!$F$6),OR('Панель BI'!$I$6="Все",$C47='Панель BI'!$I$6)),1,0)</f>
        <v/>
      </c>
    </row>
    <row r="48">
      <c r="A48" s="25" t="inlineStr">
        <is>
          <t>2025-11</t>
        </is>
      </c>
      <c r="B48" s="25" t="inlineStr">
        <is>
          <t>Кагул</t>
        </is>
      </c>
      <c r="C48" s="25" t="inlineStr">
        <is>
          <t>A95</t>
        </is>
      </c>
      <c r="D48" s="31" t="n">
        <v>169561</v>
      </c>
      <c r="E48" s="31" t="n">
        <v>33</v>
      </c>
      <c r="F48" s="31" t="n">
        <v>439</v>
      </c>
      <c r="G48" s="57" t="n">
        <v>11018.9</v>
      </c>
      <c r="H48" s="58">
        <f>IF(AND(OR('Панель BI'!$C$6="Все","ноябрь 2025"='Панель BI'!$C$6),OR('Панель BI'!$F$6="Все",$B48='Панель BI'!$F$6),OR('Панель BI'!$I$6="Все",$C48='Панель BI'!$I$6)),1,0)</f>
        <v/>
      </c>
      <c r="I48" s="58">
        <f>IF(AND(OR('Панель BI'!$F$6="Все",$B48='Панель BI'!$F$6),OR('Панель BI'!$I$6="Все",$C48='Панель BI'!$I$6)),1,0)</f>
        <v/>
      </c>
    </row>
    <row r="49">
      <c r="A49" s="25" t="inlineStr">
        <is>
          <t>2025-11</t>
        </is>
      </c>
      <c r="B49" s="25" t="inlineStr">
        <is>
          <t>Кагул</t>
        </is>
      </c>
      <c r="C49" s="25" t="inlineStr">
        <is>
          <t>DIESEL</t>
        </is>
      </c>
      <c r="D49" s="31" t="n">
        <v>225079</v>
      </c>
      <c r="E49" s="31" t="n">
        <v>44</v>
      </c>
      <c r="F49" s="31" t="n">
        <v>921</v>
      </c>
      <c r="G49" s="57" t="n">
        <v>21551.4</v>
      </c>
      <c r="H49" s="58">
        <f>IF(AND(OR('Панель BI'!$C$6="Все","ноябрь 2025"='Панель BI'!$C$6),OR('Панель BI'!$F$6="Все",$B49='Панель BI'!$F$6),OR('Панель BI'!$I$6="Все",$C49='Панель BI'!$I$6)),1,0)</f>
        <v/>
      </c>
      <c r="I49" s="58">
        <f>IF(AND(OR('Панель BI'!$F$6="Все",$B49='Панель BI'!$F$6),OR('Панель BI'!$I$6="Все",$C49='Панель BI'!$I$6)),1,0)</f>
        <v/>
      </c>
    </row>
    <row r="50">
      <c r="A50" s="25" t="inlineStr">
        <is>
          <t>2025-11</t>
        </is>
      </c>
      <c r="B50" s="25" t="inlineStr">
        <is>
          <t>Кишинёв</t>
        </is>
      </c>
      <c r="C50" s="25" t="inlineStr">
        <is>
          <t>A92</t>
        </is>
      </c>
      <c r="D50" s="31" t="n">
        <v>146590</v>
      </c>
      <c r="E50" s="31" t="n">
        <v>30</v>
      </c>
      <c r="F50" s="31" t="n">
        <v>410</v>
      </c>
      <c r="G50" s="57" t="n">
        <v>9922</v>
      </c>
      <c r="H50" s="58">
        <f>IF(AND(OR('Панель BI'!$C$6="Все","ноябрь 2025"='Панель BI'!$C$6),OR('Панель BI'!$F$6="Все",$B50='Панель BI'!$F$6),OR('Панель BI'!$I$6="Все",$C50='Панель BI'!$I$6)),1,0)</f>
        <v/>
      </c>
      <c r="I50" s="58">
        <f>IF(AND(OR('Панель BI'!$F$6="Все",$B50='Панель BI'!$F$6),OR('Панель BI'!$I$6="Все",$C50='Панель BI'!$I$6)),1,0)</f>
        <v/>
      </c>
    </row>
    <row r="51">
      <c r="A51" s="25" t="inlineStr">
        <is>
          <t>2025-11</t>
        </is>
      </c>
      <c r="B51" s="25" t="inlineStr">
        <is>
          <t>Кишинёв</t>
        </is>
      </c>
      <c r="C51" s="25" t="inlineStr">
        <is>
          <t>A95</t>
        </is>
      </c>
      <c r="D51" s="31" t="n">
        <v>192351</v>
      </c>
      <c r="E51" s="31" t="n">
        <v>38</v>
      </c>
      <c r="F51" s="31" t="n">
        <v>649</v>
      </c>
      <c r="G51" s="57" t="n">
        <v>16289.9</v>
      </c>
      <c r="H51" s="58">
        <f>IF(AND(OR('Панель BI'!$C$6="Все","ноябрь 2025"='Панель BI'!$C$6),OR('Панель BI'!$F$6="Все",$B51='Панель BI'!$F$6),OR('Панель BI'!$I$6="Все",$C51='Панель BI'!$I$6)),1,0)</f>
        <v/>
      </c>
      <c r="I51" s="58">
        <f>IF(AND(OR('Панель BI'!$F$6="Все",$B51='Панель BI'!$F$6),OR('Панель BI'!$I$6="Все",$C51='Панель BI'!$I$6)),1,0)</f>
        <v/>
      </c>
    </row>
    <row r="52">
      <c r="A52" s="25" t="inlineStr">
        <is>
          <t>2025-11</t>
        </is>
      </c>
      <c r="B52" s="25" t="inlineStr">
        <is>
          <t>Кишинёв</t>
        </is>
      </c>
      <c r="C52" s="25" t="inlineStr">
        <is>
          <t>DIESEL</t>
        </is>
      </c>
      <c r="D52" s="31" t="n">
        <v>240336</v>
      </c>
      <c r="E52" s="31" t="n">
        <v>47</v>
      </c>
      <c r="F52" s="31" t="n">
        <v>664</v>
      </c>
      <c r="G52" s="57" t="n">
        <v>15537.6</v>
      </c>
      <c r="H52" s="58">
        <f>IF(AND(OR('Панель BI'!$C$6="Все","ноябрь 2025"='Панель BI'!$C$6),OR('Панель BI'!$F$6="Все",$B52='Панель BI'!$F$6),OR('Панель BI'!$I$6="Все",$C52='Панель BI'!$I$6)),1,0)</f>
        <v/>
      </c>
      <c r="I52" s="58">
        <f>IF(AND(OR('Панель BI'!$F$6="Все",$B52='Панель BI'!$F$6),OR('Панель BI'!$I$6="Все",$C52='Панель BI'!$I$6)),1,0)</f>
        <v/>
      </c>
    </row>
    <row r="53">
      <c r="A53" s="25" t="inlineStr">
        <is>
          <t>2025-11</t>
        </is>
      </c>
      <c r="B53" s="25" t="inlineStr">
        <is>
          <t>Кишинёв</t>
        </is>
      </c>
      <c r="C53" s="25" t="inlineStr">
        <is>
          <t>GPL</t>
        </is>
      </c>
      <c r="D53" s="31" t="n">
        <v>66774</v>
      </c>
      <c r="E53" s="31" t="n">
        <v>14</v>
      </c>
      <c r="F53" s="31" t="n">
        <v>226</v>
      </c>
      <c r="G53" s="57" t="n">
        <v>3118.8</v>
      </c>
      <c r="H53" s="58">
        <f>IF(AND(OR('Панель BI'!$C$6="Все","ноябрь 2025"='Панель BI'!$C$6),OR('Панель BI'!$F$6="Все",$B53='Панель BI'!$F$6),OR('Панель BI'!$I$6="Все",$C53='Панель BI'!$I$6)),1,0)</f>
        <v/>
      </c>
      <c r="I53" s="58">
        <f>IF(AND(OR('Панель BI'!$F$6="Все",$B53='Панель BI'!$F$6),OR('Панель BI'!$I$6="Все",$C53='Панель BI'!$I$6)),1,0)</f>
        <v/>
      </c>
    </row>
    <row r="54">
      <c r="A54" s="25" t="inlineStr">
        <is>
          <t>2025-11</t>
        </is>
      </c>
      <c r="B54" s="25" t="inlineStr">
        <is>
          <t>Комрат</t>
        </is>
      </c>
      <c r="C54" s="25" t="inlineStr">
        <is>
          <t>A92</t>
        </is>
      </c>
      <c r="D54" s="31" t="n">
        <v>157529</v>
      </c>
      <c r="E54" s="31" t="n">
        <v>32</v>
      </c>
      <c r="F54" s="31" t="n">
        <v>471</v>
      </c>
      <c r="G54" s="57" t="n">
        <v>11398.2</v>
      </c>
      <c r="H54" s="58">
        <f>IF(AND(OR('Панель BI'!$C$6="Все","ноябрь 2025"='Панель BI'!$C$6),OR('Панель BI'!$F$6="Все",$B54='Панель BI'!$F$6),OR('Панель BI'!$I$6="Все",$C54='Панель BI'!$I$6)),1,0)</f>
        <v/>
      </c>
      <c r="I54" s="58">
        <f>IF(AND(OR('Панель BI'!$F$6="Все",$B54='Панель BI'!$F$6),OR('Панель BI'!$I$6="Все",$C54='Панель BI'!$I$6)),1,0)</f>
        <v/>
      </c>
    </row>
    <row r="55">
      <c r="A55" s="25" t="inlineStr">
        <is>
          <t>2025-11</t>
        </is>
      </c>
      <c r="B55" s="25" t="inlineStr">
        <is>
          <t>Комрат</t>
        </is>
      </c>
      <c r="C55" s="25" t="inlineStr">
        <is>
          <t>A95</t>
        </is>
      </c>
      <c r="D55" s="31" t="n">
        <v>162429</v>
      </c>
      <c r="E55" s="31" t="n">
        <v>33</v>
      </c>
      <c r="F55" s="31" t="n">
        <v>571</v>
      </c>
      <c r="G55" s="57" t="n">
        <v>14332.1</v>
      </c>
      <c r="H55" s="58">
        <f>IF(AND(OR('Панель BI'!$C$6="Все","ноябрь 2025"='Панель BI'!$C$6),OR('Панель BI'!$F$6="Все",$B55='Панель BI'!$F$6),OR('Панель BI'!$I$6="Все",$C55='Панель BI'!$I$6)),1,0)</f>
        <v/>
      </c>
      <c r="I55" s="58">
        <f>IF(AND(OR('Панель BI'!$F$6="Все",$B55='Панель BI'!$F$6),OR('Панель BI'!$I$6="Все",$C55='Панель BI'!$I$6)),1,0)</f>
        <v/>
      </c>
    </row>
    <row r="56">
      <c r="A56" s="25" t="inlineStr">
        <is>
          <t>2025-11</t>
        </is>
      </c>
      <c r="B56" s="25" t="inlineStr">
        <is>
          <t>Комрат</t>
        </is>
      </c>
      <c r="C56" s="25" t="inlineStr">
        <is>
          <t>DIESEL</t>
        </is>
      </c>
      <c r="D56" s="31" t="n">
        <v>182110</v>
      </c>
      <c r="E56" s="31" t="n">
        <v>36</v>
      </c>
      <c r="F56" s="31" t="n">
        <v>890</v>
      </c>
      <c r="G56" s="57" t="n">
        <v>20826</v>
      </c>
      <c r="H56" s="58">
        <f>IF(AND(OR('Панель BI'!$C$6="Все","ноябрь 2025"='Панель BI'!$C$6),OR('Панель BI'!$F$6="Все",$B56='Панель BI'!$F$6),OR('Панель BI'!$I$6="Все",$C56='Панель BI'!$I$6)),1,0)</f>
        <v/>
      </c>
      <c r="I56" s="58">
        <f>IF(AND(OR('Панель BI'!$F$6="Все",$B56='Панель BI'!$F$6),OR('Панель BI'!$I$6="Все",$C56='Панель BI'!$I$6)),1,0)</f>
        <v/>
      </c>
    </row>
    <row r="57">
      <c r="A57" s="25" t="inlineStr">
        <is>
          <t>2025-11</t>
        </is>
      </c>
      <c r="B57" s="25" t="inlineStr">
        <is>
          <t>Комрат</t>
        </is>
      </c>
      <c r="C57" s="25" t="inlineStr">
        <is>
          <t>GPL</t>
        </is>
      </c>
      <c r="D57" s="31" t="n">
        <v>115594</v>
      </c>
      <c r="E57" s="31" t="n">
        <v>25</v>
      </c>
      <c r="F57" s="31" t="n">
        <v>406</v>
      </c>
      <c r="G57" s="57" t="n">
        <v>5602.8</v>
      </c>
      <c r="H57" s="58">
        <f>IF(AND(OR('Панель BI'!$C$6="Все","ноябрь 2025"='Панель BI'!$C$6),OR('Панель BI'!$F$6="Все",$B57='Панель BI'!$F$6),OR('Панель BI'!$I$6="Все",$C57='Панель BI'!$I$6)),1,0)</f>
        <v/>
      </c>
      <c r="I57" s="58">
        <f>IF(AND(OR('Панель BI'!$F$6="Все",$B57='Панель BI'!$F$6),OR('Панель BI'!$I$6="Все",$C57='Панель BI'!$I$6)),1,0)</f>
        <v/>
      </c>
    </row>
    <row r="58">
      <c r="A58" s="25" t="inlineStr">
        <is>
          <t>2025-11</t>
        </is>
      </c>
      <c r="B58" s="25" t="inlineStr">
        <is>
          <t>Орхей</t>
        </is>
      </c>
      <c r="C58" s="25" t="inlineStr">
        <is>
          <t>A92</t>
        </is>
      </c>
      <c r="D58" s="31" t="n">
        <v>241311</v>
      </c>
      <c r="E58" s="31" t="n">
        <v>50</v>
      </c>
      <c r="F58" s="31" t="n">
        <v>689</v>
      </c>
      <c r="G58" s="57" t="n">
        <v>16673.8</v>
      </c>
      <c r="H58" s="58">
        <f>IF(AND(OR('Панель BI'!$C$6="Все","ноябрь 2025"='Панель BI'!$C$6),OR('Панель BI'!$F$6="Все",$B58='Панель BI'!$F$6),OR('Панель BI'!$I$6="Все",$C58='Панель BI'!$I$6)),1,0)</f>
        <v/>
      </c>
      <c r="I58" s="58">
        <f>IF(AND(OR('Панель BI'!$F$6="Все",$B58='Панель BI'!$F$6),OR('Панель BI'!$I$6="Все",$C58='Панель BI'!$I$6)),1,0)</f>
        <v/>
      </c>
    </row>
    <row r="59">
      <c r="A59" s="25" t="inlineStr">
        <is>
          <t>2025-11</t>
        </is>
      </c>
      <c r="B59" s="25" t="inlineStr">
        <is>
          <t>Орхей</t>
        </is>
      </c>
      <c r="C59" s="25" t="inlineStr">
        <is>
          <t>A95</t>
        </is>
      </c>
      <c r="D59" s="31" t="n">
        <v>174486</v>
      </c>
      <c r="E59" s="31" t="n">
        <v>35</v>
      </c>
      <c r="F59" s="31" t="n">
        <v>514</v>
      </c>
      <c r="G59" s="57" t="n">
        <v>12901.4</v>
      </c>
      <c r="H59" s="58">
        <f>IF(AND(OR('Панель BI'!$C$6="Все","ноябрь 2025"='Панель BI'!$C$6),OR('Панель BI'!$F$6="Все",$B59='Панель BI'!$F$6),OR('Панель BI'!$I$6="Все",$C59='Панель BI'!$I$6)),1,0)</f>
        <v/>
      </c>
      <c r="I59" s="58">
        <f>IF(AND(OR('Панель BI'!$F$6="Все",$B59='Панель BI'!$F$6),OR('Панель BI'!$I$6="Все",$C59='Панель BI'!$I$6)),1,0)</f>
        <v/>
      </c>
    </row>
    <row r="60">
      <c r="A60" s="25" t="inlineStr">
        <is>
          <t>2025-11</t>
        </is>
      </c>
      <c r="B60" s="25" t="inlineStr">
        <is>
          <t>Орхей</t>
        </is>
      </c>
      <c r="C60" s="25" t="inlineStr">
        <is>
          <t>DIESEL</t>
        </is>
      </c>
      <c r="D60" s="31" t="n">
        <v>188910</v>
      </c>
      <c r="E60" s="31" t="n">
        <v>39</v>
      </c>
      <c r="F60" s="31" t="n">
        <v>1090</v>
      </c>
      <c r="G60" s="57" t="n">
        <v>25506</v>
      </c>
      <c r="H60" s="58">
        <f>IF(AND(OR('Панель BI'!$C$6="Все","ноябрь 2025"='Панель BI'!$C$6),OR('Панель BI'!$F$6="Все",$B60='Панель BI'!$F$6),OR('Панель BI'!$I$6="Все",$C60='Панель BI'!$I$6)),1,0)</f>
        <v/>
      </c>
      <c r="I60" s="58">
        <f>IF(AND(OR('Панель BI'!$F$6="Все",$B60='Панель BI'!$F$6),OR('Панель BI'!$I$6="Все",$C60='Панель BI'!$I$6)),1,0)</f>
        <v/>
      </c>
    </row>
    <row r="61">
      <c r="A61" s="25" t="inlineStr">
        <is>
          <t>2025-11</t>
        </is>
      </c>
      <c r="B61" s="25" t="inlineStr">
        <is>
          <t>Унгень</t>
        </is>
      </c>
      <c r="C61" s="25" t="inlineStr">
        <is>
          <t>A92</t>
        </is>
      </c>
      <c r="D61" s="31" t="n">
        <v>220274</v>
      </c>
      <c r="E61" s="31" t="n">
        <v>45</v>
      </c>
      <c r="F61" s="31" t="n">
        <v>726</v>
      </c>
      <c r="G61" s="57" t="n">
        <v>17569.2</v>
      </c>
      <c r="H61" s="58">
        <f>IF(AND(OR('Панель BI'!$C$6="Все","ноябрь 2025"='Панель BI'!$C$6),OR('Панель BI'!$F$6="Все",$B61='Панель BI'!$F$6),OR('Панель BI'!$I$6="Все",$C61='Панель BI'!$I$6)),1,0)</f>
        <v/>
      </c>
      <c r="I61" s="58">
        <f>IF(AND(OR('Панель BI'!$F$6="Все",$B61='Панель BI'!$F$6),OR('Панель BI'!$I$6="Все",$C61='Панель BI'!$I$6)),1,0)</f>
        <v/>
      </c>
    </row>
    <row r="62">
      <c r="A62" s="25" t="inlineStr">
        <is>
          <t>2025-11</t>
        </is>
      </c>
      <c r="B62" s="25" t="inlineStr">
        <is>
          <t>Унгень</t>
        </is>
      </c>
      <c r="C62" s="25" t="inlineStr">
        <is>
          <t>A95</t>
        </is>
      </c>
      <c r="D62" s="31" t="n">
        <v>180525</v>
      </c>
      <c r="E62" s="31" t="n">
        <v>37</v>
      </c>
      <c r="F62" s="31" t="n">
        <v>475</v>
      </c>
      <c r="G62" s="57" t="n">
        <v>11922.5</v>
      </c>
      <c r="H62" s="58">
        <f>IF(AND(OR('Панель BI'!$C$6="Все","ноябрь 2025"='Панель BI'!$C$6),OR('Панель BI'!$F$6="Все",$B62='Панель BI'!$F$6),OR('Панель BI'!$I$6="Все",$C62='Панель BI'!$I$6)),1,0)</f>
        <v/>
      </c>
      <c r="I62" s="58">
        <f>IF(AND(OR('Панель BI'!$F$6="Все",$B62='Панель BI'!$F$6),OR('Панель BI'!$I$6="Все",$C62='Панель BI'!$I$6)),1,0)</f>
        <v/>
      </c>
    </row>
    <row r="63">
      <c r="A63" s="25" t="inlineStr">
        <is>
          <t>2025-11</t>
        </is>
      </c>
      <c r="B63" s="25" t="inlineStr">
        <is>
          <t>Унгень</t>
        </is>
      </c>
      <c r="C63" s="25" t="inlineStr">
        <is>
          <t>DIESEL</t>
        </is>
      </c>
      <c r="D63" s="31" t="n">
        <v>238907</v>
      </c>
      <c r="E63" s="31" t="n">
        <v>46</v>
      </c>
      <c r="F63" s="31" t="n">
        <v>1093</v>
      </c>
      <c r="G63" s="57" t="n">
        <v>25576.2</v>
      </c>
      <c r="H63" s="58">
        <f>IF(AND(OR('Панель BI'!$C$6="Все","ноябрь 2025"='Панель BI'!$C$6),OR('Панель BI'!$F$6="Все",$B63='Панель BI'!$F$6),OR('Панель BI'!$I$6="Все",$C63='Панель BI'!$I$6)),1,0)</f>
        <v/>
      </c>
      <c r="I63" s="58">
        <f>IF(AND(OR('Панель BI'!$F$6="Все",$B63='Панель BI'!$F$6),OR('Панель BI'!$I$6="Все",$C63='Панель BI'!$I$6)),1,0)</f>
        <v/>
      </c>
    </row>
    <row r="64">
      <c r="A64" s="25" t="inlineStr">
        <is>
          <t>2025-11</t>
        </is>
      </c>
      <c r="B64" s="25" t="inlineStr">
        <is>
          <t>Унгень</t>
        </is>
      </c>
      <c r="C64" s="25" t="inlineStr">
        <is>
          <t>GPL</t>
        </is>
      </c>
      <c r="D64" s="31" t="n">
        <v>56827</v>
      </c>
      <c r="E64" s="31" t="n">
        <v>11</v>
      </c>
      <c r="F64" s="31" t="n">
        <v>173</v>
      </c>
      <c r="G64" s="57" t="n">
        <v>2387.4</v>
      </c>
      <c r="H64" s="58">
        <f>IF(AND(OR('Панель BI'!$C$6="Все","ноябрь 2025"='Панель BI'!$C$6),OR('Панель BI'!$F$6="Все",$B64='Панель BI'!$F$6),OR('Панель BI'!$I$6="Все",$C64='Панель BI'!$I$6)),1,0)</f>
        <v/>
      </c>
      <c r="I64" s="58">
        <f>IF(AND(OR('Панель BI'!$F$6="Все",$B64='Панель BI'!$F$6),OR('Панель BI'!$I$6="Все",$C64='Панель BI'!$I$6)),1,0)</f>
        <v/>
      </c>
    </row>
    <row r="65">
      <c r="A65" s="25" t="inlineStr">
        <is>
          <t>2025-12</t>
        </is>
      </c>
      <c r="B65" s="25" t="inlineStr">
        <is>
          <t>Бэлць</t>
        </is>
      </c>
      <c r="C65" s="25" t="inlineStr">
        <is>
          <t>A92</t>
        </is>
      </c>
      <c r="D65" s="31" t="n">
        <v>234386</v>
      </c>
      <c r="E65" s="31" t="n">
        <v>49</v>
      </c>
      <c r="F65" s="31" t="n">
        <v>614</v>
      </c>
      <c r="G65" s="57" t="n">
        <v>14858.8</v>
      </c>
      <c r="H65" s="58">
        <f>IF(AND(OR('Панель BI'!$C$6="Все","декабрь 2025"='Панель BI'!$C$6),OR('Панель BI'!$F$6="Все",$B65='Панель BI'!$F$6),OR('Панель BI'!$I$6="Все",$C65='Панель BI'!$I$6)),1,0)</f>
        <v/>
      </c>
      <c r="I65" s="58">
        <f>IF(AND(OR('Панель BI'!$F$6="Все",$B65='Панель BI'!$F$6),OR('Панель BI'!$I$6="Все",$C65='Панель BI'!$I$6)),1,0)</f>
        <v/>
      </c>
    </row>
    <row r="66">
      <c r="A66" s="25" t="inlineStr">
        <is>
          <t>2025-12</t>
        </is>
      </c>
      <c r="B66" s="25" t="inlineStr">
        <is>
          <t>Бэлць</t>
        </is>
      </c>
      <c r="C66" s="25" t="inlineStr">
        <is>
          <t>A95</t>
        </is>
      </c>
      <c r="D66" s="31" t="n">
        <v>223960</v>
      </c>
      <c r="E66" s="31" t="n">
        <v>45</v>
      </c>
      <c r="F66" s="31" t="n">
        <v>1040</v>
      </c>
      <c r="G66" s="57" t="n">
        <v>26104</v>
      </c>
      <c r="H66" s="58">
        <f>IF(AND(OR('Панель BI'!$C$6="Все","декабрь 2025"='Панель BI'!$C$6),OR('Панель BI'!$F$6="Все",$B66='Панель BI'!$F$6),OR('Панель BI'!$I$6="Все",$C66='Панель BI'!$I$6)),1,0)</f>
        <v/>
      </c>
      <c r="I66" s="58">
        <f>IF(AND(OR('Панель BI'!$F$6="Все",$B66='Панель BI'!$F$6),OR('Панель BI'!$I$6="Все",$C66='Панель BI'!$I$6)),1,0)</f>
        <v/>
      </c>
    </row>
    <row r="67">
      <c r="A67" s="25" t="inlineStr">
        <is>
          <t>2025-12</t>
        </is>
      </c>
      <c r="B67" s="25" t="inlineStr">
        <is>
          <t>Бэлць</t>
        </is>
      </c>
      <c r="C67" s="25" t="inlineStr">
        <is>
          <t>DIESEL</t>
        </is>
      </c>
      <c r="D67" s="31" t="n">
        <v>230346</v>
      </c>
      <c r="E67" s="31" t="n">
        <v>46</v>
      </c>
      <c r="F67" s="31" t="n">
        <v>654</v>
      </c>
      <c r="G67" s="57" t="n">
        <v>15303.6</v>
      </c>
      <c r="H67" s="58">
        <f>IF(AND(OR('Панель BI'!$C$6="Все","декабрь 2025"='Панель BI'!$C$6),OR('Панель BI'!$F$6="Все",$B67='Панель BI'!$F$6),OR('Панель BI'!$I$6="Все",$C67='Панель BI'!$I$6)),1,0)</f>
        <v/>
      </c>
      <c r="I67" s="58">
        <f>IF(AND(OR('Панель BI'!$F$6="Все",$B67='Панель BI'!$F$6),OR('Панель BI'!$I$6="Все",$C67='Панель BI'!$I$6)),1,0)</f>
        <v/>
      </c>
    </row>
    <row r="68">
      <c r="A68" s="25" t="inlineStr">
        <is>
          <t>2025-12</t>
        </is>
      </c>
      <c r="B68" s="25" t="inlineStr">
        <is>
          <t>Кагул</t>
        </is>
      </c>
      <c r="C68" s="25" t="inlineStr">
        <is>
          <t>A92</t>
        </is>
      </c>
      <c r="D68" s="31" t="n">
        <v>247851</v>
      </c>
      <c r="E68" s="31" t="n">
        <v>49</v>
      </c>
      <c r="F68" s="31" t="n">
        <v>1149</v>
      </c>
      <c r="G68" s="57" t="n">
        <v>27805.8</v>
      </c>
      <c r="H68" s="58">
        <f>IF(AND(OR('Панель BI'!$C$6="Все","декабрь 2025"='Панель BI'!$C$6),OR('Панель BI'!$F$6="Все",$B68='Панель BI'!$F$6),OR('Панель BI'!$I$6="Все",$C68='Панель BI'!$I$6)),1,0)</f>
        <v/>
      </c>
      <c r="I68" s="58">
        <f>IF(AND(OR('Панель BI'!$F$6="Все",$B68='Панель BI'!$F$6),OR('Панель BI'!$I$6="Все",$C68='Панель BI'!$I$6)),1,0)</f>
        <v/>
      </c>
    </row>
    <row r="69">
      <c r="A69" s="25" t="inlineStr">
        <is>
          <t>2025-12</t>
        </is>
      </c>
      <c r="B69" s="25" t="inlineStr">
        <is>
          <t>Кагул</t>
        </is>
      </c>
      <c r="C69" s="25" t="inlineStr">
        <is>
          <t>A95</t>
        </is>
      </c>
      <c r="D69" s="31" t="n">
        <v>223909</v>
      </c>
      <c r="E69" s="31" t="n">
        <v>45</v>
      </c>
      <c r="F69" s="31" t="n">
        <v>1091</v>
      </c>
      <c r="G69" s="57" t="n">
        <v>27384.1</v>
      </c>
      <c r="H69" s="58">
        <f>IF(AND(OR('Панель BI'!$C$6="Все","декабрь 2025"='Панель BI'!$C$6),OR('Панель BI'!$F$6="Все",$B69='Панель BI'!$F$6),OR('Панель BI'!$I$6="Все",$C69='Панель BI'!$I$6)),1,0)</f>
        <v/>
      </c>
      <c r="I69" s="58">
        <f>IF(AND(OR('Панель BI'!$F$6="Все",$B69='Панель BI'!$F$6),OR('Панель BI'!$I$6="Все",$C69='Панель BI'!$I$6)),1,0)</f>
        <v/>
      </c>
    </row>
    <row r="70">
      <c r="A70" s="25" t="inlineStr">
        <is>
          <t>2025-12</t>
        </is>
      </c>
      <c r="B70" s="25" t="inlineStr">
        <is>
          <t>Кагул</t>
        </is>
      </c>
      <c r="C70" s="25" t="inlineStr">
        <is>
          <t>DIESEL</t>
        </is>
      </c>
      <c r="D70" s="31" t="n">
        <v>214279</v>
      </c>
      <c r="E70" s="31" t="n">
        <v>43</v>
      </c>
      <c r="F70" s="31" t="n">
        <v>721</v>
      </c>
      <c r="G70" s="57" t="n">
        <v>16871.4</v>
      </c>
      <c r="H70" s="58">
        <f>IF(AND(OR('Панель BI'!$C$6="Все","декабрь 2025"='Панель BI'!$C$6),OR('Панель BI'!$F$6="Все",$B70='Панель BI'!$F$6),OR('Панель BI'!$I$6="Все",$C70='Панель BI'!$I$6)),1,0)</f>
        <v/>
      </c>
      <c r="I70" s="58">
        <f>IF(AND(OR('Панель BI'!$F$6="Все",$B70='Панель BI'!$F$6),OR('Панель BI'!$I$6="Все",$C70='Панель BI'!$I$6)),1,0)</f>
        <v/>
      </c>
    </row>
    <row r="71">
      <c r="A71" s="25" t="inlineStr">
        <is>
          <t>2025-12</t>
        </is>
      </c>
      <c r="B71" s="25" t="inlineStr">
        <is>
          <t>Кишинёв</t>
        </is>
      </c>
      <c r="C71" s="25" t="inlineStr">
        <is>
          <t>A92</t>
        </is>
      </c>
      <c r="D71" s="31" t="n">
        <v>263579</v>
      </c>
      <c r="E71" s="31" t="n">
        <v>50</v>
      </c>
      <c r="F71" s="31" t="n">
        <v>694</v>
      </c>
      <c r="G71" s="57" t="n">
        <v>16794.8</v>
      </c>
      <c r="H71" s="58">
        <f>IF(AND(OR('Панель BI'!$C$6="Все","декабрь 2025"='Панель BI'!$C$6),OR('Панель BI'!$F$6="Все",$B71='Панель BI'!$F$6),OR('Панель BI'!$I$6="Все",$C71='Панель BI'!$I$6)),1,0)</f>
        <v/>
      </c>
      <c r="I71" s="58">
        <f>IF(AND(OR('Панель BI'!$F$6="Все",$B71='Панель BI'!$F$6),OR('Панель BI'!$I$6="Все",$C71='Панель BI'!$I$6)),1,0)</f>
        <v/>
      </c>
    </row>
    <row r="72">
      <c r="A72" s="25" t="inlineStr">
        <is>
          <t>2025-12</t>
        </is>
      </c>
      <c r="B72" s="25" t="inlineStr">
        <is>
          <t>Кишинёв</t>
        </is>
      </c>
      <c r="C72" s="25" t="inlineStr">
        <is>
          <t>A95</t>
        </is>
      </c>
      <c r="D72" s="31" t="n">
        <v>264266</v>
      </c>
      <c r="E72" s="31" t="n">
        <v>54</v>
      </c>
      <c r="F72" s="31" t="n">
        <v>734</v>
      </c>
      <c r="G72" s="57" t="n">
        <v>18423.4</v>
      </c>
      <c r="H72" s="58">
        <f>IF(AND(OR('Панель BI'!$C$6="Все","декабрь 2025"='Панель BI'!$C$6),OR('Панель BI'!$F$6="Все",$B72='Панель BI'!$F$6),OR('Панель BI'!$I$6="Все",$C72='Панель BI'!$I$6)),1,0)</f>
        <v/>
      </c>
      <c r="I72" s="58">
        <f>IF(AND(OR('Панель BI'!$F$6="Все",$B72='Панель BI'!$F$6),OR('Панель BI'!$I$6="Все",$C72='Панель BI'!$I$6)),1,0)</f>
        <v/>
      </c>
    </row>
    <row r="73">
      <c r="A73" s="25" t="inlineStr">
        <is>
          <t>2025-12</t>
        </is>
      </c>
      <c r="B73" s="25" t="inlineStr">
        <is>
          <t>Кишинёв</t>
        </is>
      </c>
      <c r="C73" s="25" t="inlineStr">
        <is>
          <t>DIESEL</t>
        </is>
      </c>
      <c r="D73" s="31" t="n">
        <v>178024</v>
      </c>
      <c r="E73" s="31" t="n">
        <v>36</v>
      </c>
      <c r="F73" s="31" t="n">
        <v>976</v>
      </c>
      <c r="G73" s="57" t="n">
        <v>22838.4</v>
      </c>
      <c r="H73" s="58">
        <f>IF(AND(OR('Панель BI'!$C$6="Все","декабрь 2025"='Панель BI'!$C$6),OR('Панель BI'!$F$6="Все",$B73='Панель BI'!$F$6),OR('Панель BI'!$I$6="Все",$C73='Панель BI'!$I$6)),1,0)</f>
        <v/>
      </c>
      <c r="I73" s="58">
        <f>IF(AND(OR('Панель BI'!$F$6="Все",$B73='Панель BI'!$F$6),OR('Панель BI'!$I$6="Все",$C73='Панель BI'!$I$6)),1,0)</f>
        <v/>
      </c>
    </row>
    <row r="74">
      <c r="A74" s="25" t="inlineStr">
        <is>
          <t>2025-12</t>
        </is>
      </c>
      <c r="B74" s="25" t="inlineStr">
        <is>
          <t>Кишинёв</t>
        </is>
      </c>
      <c r="C74" s="25" t="inlineStr">
        <is>
          <t>GPL</t>
        </is>
      </c>
      <c r="D74" s="31" t="n">
        <v>64824</v>
      </c>
      <c r="E74" s="31" t="n">
        <v>13</v>
      </c>
      <c r="F74" s="31" t="n">
        <v>176</v>
      </c>
      <c r="G74" s="57" t="n">
        <v>2428.8</v>
      </c>
      <c r="H74" s="58">
        <f>IF(AND(OR('Панель BI'!$C$6="Все","декабрь 2025"='Панель BI'!$C$6),OR('Панель BI'!$F$6="Все",$B74='Панель BI'!$F$6),OR('Панель BI'!$I$6="Все",$C74='Панель BI'!$I$6)),1,0)</f>
        <v/>
      </c>
      <c r="I74" s="58">
        <f>IF(AND(OR('Панель BI'!$F$6="Все",$B74='Панель BI'!$F$6),OR('Панель BI'!$I$6="Все",$C74='Панель BI'!$I$6)),1,0)</f>
        <v/>
      </c>
    </row>
    <row r="75">
      <c r="A75" s="25" t="inlineStr">
        <is>
          <t>2025-12</t>
        </is>
      </c>
      <c r="B75" s="25" t="inlineStr">
        <is>
          <t>Комрат</t>
        </is>
      </c>
      <c r="C75" s="25" t="inlineStr">
        <is>
          <t>A92</t>
        </is>
      </c>
      <c r="D75" s="31" t="n">
        <v>257212</v>
      </c>
      <c r="E75" s="31" t="n">
        <v>52</v>
      </c>
      <c r="F75" s="31" t="n">
        <v>788</v>
      </c>
      <c r="G75" s="57" t="n">
        <v>19069.6</v>
      </c>
      <c r="H75" s="58">
        <f>IF(AND(OR('Панель BI'!$C$6="Все","декабрь 2025"='Панель BI'!$C$6),OR('Панель BI'!$F$6="Все",$B75='Панель BI'!$F$6),OR('Панель BI'!$I$6="Все",$C75='Панель BI'!$I$6)),1,0)</f>
        <v/>
      </c>
      <c r="I75" s="58">
        <f>IF(AND(OR('Панель BI'!$F$6="Все",$B75='Панель BI'!$F$6),OR('Панель BI'!$I$6="Все",$C75='Панель BI'!$I$6)),1,0)</f>
        <v/>
      </c>
    </row>
    <row r="76">
      <c r="A76" s="25" t="inlineStr">
        <is>
          <t>2025-12</t>
        </is>
      </c>
      <c r="B76" s="25" t="inlineStr">
        <is>
          <t>Комрат</t>
        </is>
      </c>
      <c r="C76" s="25" t="inlineStr">
        <is>
          <t>A95</t>
        </is>
      </c>
      <c r="D76" s="31" t="n">
        <v>223273</v>
      </c>
      <c r="E76" s="31" t="n">
        <v>47</v>
      </c>
      <c r="F76" s="31" t="n">
        <v>727</v>
      </c>
      <c r="G76" s="57" t="n">
        <v>18247.7</v>
      </c>
      <c r="H76" s="58">
        <f>IF(AND(OR('Панель BI'!$C$6="Все","декабрь 2025"='Панель BI'!$C$6),OR('Панель BI'!$F$6="Все",$B76='Панель BI'!$F$6),OR('Панель BI'!$I$6="Все",$C76='Панель BI'!$I$6)),1,0)</f>
        <v/>
      </c>
      <c r="I76" s="58">
        <f>IF(AND(OR('Панель BI'!$F$6="Все",$B76='Панель BI'!$F$6),OR('Панель BI'!$I$6="Все",$C76='Панель BI'!$I$6)),1,0)</f>
        <v/>
      </c>
    </row>
    <row r="77">
      <c r="A77" s="25" t="inlineStr">
        <is>
          <t>2025-12</t>
        </is>
      </c>
      <c r="B77" s="25" t="inlineStr">
        <is>
          <t>Комрат</t>
        </is>
      </c>
      <c r="C77" s="25" t="inlineStr">
        <is>
          <t>DIESEL</t>
        </is>
      </c>
      <c r="D77" s="31" t="n">
        <v>236363</v>
      </c>
      <c r="E77" s="31" t="n">
        <v>46</v>
      </c>
      <c r="F77" s="31" t="n">
        <v>637</v>
      </c>
      <c r="G77" s="57" t="n">
        <v>14905.8</v>
      </c>
      <c r="H77" s="58">
        <f>IF(AND(OR('Панель BI'!$C$6="Все","декабрь 2025"='Панель BI'!$C$6),OR('Панель BI'!$F$6="Все",$B77='Панель BI'!$F$6),OR('Панель BI'!$I$6="Все",$C77='Панель BI'!$I$6)),1,0)</f>
        <v/>
      </c>
      <c r="I77" s="58">
        <f>IF(AND(OR('Панель BI'!$F$6="Все",$B77='Панель BI'!$F$6),OR('Панель BI'!$I$6="Все",$C77='Панель BI'!$I$6)),1,0)</f>
        <v/>
      </c>
    </row>
    <row r="78">
      <c r="A78" s="25" t="inlineStr">
        <is>
          <t>2025-12</t>
        </is>
      </c>
      <c r="B78" s="25" t="inlineStr">
        <is>
          <t>Комрат</t>
        </is>
      </c>
      <c r="C78" s="25" t="inlineStr">
        <is>
          <t>GPL</t>
        </is>
      </c>
      <c r="D78" s="31" t="n">
        <v>155629</v>
      </c>
      <c r="E78" s="31" t="n">
        <v>31</v>
      </c>
      <c r="F78" s="31" t="n">
        <v>371</v>
      </c>
      <c r="G78" s="57" t="n">
        <v>5119.8</v>
      </c>
      <c r="H78" s="58">
        <f>IF(AND(OR('Панель BI'!$C$6="Все","декабрь 2025"='Панель BI'!$C$6),OR('Панель BI'!$F$6="Все",$B78='Панель BI'!$F$6),OR('Панель BI'!$I$6="Все",$C78='Панель BI'!$I$6)),1,0)</f>
        <v/>
      </c>
      <c r="I78" s="58">
        <f>IF(AND(OR('Панель BI'!$F$6="Все",$B78='Панель BI'!$F$6),OR('Панель BI'!$I$6="Все",$C78='Панель BI'!$I$6)),1,0)</f>
        <v/>
      </c>
    </row>
    <row r="79">
      <c r="A79" s="25" t="inlineStr">
        <is>
          <t>2025-12</t>
        </is>
      </c>
      <c r="B79" s="25" t="inlineStr">
        <is>
          <t>Орхей</t>
        </is>
      </c>
      <c r="C79" s="25" t="inlineStr">
        <is>
          <t>A92</t>
        </is>
      </c>
      <c r="D79" s="31" t="n">
        <v>255174</v>
      </c>
      <c r="E79" s="31" t="n">
        <v>52</v>
      </c>
      <c r="F79" s="31" t="n">
        <v>826</v>
      </c>
      <c r="G79" s="57" t="n">
        <v>19989.2</v>
      </c>
      <c r="H79" s="58">
        <f>IF(AND(OR('Панель BI'!$C$6="Все","декабрь 2025"='Панель BI'!$C$6),OR('Панель BI'!$F$6="Все",$B79='Панель BI'!$F$6),OR('Панель BI'!$I$6="Все",$C79='Панель BI'!$I$6)),1,0)</f>
        <v/>
      </c>
      <c r="I79" s="58">
        <f>IF(AND(OR('Панель BI'!$F$6="Все",$B79='Панель BI'!$F$6),OR('Панель BI'!$I$6="Все",$C79='Панель BI'!$I$6)),1,0)</f>
        <v/>
      </c>
    </row>
    <row r="80">
      <c r="A80" s="25" t="inlineStr">
        <is>
          <t>2025-12</t>
        </is>
      </c>
      <c r="B80" s="25" t="inlineStr">
        <is>
          <t>Орхей</t>
        </is>
      </c>
      <c r="C80" s="25" t="inlineStr">
        <is>
          <t>A95</t>
        </is>
      </c>
      <c r="D80" s="31" t="n">
        <v>213386</v>
      </c>
      <c r="E80" s="31" t="n">
        <v>43</v>
      </c>
      <c r="F80" s="31" t="n">
        <v>614</v>
      </c>
      <c r="G80" s="57" t="n">
        <v>15411.4</v>
      </c>
      <c r="H80" s="58">
        <f>IF(AND(OR('Панель BI'!$C$6="Все","декабрь 2025"='Панель BI'!$C$6),OR('Панель BI'!$F$6="Все",$B80='Панель BI'!$F$6),OR('Панель BI'!$I$6="Все",$C80='Панель BI'!$I$6)),1,0)</f>
        <v/>
      </c>
      <c r="I80" s="58">
        <f>IF(AND(OR('Панель BI'!$F$6="Все",$B80='Панель BI'!$F$6),OR('Панель BI'!$I$6="Все",$C80='Панель BI'!$I$6)),1,0)</f>
        <v/>
      </c>
    </row>
    <row r="81">
      <c r="A81" s="25" t="inlineStr">
        <is>
          <t>2025-12</t>
        </is>
      </c>
      <c r="B81" s="25" t="inlineStr">
        <is>
          <t>Орхей</t>
        </is>
      </c>
      <c r="C81" s="25" t="inlineStr">
        <is>
          <t>DIESEL</t>
        </is>
      </c>
      <c r="D81" s="31" t="n">
        <v>239432</v>
      </c>
      <c r="E81" s="31" t="n">
        <v>48</v>
      </c>
      <c r="F81" s="31" t="n">
        <v>568</v>
      </c>
      <c r="G81" s="57" t="n">
        <v>13291.2</v>
      </c>
      <c r="H81" s="58">
        <f>IF(AND(OR('Панель BI'!$C$6="Все","декабрь 2025"='Панель BI'!$C$6),OR('Панель BI'!$F$6="Все",$B81='Панель BI'!$F$6),OR('Панель BI'!$I$6="Все",$C81='Панель BI'!$I$6)),1,0)</f>
        <v/>
      </c>
      <c r="I81" s="58">
        <f>IF(AND(OR('Панель BI'!$F$6="Все",$B81='Панель BI'!$F$6),OR('Панель BI'!$I$6="Все",$C81='Панель BI'!$I$6)),1,0)</f>
        <v/>
      </c>
    </row>
    <row r="82">
      <c r="A82" s="25" t="inlineStr">
        <is>
          <t>2025-12</t>
        </is>
      </c>
      <c r="B82" s="25" t="inlineStr">
        <is>
          <t>Унгень</t>
        </is>
      </c>
      <c r="C82" s="25" t="inlineStr">
        <is>
          <t>A92</t>
        </is>
      </c>
      <c r="D82" s="31" t="n">
        <v>229157</v>
      </c>
      <c r="E82" s="31" t="n">
        <v>48</v>
      </c>
      <c r="F82" s="31" t="n">
        <v>843</v>
      </c>
      <c r="G82" s="57" t="n">
        <v>20400.6</v>
      </c>
      <c r="H82" s="58">
        <f>IF(AND(OR('Панель BI'!$C$6="Все","декабрь 2025"='Панель BI'!$C$6),OR('Панель BI'!$F$6="Все",$B82='Панель BI'!$F$6),OR('Панель BI'!$I$6="Все",$C82='Панель BI'!$I$6)),1,0)</f>
        <v/>
      </c>
      <c r="I82" s="58">
        <f>IF(AND(OR('Панель BI'!$F$6="Все",$B82='Панель BI'!$F$6),OR('Панель BI'!$I$6="Все",$C82='Панель BI'!$I$6)),1,0)</f>
        <v/>
      </c>
    </row>
    <row r="83">
      <c r="A83" s="25" t="inlineStr">
        <is>
          <t>2025-12</t>
        </is>
      </c>
      <c r="B83" s="25" t="inlineStr">
        <is>
          <t>Унгень</t>
        </is>
      </c>
      <c r="C83" s="25" t="inlineStr">
        <is>
          <t>A95</t>
        </is>
      </c>
      <c r="D83" s="31" t="n">
        <v>226880</v>
      </c>
      <c r="E83" s="31" t="n">
        <v>46</v>
      </c>
      <c r="F83" s="31" t="n">
        <v>1120</v>
      </c>
      <c r="G83" s="57" t="n">
        <v>28112</v>
      </c>
      <c r="H83" s="58">
        <f>IF(AND(OR('Панель BI'!$C$6="Все","декабрь 2025"='Панель BI'!$C$6),OR('Панель BI'!$F$6="Все",$B83='Панель BI'!$F$6),OR('Панель BI'!$I$6="Все",$C83='Панель BI'!$I$6)),1,0)</f>
        <v/>
      </c>
      <c r="I83" s="58">
        <f>IF(AND(OR('Панель BI'!$F$6="Все",$B83='Панель BI'!$F$6),OR('Панель BI'!$I$6="Все",$C83='Панель BI'!$I$6)),1,0)</f>
        <v/>
      </c>
    </row>
    <row r="84">
      <c r="A84" s="25" t="inlineStr">
        <is>
          <t>2025-12</t>
        </is>
      </c>
      <c r="B84" s="25" t="inlineStr">
        <is>
          <t>Унгень</t>
        </is>
      </c>
      <c r="C84" s="25" t="inlineStr">
        <is>
          <t>DIESEL</t>
        </is>
      </c>
      <c r="D84" s="31" t="n">
        <v>203478</v>
      </c>
      <c r="E84" s="31" t="n">
        <v>40</v>
      </c>
      <c r="F84" s="31" t="n">
        <v>522</v>
      </c>
      <c r="G84" s="57" t="n">
        <v>12214.8</v>
      </c>
      <c r="H84" s="58">
        <f>IF(AND(OR('Панель BI'!$C$6="Все","декабрь 2025"='Панель BI'!$C$6),OR('Панель BI'!$F$6="Все",$B84='Панель BI'!$F$6),OR('Панель BI'!$I$6="Все",$C84='Панель BI'!$I$6)),1,0)</f>
        <v/>
      </c>
      <c r="I84" s="58">
        <f>IF(AND(OR('Панель BI'!$F$6="Все",$B84='Панель BI'!$F$6),OR('Панель BI'!$I$6="Все",$C84='Панель BI'!$I$6)),1,0)</f>
        <v/>
      </c>
    </row>
    <row r="85">
      <c r="A85" s="25" t="inlineStr">
        <is>
          <t>2025-12</t>
        </is>
      </c>
      <c r="B85" s="25" t="inlineStr">
        <is>
          <t>Унгень</t>
        </is>
      </c>
      <c r="C85" s="25" t="inlineStr">
        <is>
          <t>GPL</t>
        </is>
      </c>
      <c r="D85" s="31" t="n">
        <v>74820</v>
      </c>
      <c r="E85" s="31" t="n">
        <v>14</v>
      </c>
      <c r="F85" s="31" t="n">
        <v>180</v>
      </c>
      <c r="G85" s="57" t="n">
        <v>2484</v>
      </c>
      <c r="H85" s="58">
        <f>IF(AND(OR('Панель BI'!$C$6="Все","декабрь 2025"='Панель BI'!$C$6),OR('Панель BI'!$F$6="Все",$B85='Панель BI'!$F$6),OR('Панель BI'!$I$6="Все",$C85='Панель BI'!$I$6)),1,0)</f>
        <v/>
      </c>
      <c r="I85" s="58">
        <f>IF(AND(OR('Панель BI'!$F$6="Все",$B85='Панель BI'!$F$6),OR('Панель BI'!$I$6="Все",$C85='Панель BI'!$I$6)),1,0)</f>
        <v/>
      </c>
    </row>
    <row r="86">
      <c r="A86" s="25" t="inlineStr">
        <is>
          <t>2026-01</t>
        </is>
      </c>
      <c r="B86" s="25" t="inlineStr">
        <is>
          <t>Бэлць</t>
        </is>
      </c>
      <c r="C86" s="25" t="inlineStr">
        <is>
          <t>A92</t>
        </is>
      </c>
      <c r="D86" s="31" t="n">
        <v>192435</v>
      </c>
      <c r="E86" s="31" t="n">
        <v>39</v>
      </c>
      <c r="F86" s="31" t="n">
        <v>565</v>
      </c>
      <c r="G86" s="57" t="n">
        <v>13673</v>
      </c>
      <c r="H86" s="58">
        <f>IF(AND(OR('Панель BI'!$C$6="Все","январь 2026"='Панель BI'!$C$6),OR('Панель BI'!$F$6="Все",$B86='Панель BI'!$F$6),OR('Панель BI'!$I$6="Все",$C86='Панель BI'!$I$6)),1,0)</f>
        <v/>
      </c>
      <c r="I86" s="58">
        <f>IF(AND(OR('Панель BI'!$F$6="Все",$B86='Панель BI'!$F$6),OR('Панель BI'!$I$6="Все",$C86='Панель BI'!$I$6)),1,0)</f>
        <v/>
      </c>
    </row>
    <row r="87">
      <c r="A87" s="25" t="inlineStr">
        <is>
          <t>2026-01</t>
        </is>
      </c>
      <c r="B87" s="25" t="inlineStr">
        <is>
          <t>Бэлць</t>
        </is>
      </c>
      <c r="C87" s="25" t="inlineStr">
        <is>
          <t>A95</t>
        </is>
      </c>
      <c r="D87" s="31" t="n">
        <v>176218</v>
      </c>
      <c r="E87" s="31" t="n">
        <v>36</v>
      </c>
      <c r="F87" s="31" t="n">
        <v>782</v>
      </c>
      <c r="G87" s="57" t="n">
        <v>19628.2</v>
      </c>
      <c r="H87" s="58">
        <f>IF(AND(OR('Панель BI'!$C$6="Все","январь 2026"='Панель BI'!$C$6),OR('Панель BI'!$F$6="Все",$B87='Панель BI'!$F$6),OR('Панель BI'!$I$6="Все",$C87='Панель BI'!$I$6)),1,0)</f>
        <v/>
      </c>
      <c r="I87" s="58">
        <f>IF(AND(OR('Панель BI'!$F$6="Все",$B87='Панель BI'!$F$6),OR('Панель BI'!$I$6="Все",$C87='Панель BI'!$I$6)),1,0)</f>
        <v/>
      </c>
    </row>
    <row r="88">
      <c r="A88" s="25" t="inlineStr">
        <is>
          <t>2026-01</t>
        </is>
      </c>
      <c r="B88" s="25" t="inlineStr">
        <is>
          <t>Бэлць</t>
        </is>
      </c>
      <c r="C88" s="25" t="inlineStr">
        <is>
          <t>DIESEL</t>
        </is>
      </c>
      <c r="D88" s="31" t="n">
        <v>210493</v>
      </c>
      <c r="E88" s="31" t="n">
        <v>44</v>
      </c>
      <c r="F88" s="31" t="n">
        <v>507</v>
      </c>
      <c r="G88" s="57" t="n">
        <v>11863.8</v>
      </c>
      <c r="H88" s="58">
        <f>IF(AND(OR('Панель BI'!$C$6="Все","январь 2026"='Панель BI'!$C$6),OR('Панель BI'!$F$6="Все",$B88='Панель BI'!$F$6),OR('Панель BI'!$I$6="Все",$C88='Панель BI'!$I$6)),1,0)</f>
        <v/>
      </c>
      <c r="I88" s="58">
        <f>IF(AND(OR('Панель BI'!$F$6="Все",$B88='Панель BI'!$F$6),OR('Панель BI'!$I$6="Все",$C88='Панель BI'!$I$6)),1,0)</f>
        <v/>
      </c>
    </row>
    <row r="89">
      <c r="A89" s="25" t="inlineStr">
        <is>
          <t>2026-01</t>
        </is>
      </c>
      <c r="B89" s="25" t="inlineStr">
        <is>
          <t>Кагул</t>
        </is>
      </c>
      <c r="C89" s="25" t="inlineStr">
        <is>
          <t>A92</t>
        </is>
      </c>
      <c r="D89" s="31" t="n">
        <v>200439</v>
      </c>
      <c r="E89" s="31" t="n">
        <v>42</v>
      </c>
      <c r="F89" s="31" t="n">
        <v>561</v>
      </c>
      <c r="G89" s="57" t="n">
        <v>13576.2</v>
      </c>
      <c r="H89" s="58">
        <f>IF(AND(OR('Панель BI'!$C$6="Все","январь 2026"='Панель BI'!$C$6),OR('Панель BI'!$F$6="Все",$B89='Панель BI'!$F$6),OR('Панель BI'!$I$6="Все",$C89='Панель BI'!$I$6)),1,0)</f>
        <v/>
      </c>
      <c r="I89" s="58">
        <f>IF(AND(OR('Панель BI'!$F$6="Все",$B89='Панель BI'!$F$6),OR('Панель BI'!$I$6="Все",$C89='Панель BI'!$I$6)),1,0)</f>
        <v/>
      </c>
    </row>
    <row r="90">
      <c r="A90" s="25" t="inlineStr">
        <is>
          <t>2026-01</t>
        </is>
      </c>
      <c r="B90" s="25" t="inlineStr">
        <is>
          <t>Кагул</t>
        </is>
      </c>
      <c r="C90" s="25" t="inlineStr">
        <is>
          <t>A95</t>
        </is>
      </c>
      <c r="D90" s="31" t="n">
        <v>222265</v>
      </c>
      <c r="E90" s="31" t="n">
        <v>44</v>
      </c>
      <c r="F90" s="31" t="n">
        <v>735</v>
      </c>
      <c r="G90" s="57" t="n">
        <v>18448.5</v>
      </c>
      <c r="H90" s="58">
        <f>IF(AND(OR('Панель BI'!$C$6="Все","январь 2026"='Панель BI'!$C$6),OR('Панель BI'!$F$6="Все",$B90='Панель BI'!$F$6),OR('Панель BI'!$I$6="Все",$C90='Панель BI'!$I$6)),1,0)</f>
        <v/>
      </c>
      <c r="I90" s="58">
        <f>IF(AND(OR('Панель BI'!$F$6="Все",$B90='Панель BI'!$F$6),OR('Панель BI'!$I$6="Все",$C90='Панель BI'!$I$6)),1,0)</f>
        <v/>
      </c>
    </row>
    <row r="91">
      <c r="A91" s="25" t="inlineStr">
        <is>
          <t>2026-01</t>
        </is>
      </c>
      <c r="B91" s="25" t="inlineStr">
        <is>
          <t>Кагул</t>
        </is>
      </c>
      <c r="C91" s="25" t="inlineStr">
        <is>
          <t>DIESEL</t>
        </is>
      </c>
      <c r="D91" s="31" t="n">
        <v>174504</v>
      </c>
      <c r="E91" s="31" t="n">
        <v>36</v>
      </c>
      <c r="F91" s="31" t="n">
        <v>496</v>
      </c>
      <c r="G91" s="57" t="n">
        <v>11606.4</v>
      </c>
      <c r="H91" s="58">
        <f>IF(AND(OR('Панель BI'!$C$6="Все","январь 2026"='Панель BI'!$C$6),OR('Панель BI'!$F$6="Все",$B91='Панель BI'!$F$6),OR('Панель BI'!$I$6="Все",$C91='Панель BI'!$I$6)),1,0)</f>
        <v/>
      </c>
      <c r="I91" s="58">
        <f>IF(AND(OR('Панель BI'!$F$6="Все",$B91='Панель BI'!$F$6),OR('Панель BI'!$I$6="Все",$C91='Панель BI'!$I$6)),1,0)</f>
        <v/>
      </c>
    </row>
    <row r="92">
      <c r="A92" s="25" t="inlineStr">
        <is>
          <t>2026-01</t>
        </is>
      </c>
      <c r="B92" s="25" t="inlineStr">
        <is>
          <t>Кишинёв</t>
        </is>
      </c>
      <c r="C92" s="25" t="inlineStr">
        <is>
          <t>A92</t>
        </is>
      </c>
      <c r="D92" s="31" t="n">
        <v>262024</v>
      </c>
      <c r="E92" s="31" t="n">
        <v>52</v>
      </c>
      <c r="F92" s="31" t="n">
        <v>976</v>
      </c>
      <c r="G92" s="57" t="n">
        <v>23619.2</v>
      </c>
      <c r="H92" s="58">
        <f>IF(AND(OR('Панель BI'!$C$6="Все","январь 2026"='Панель BI'!$C$6),OR('Панель BI'!$F$6="Все",$B92='Панель BI'!$F$6),OR('Панель BI'!$I$6="Все",$C92='Панель BI'!$I$6)),1,0)</f>
        <v/>
      </c>
      <c r="I92" s="58">
        <f>IF(AND(OR('Панель BI'!$F$6="Все",$B92='Панель BI'!$F$6),OR('Панель BI'!$I$6="Все",$C92='Панель BI'!$I$6)),1,0)</f>
        <v/>
      </c>
    </row>
    <row r="93">
      <c r="A93" s="25" t="inlineStr">
        <is>
          <t>2026-01</t>
        </is>
      </c>
      <c r="B93" s="25" t="inlineStr">
        <is>
          <t>Кишинёв</t>
        </is>
      </c>
      <c r="C93" s="25" t="inlineStr">
        <is>
          <t>A95</t>
        </is>
      </c>
      <c r="D93" s="31" t="n">
        <v>224300</v>
      </c>
      <c r="E93" s="31" t="n">
        <v>44</v>
      </c>
      <c r="F93" s="31" t="n">
        <v>700</v>
      </c>
      <c r="G93" s="57" t="n">
        <v>17570</v>
      </c>
      <c r="H93" s="58">
        <f>IF(AND(OR('Панель BI'!$C$6="Все","январь 2026"='Панель BI'!$C$6),OR('Панель BI'!$F$6="Все",$B93='Панель BI'!$F$6),OR('Панель BI'!$I$6="Все",$C93='Панель BI'!$I$6)),1,0)</f>
        <v/>
      </c>
      <c r="I93" s="58">
        <f>IF(AND(OR('Панель BI'!$F$6="Все",$B93='Панель BI'!$F$6),OR('Панель BI'!$I$6="Все",$C93='Панель BI'!$I$6)),1,0)</f>
        <v/>
      </c>
    </row>
    <row r="94">
      <c r="A94" s="25" t="inlineStr">
        <is>
          <t>2026-01</t>
        </is>
      </c>
      <c r="B94" s="25" t="inlineStr">
        <is>
          <t>Кишинёв</t>
        </is>
      </c>
      <c r="C94" s="25" t="inlineStr">
        <is>
          <t>DIESEL</t>
        </is>
      </c>
      <c r="D94" s="31" t="n">
        <v>258871</v>
      </c>
      <c r="E94" s="31" t="n">
        <v>51</v>
      </c>
      <c r="F94" s="31" t="n">
        <v>1129</v>
      </c>
      <c r="G94" s="57" t="n">
        <v>26418.6</v>
      </c>
      <c r="H94" s="58">
        <f>IF(AND(OR('Панель BI'!$C$6="Все","январь 2026"='Панель BI'!$C$6),OR('Панель BI'!$F$6="Все",$B94='Панель BI'!$F$6),OR('Панель BI'!$I$6="Все",$C94='Панель BI'!$I$6)),1,0)</f>
        <v/>
      </c>
      <c r="I94" s="58">
        <f>IF(AND(OR('Панель BI'!$F$6="Все",$B94='Панель BI'!$F$6),OR('Панель BI'!$I$6="Все",$C94='Панель BI'!$I$6)),1,0)</f>
        <v/>
      </c>
    </row>
    <row r="95">
      <c r="A95" s="25" t="inlineStr">
        <is>
          <t>2026-01</t>
        </is>
      </c>
      <c r="B95" s="25" t="inlineStr">
        <is>
          <t>Кишинёв</t>
        </is>
      </c>
      <c r="C95" s="25" t="inlineStr">
        <is>
          <t>GPL</t>
        </is>
      </c>
      <c r="D95" s="31" t="n">
        <v>46879</v>
      </c>
      <c r="E95" s="31" t="n">
        <v>9</v>
      </c>
      <c r="F95" s="31" t="n">
        <v>121</v>
      </c>
      <c r="G95" s="57" t="n">
        <v>1669.8</v>
      </c>
      <c r="H95" s="58">
        <f>IF(AND(OR('Панель BI'!$C$6="Все","январь 2026"='Панель BI'!$C$6),OR('Панель BI'!$F$6="Все",$B95='Панель BI'!$F$6),OR('Панель BI'!$I$6="Все",$C95='Панель BI'!$I$6)),1,0)</f>
        <v/>
      </c>
      <c r="I95" s="58">
        <f>IF(AND(OR('Панель BI'!$F$6="Все",$B95='Панель BI'!$F$6),OR('Панель BI'!$I$6="Все",$C95='Панель BI'!$I$6)),1,0)</f>
        <v/>
      </c>
    </row>
    <row r="96">
      <c r="A96" s="25" t="inlineStr">
        <is>
          <t>2026-01</t>
        </is>
      </c>
      <c r="B96" s="25" t="inlineStr">
        <is>
          <t>Комрат</t>
        </is>
      </c>
      <c r="C96" s="25" t="inlineStr">
        <is>
          <t>A92</t>
        </is>
      </c>
      <c r="D96" s="31" t="n">
        <v>249997</v>
      </c>
      <c r="E96" s="31" t="n">
        <v>51</v>
      </c>
      <c r="F96" s="31" t="n">
        <v>1003</v>
      </c>
      <c r="G96" s="57" t="n">
        <v>24272.6</v>
      </c>
      <c r="H96" s="58">
        <f>IF(AND(OR('Панель BI'!$C$6="Все","январь 2026"='Панель BI'!$C$6),OR('Панель BI'!$F$6="Все",$B96='Панель BI'!$F$6),OR('Панель BI'!$I$6="Все",$C96='Панель BI'!$I$6)),1,0)</f>
        <v/>
      </c>
      <c r="I96" s="58">
        <f>IF(AND(OR('Панель BI'!$F$6="Все",$B96='Панель BI'!$F$6),OR('Панель BI'!$I$6="Все",$C96='Панель BI'!$I$6)),1,0)</f>
        <v/>
      </c>
    </row>
    <row r="97">
      <c r="A97" s="25" t="inlineStr">
        <is>
          <t>2026-01</t>
        </is>
      </c>
      <c r="B97" s="25" t="inlineStr">
        <is>
          <t>Комрат</t>
        </is>
      </c>
      <c r="C97" s="25" t="inlineStr">
        <is>
          <t>A95</t>
        </is>
      </c>
      <c r="D97" s="31" t="n">
        <v>291343</v>
      </c>
      <c r="E97" s="31" t="n">
        <v>57</v>
      </c>
      <c r="F97" s="31" t="n">
        <v>1393</v>
      </c>
      <c r="G97" s="57" t="n">
        <v>34964.3</v>
      </c>
      <c r="H97" s="58">
        <f>IF(AND(OR('Панель BI'!$C$6="Все","январь 2026"='Панель BI'!$C$6),OR('Панель BI'!$F$6="Все",$B97='Панель BI'!$F$6),OR('Панель BI'!$I$6="Все",$C97='Панель BI'!$I$6)),1,0)</f>
        <v/>
      </c>
      <c r="I97" s="58">
        <f>IF(AND(OR('Панель BI'!$F$6="Все",$B97='Панель BI'!$F$6),OR('Панель BI'!$I$6="Все",$C97='Панель BI'!$I$6)),1,0)</f>
        <v/>
      </c>
    </row>
    <row r="98">
      <c r="A98" s="25" t="inlineStr">
        <is>
          <t>2026-01</t>
        </is>
      </c>
      <c r="B98" s="25" t="inlineStr">
        <is>
          <t>Комрат</t>
        </is>
      </c>
      <c r="C98" s="25" t="inlineStr">
        <is>
          <t>DIESEL</t>
        </is>
      </c>
      <c r="D98" s="31" t="n">
        <v>234366</v>
      </c>
      <c r="E98" s="31" t="n">
        <v>47</v>
      </c>
      <c r="F98" s="31" t="n">
        <v>634</v>
      </c>
      <c r="G98" s="57" t="n">
        <v>14835.6</v>
      </c>
      <c r="H98" s="58">
        <f>IF(AND(OR('Панель BI'!$C$6="Все","январь 2026"='Панель BI'!$C$6),OR('Панель BI'!$F$6="Все",$B98='Панель BI'!$F$6),OR('Панель BI'!$I$6="Все",$C98='Панель BI'!$I$6)),1,0)</f>
        <v/>
      </c>
      <c r="I98" s="58">
        <f>IF(AND(OR('Панель BI'!$F$6="Все",$B98='Панель BI'!$F$6),OR('Панель BI'!$I$6="Все",$C98='Панель BI'!$I$6)),1,0)</f>
        <v/>
      </c>
    </row>
    <row r="99">
      <c r="A99" s="25" t="inlineStr">
        <is>
          <t>2026-01</t>
        </is>
      </c>
      <c r="B99" s="25" t="inlineStr">
        <is>
          <t>Комрат</t>
        </is>
      </c>
      <c r="C99" s="25" t="inlineStr">
        <is>
          <t>GPL</t>
        </is>
      </c>
      <c r="D99" s="31" t="n">
        <v>165226</v>
      </c>
      <c r="E99" s="31" t="n">
        <v>33</v>
      </c>
      <c r="F99" s="31" t="n">
        <v>774</v>
      </c>
      <c r="G99" s="57" t="n">
        <v>10681.2</v>
      </c>
      <c r="H99" s="58">
        <f>IF(AND(OR('Панель BI'!$C$6="Все","январь 2026"='Панель BI'!$C$6),OR('Панель BI'!$F$6="Все",$B99='Панель BI'!$F$6),OR('Панель BI'!$I$6="Все",$C99='Панель BI'!$I$6)),1,0)</f>
        <v/>
      </c>
      <c r="I99" s="58">
        <f>IF(AND(OR('Панель BI'!$F$6="Все",$B99='Панель BI'!$F$6),OR('Панель BI'!$I$6="Все",$C99='Панель BI'!$I$6)),1,0)</f>
        <v/>
      </c>
    </row>
    <row r="100">
      <c r="A100" s="25" t="inlineStr">
        <is>
          <t>2026-01</t>
        </is>
      </c>
      <c r="B100" s="25" t="inlineStr">
        <is>
          <t>Орхей</t>
        </is>
      </c>
      <c r="C100" s="25" t="inlineStr">
        <is>
          <t>A92</t>
        </is>
      </c>
      <c r="D100" s="31" t="n">
        <v>223545</v>
      </c>
      <c r="E100" s="31" t="n">
        <v>42</v>
      </c>
      <c r="F100" s="31" t="n">
        <v>926</v>
      </c>
      <c r="G100" s="57" t="n">
        <v>22409.2</v>
      </c>
      <c r="H100" s="58">
        <f>IF(AND(OR('Панель BI'!$C$6="Все","январь 2026"='Панель BI'!$C$6),OR('Панель BI'!$F$6="Все",$B100='Панель BI'!$F$6),OR('Панель BI'!$I$6="Все",$C100='Панель BI'!$I$6)),1,0)</f>
        <v/>
      </c>
      <c r="I100" s="58">
        <f>IF(AND(OR('Панель BI'!$F$6="Все",$B100='Панель BI'!$F$6),OR('Панель BI'!$I$6="Все",$C100='Панель BI'!$I$6)),1,0)</f>
        <v/>
      </c>
    </row>
    <row r="101">
      <c r="A101" s="25" t="inlineStr">
        <is>
          <t>2026-01</t>
        </is>
      </c>
      <c r="B101" s="25" t="inlineStr">
        <is>
          <t>Орхей</t>
        </is>
      </c>
      <c r="C101" s="25" t="inlineStr">
        <is>
          <t>A95</t>
        </is>
      </c>
      <c r="D101" s="31" t="n">
        <v>206764</v>
      </c>
      <c r="E101" s="31" t="n">
        <v>43</v>
      </c>
      <c r="F101" s="31" t="n">
        <v>1236</v>
      </c>
      <c r="G101" s="57" t="n">
        <v>31023.6</v>
      </c>
      <c r="H101" s="58">
        <f>IF(AND(OR('Панель BI'!$C$6="Все","январь 2026"='Панель BI'!$C$6),OR('Панель BI'!$F$6="Все",$B101='Панель BI'!$F$6),OR('Панель BI'!$I$6="Все",$C101='Панель BI'!$I$6)),1,0)</f>
        <v/>
      </c>
      <c r="I101" s="58">
        <f>IF(AND(OR('Панель BI'!$F$6="Все",$B101='Панель BI'!$F$6),OR('Панель BI'!$I$6="Все",$C101='Панель BI'!$I$6)),1,0)</f>
        <v/>
      </c>
    </row>
    <row r="102">
      <c r="A102" s="25" t="inlineStr">
        <is>
          <t>2026-01</t>
        </is>
      </c>
      <c r="B102" s="25" t="inlineStr">
        <is>
          <t>Орхей</t>
        </is>
      </c>
      <c r="C102" s="25" t="inlineStr">
        <is>
          <t>DIESEL</t>
        </is>
      </c>
      <c r="D102" s="31" t="n">
        <v>236386</v>
      </c>
      <c r="E102" s="31" t="n">
        <v>47</v>
      </c>
      <c r="F102" s="31" t="n">
        <v>614</v>
      </c>
      <c r="G102" s="57" t="n">
        <v>14367.6</v>
      </c>
      <c r="H102" s="58">
        <f>IF(AND(OR('Панель BI'!$C$6="Все","январь 2026"='Панель BI'!$C$6),OR('Панель BI'!$F$6="Все",$B102='Панель BI'!$F$6),OR('Панель BI'!$I$6="Все",$C102='Панель BI'!$I$6)),1,0)</f>
        <v/>
      </c>
      <c r="I102" s="58">
        <f>IF(AND(OR('Панель BI'!$F$6="Все",$B102='Панель BI'!$F$6),OR('Панель BI'!$I$6="Все",$C102='Панель BI'!$I$6)),1,0)</f>
        <v/>
      </c>
    </row>
    <row r="103">
      <c r="A103" s="25" t="inlineStr">
        <is>
          <t>2026-01</t>
        </is>
      </c>
      <c r="B103" s="25" t="inlineStr">
        <is>
          <t>Унгень</t>
        </is>
      </c>
      <c r="C103" s="25" t="inlineStr">
        <is>
          <t>A92</t>
        </is>
      </c>
      <c r="D103" s="31" t="n">
        <v>209404</v>
      </c>
      <c r="E103" s="31" t="n">
        <v>42</v>
      </c>
      <c r="F103" s="31" t="n">
        <v>596</v>
      </c>
      <c r="G103" s="57" t="n">
        <v>14423.2</v>
      </c>
      <c r="H103" s="58">
        <f>IF(AND(OR('Панель BI'!$C$6="Все","январь 2026"='Панель BI'!$C$6),OR('Панель BI'!$F$6="Все",$B103='Панель BI'!$F$6),OR('Панель BI'!$I$6="Все",$C103='Панель BI'!$I$6)),1,0)</f>
        <v/>
      </c>
      <c r="I103" s="58">
        <f>IF(AND(OR('Панель BI'!$F$6="Все",$B103='Панель BI'!$F$6),OR('Панель BI'!$I$6="Все",$C103='Панель BI'!$I$6)),1,0)</f>
        <v/>
      </c>
    </row>
    <row r="104">
      <c r="A104" s="25" t="inlineStr">
        <is>
          <t>2026-01</t>
        </is>
      </c>
      <c r="B104" s="25" t="inlineStr">
        <is>
          <t>Унгень</t>
        </is>
      </c>
      <c r="C104" s="25" t="inlineStr">
        <is>
          <t>A95</t>
        </is>
      </c>
      <c r="D104" s="31" t="n">
        <v>226124</v>
      </c>
      <c r="E104" s="31" t="n">
        <v>47</v>
      </c>
      <c r="F104" s="31" t="n">
        <v>876</v>
      </c>
      <c r="G104" s="57" t="n">
        <v>21987.6</v>
      </c>
      <c r="H104" s="58">
        <f>IF(AND(OR('Панель BI'!$C$6="Все","январь 2026"='Панель BI'!$C$6),OR('Панель BI'!$F$6="Все",$B104='Панель BI'!$F$6),OR('Панель BI'!$I$6="Все",$C104='Панель BI'!$I$6)),1,0)</f>
        <v/>
      </c>
      <c r="I104" s="58">
        <f>IF(AND(OR('Панель BI'!$F$6="Все",$B104='Панель BI'!$F$6),OR('Панель BI'!$I$6="Все",$C104='Панель BI'!$I$6)),1,0)</f>
        <v/>
      </c>
    </row>
    <row r="105">
      <c r="A105" s="25" t="inlineStr">
        <is>
          <t>2026-01</t>
        </is>
      </c>
      <c r="B105" s="25" t="inlineStr">
        <is>
          <t>Унгень</t>
        </is>
      </c>
      <c r="C105" s="25" t="inlineStr">
        <is>
          <t>DIESEL</t>
        </is>
      </c>
      <c r="D105" s="31" t="n">
        <v>244903</v>
      </c>
      <c r="E105" s="31" t="n">
        <v>50</v>
      </c>
      <c r="F105" s="31" t="n">
        <v>1097</v>
      </c>
      <c r="G105" s="57" t="n">
        <v>25669.8</v>
      </c>
      <c r="H105" s="58">
        <f>IF(AND(OR('Панель BI'!$C$6="Все","январь 2026"='Панель BI'!$C$6),OR('Панель BI'!$F$6="Все",$B105='Панель BI'!$F$6),OR('Панель BI'!$I$6="Все",$C105='Панель BI'!$I$6)),1,0)</f>
        <v/>
      </c>
      <c r="I105" s="58">
        <f>IF(AND(OR('Панель BI'!$F$6="Все",$B105='Панель BI'!$F$6),OR('Панель BI'!$I$6="Все",$C105='Панель BI'!$I$6)),1,0)</f>
        <v/>
      </c>
    </row>
    <row r="106">
      <c r="A106" s="25" t="inlineStr">
        <is>
          <t>2026-01</t>
        </is>
      </c>
      <c r="B106" s="25" t="inlineStr">
        <is>
          <t>Унгень</t>
        </is>
      </c>
      <c r="C106" s="25" t="inlineStr">
        <is>
          <t>GPL</t>
        </is>
      </c>
      <c r="D106" s="31" t="n">
        <v>64849</v>
      </c>
      <c r="E106" s="31" t="n">
        <v>12</v>
      </c>
      <c r="F106" s="31" t="n">
        <v>151</v>
      </c>
      <c r="G106" s="57" t="n">
        <v>2083.8</v>
      </c>
      <c r="H106" s="58">
        <f>IF(AND(OR('Панель BI'!$C$6="Все","январь 2026"='Панель BI'!$C$6),OR('Панель BI'!$F$6="Все",$B106='Панель BI'!$F$6),OR('Панель BI'!$I$6="Все",$C106='Панель BI'!$I$6)),1,0)</f>
        <v/>
      </c>
      <c r="I106" s="58">
        <f>IF(AND(OR('Панель BI'!$F$6="Все",$B106='Панель BI'!$F$6),OR('Панель BI'!$I$6="Все",$C106='Панель BI'!$I$6)),1,0)</f>
        <v/>
      </c>
    </row>
    <row r="107">
      <c r="A107" s="25" t="inlineStr">
        <is>
          <t>2026-02</t>
        </is>
      </c>
      <c r="B107" s="25" t="inlineStr">
        <is>
          <t>Бэлць</t>
        </is>
      </c>
      <c r="C107" s="25" t="inlineStr">
        <is>
          <t>A92</t>
        </is>
      </c>
      <c r="D107" s="31" t="n">
        <v>188767</v>
      </c>
      <c r="E107" s="31" t="n">
        <v>38</v>
      </c>
      <c r="F107" s="31" t="n">
        <v>583</v>
      </c>
      <c r="G107" s="57" t="n">
        <v>14108.6</v>
      </c>
      <c r="H107" s="58">
        <f>IF(AND(OR('Панель BI'!$C$6="Все","февраль 2026"='Панель BI'!$C$6),OR('Панель BI'!$F$6="Все",$B107='Панель BI'!$F$6),OR('Панель BI'!$I$6="Все",$C107='Панель BI'!$I$6)),1,0)</f>
        <v/>
      </c>
      <c r="I107" s="58">
        <f>IF(AND(OR('Панель BI'!$F$6="Все",$B107='Панель BI'!$F$6),OR('Панель BI'!$I$6="Все",$C107='Панель BI'!$I$6)),1,0)</f>
        <v/>
      </c>
    </row>
    <row r="108">
      <c r="A108" s="25" t="inlineStr">
        <is>
          <t>2026-02</t>
        </is>
      </c>
      <c r="B108" s="25" t="inlineStr">
        <is>
          <t>Бэлць</t>
        </is>
      </c>
      <c r="C108" s="25" t="inlineStr">
        <is>
          <t>A95</t>
        </is>
      </c>
      <c r="D108" s="31" t="n">
        <v>183590</v>
      </c>
      <c r="E108" s="31" t="n">
        <v>37</v>
      </c>
      <c r="F108" s="31" t="n">
        <v>1410</v>
      </c>
      <c r="G108" s="57" t="n">
        <v>35391</v>
      </c>
      <c r="H108" s="58">
        <f>IF(AND(OR('Панель BI'!$C$6="Все","февраль 2026"='Панель BI'!$C$6),OR('Панель BI'!$F$6="Все",$B108='Панель BI'!$F$6),OR('Панель BI'!$I$6="Все",$C108='Панель BI'!$I$6)),1,0)</f>
        <v/>
      </c>
      <c r="I108" s="58">
        <f>IF(AND(OR('Панель BI'!$F$6="Все",$B108='Панель BI'!$F$6),OR('Панель BI'!$I$6="Все",$C108='Панель BI'!$I$6)),1,0)</f>
        <v/>
      </c>
    </row>
    <row r="109">
      <c r="A109" s="25" t="inlineStr">
        <is>
          <t>2026-02</t>
        </is>
      </c>
      <c r="B109" s="25" t="inlineStr">
        <is>
          <t>Бэлць</t>
        </is>
      </c>
      <c r="C109" s="25" t="inlineStr">
        <is>
          <t>DIESEL</t>
        </is>
      </c>
      <c r="D109" s="31" t="n">
        <v>243249</v>
      </c>
      <c r="E109" s="31" t="n">
        <v>50</v>
      </c>
      <c r="F109" s="31" t="n">
        <v>751</v>
      </c>
      <c r="G109" s="57" t="n">
        <v>17573.4</v>
      </c>
      <c r="H109" s="58">
        <f>IF(AND(OR('Панель BI'!$C$6="Все","февраль 2026"='Панель BI'!$C$6),OR('Панель BI'!$F$6="Все",$B109='Панель BI'!$F$6),OR('Панель BI'!$I$6="Все",$C109='Панель BI'!$I$6)),1,0)</f>
        <v/>
      </c>
      <c r="I109" s="58">
        <f>IF(AND(OR('Панель BI'!$F$6="Все",$B109='Панель BI'!$F$6),OR('Панель BI'!$I$6="Все",$C109='Панель BI'!$I$6)),1,0)</f>
        <v/>
      </c>
    </row>
    <row r="110">
      <c r="A110" s="25" t="inlineStr">
        <is>
          <t>2026-02</t>
        </is>
      </c>
      <c r="B110" s="25" t="inlineStr">
        <is>
          <t>Кагул</t>
        </is>
      </c>
      <c r="C110" s="25" t="inlineStr">
        <is>
          <t>A92</t>
        </is>
      </c>
      <c r="D110" s="31" t="n">
        <v>204025</v>
      </c>
      <c r="E110" s="31" t="n">
        <v>41</v>
      </c>
      <c r="F110" s="31" t="n">
        <v>975</v>
      </c>
      <c r="G110" s="57" t="n">
        <v>23595</v>
      </c>
      <c r="H110" s="58">
        <f>IF(AND(OR('Панель BI'!$C$6="Все","февраль 2026"='Панель BI'!$C$6),OR('Панель BI'!$F$6="Все",$B110='Панель BI'!$F$6),OR('Панель BI'!$I$6="Все",$C110='Панель BI'!$I$6)),1,0)</f>
        <v/>
      </c>
      <c r="I110" s="58">
        <f>IF(AND(OR('Панель BI'!$F$6="Все",$B110='Панель BI'!$F$6),OR('Панель BI'!$I$6="Все",$C110='Панель BI'!$I$6)),1,0)</f>
        <v/>
      </c>
    </row>
    <row r="111">
      <c r="A111" s="25" t="inlineStr">
        <is>
          <t>2026-02</t>
        </is>
      </c>
      <c r="B111" s="25" t="inlineStr">
        <is>
          <t>Кагул</t>
        </is>
      </c>
      <c r="C111" s="25" t="inlineStr">
        <is>
          <t>A95</t>
        </is>
      </c>
      <c r="D111" s="31" t="n">
        <v>161172</v>
      </c>
      <c r="E111" s="31" t="n">
        <v>32</v>
      </c>
      <c r="F111" s="31" t="n">
        <v>828</v>
      </c>
      <c r="G111" s="57" t="n">
        <v>20782.8</v>
      </c>
      <c r="H111" s="58">
        <f>IF(AND(OR('Панель BI'!$C$6="Все","февраль 2026"='Панель BI'!$C$6),OR('Панель BI'!$F$6="Все",$B111='Панель BI'!$F$6),OR('Панель BI'!$I$6="Все",$C111='Панель BI'!$I$6)),1,0)</f>
        <v/>
      </c>
      <c r="I111" s="58">
        <f>IF(AND(OR('Панель BI'!$F$6="Все",$B111='Панель BI'!$F$6),OR('Панель BI'!$I$6="Все",$C111='Панель BI'!$I$6)),1,0)</f>
        <v/>
      </c>
    </row>
    <row r="112">
      <c r="A112" s="25" t="inlineStr">
        <is>
          <t>2026-02</t>
        </is>
      </c>
      <c r="B112" s="25" t="inlineStr">
        <is>
          <t>Кагул</t>
        </is>
      </c>
      <c r="C112" s="25" t="inlineStr">
        <is>
          <t>DIESEL</t>
        </is>
      </c>
      <c r="D112" s="31" t="n">
        <v>176457</v>
      </c>
      <c r="E112" s="31" t="n">
        <v>34</v>
      </c>
      <c r="F112" s="31" t="n">
        <v>543</v>
      </c>
      <c r="G112" s="57" t="n">
        <v>12706.2</v>
      </c>
      <c r="H112" s="58">
        <f>IF(AND(OR('Панель BI'!$C$6="Все","февраль 2026"='Панель BI'!$C$6),OR('Панель BI'!$F$6="Все",$B112='Панель BI'!$F$6),OR('Панель BI'!$I$6="Все",$C112='Панель BI'!$I$6)),1,0)</f>
        <v/>
      </c>
      <c r="I112" s="58">
        <f>IF(AND(OR('Панель BI'!$F$6="Все",$B112='Панель BI'!$F$6),OR('Панель BI'!$I$6="Все",$C112='Панель BI'!$I$6)),1,0)</f>
        <v/>
      </c>
    </row>
    <row r="113">
      <c r="A113" s="25" t="inlineStr">
        <is>
          <t>2026-02</t>
        </is>
      </c>
      <c r="B113" s="25" t="inlineStr">
        <is>
          <t>Кишинёв</t>
        </is>
      </c>
      <c r="C113" s="25" t="inlineStr">
        <is>
          <t>A92</t>
        </is>
      </c>
      <c r="D113" s="31" t="n">
        <v>258763</v>
      </c>
      <c r="E113" s="31" t="n">
        <v>52</v>
      </c>
      <c r="F113" s="31" t="n">
        <v>1237</v>
      </c>
      <c r="G113" s="57" t="n">
        <v>29935.4</v>
      </c>
      <c r="H113" s="58">
        <f>IF(AND(OR('Панель BI'!$C$6="Все","февраль 2026"='Панель BI'!$C$6),OR('Панель BI'!$F$6="Все",$B113='Панель BI'!$F$6),OR('Панель BI'!$I$6="Все",$C113='Панель BI'!$I$6)),1,0)</f>
        <v/>
      </c>
      <c r="I113" s="58">
        <f>IF(AND(OR('Панель BI'!$F$6="Все",$B113='Панель BI'!$F$6),OR('Панель BI'!$I$6="Все",$C113='Панель BI'!$I$6)),1,0)</f>
        <v/>
      </c>
    </row>
    <row r="114">
      <c r="A114" s="25" t="inlineStr">
        <is>
          <t>2026-02</t>
        </is>
      </c>
      <c r="B114" s="25" t="inlineStr">
        <is>
          <t>Кишинёв</t>
        </is>
      </c>
      <c r="C114" s="25" t="inlineStr">
        <is>
          <t>A95</t>
        </is>
      </c>
      <c r="D114" s="31" t="n">
        <v>170509</v>
      </c>
      <c r="E114" s="31" t="n">
        <v>33</v>
      </c>
      <c r="F114" s="31" t="n">
        <v>491</v>
      </c>
      <c r="G114" s="57" t="n">
        <v>12324.1</v>
      </c>
      <c r="H114" s="58">
        <f>IF(AND(OR('Панель BI'!$C$6="Все","февраль 2026"='Панель BI'!$C$6),OR('Панель BI'!$F$6="Все",$B114='Панель BI'!$F$6),OR('Панель BI'!$I$6="Все",$C114='Панель BI'!$I$6)),1,0)</f>
        <v/>
      </c>
      <c r="I114" s="58">
        <f>IF(AND(OR('Панель BI'!$F$6="Все",$B114='Панель BI'!$F$6),OR('Панель BI'!$I$6="Все",$C114='Панель BI'!$I$6)),1,0)</f>
        <v/>
      </c>
    </row>
    <row r="115">
      <c r="A115" s="25" t="inlineStr">
        <is>
          <t>2026-02</t>
        </is>
      </c>
      <c r="B115" s="25" t="inlineStr">
        <is>
          <t>Кишинёв</t>
        </is>
      </c>
      <c r="C115" s="25" t="inlineStr">
        <is>
          <t>DIESEL</t>
        </is>
      </c>
      <c r="D115" s="31" t="n">
        <v>199430</v>
      </c>
      <c r="E115" s="31" t="n">
        <v>41</v>
      </c>
      <c r="F115" s="31" t="n">
        <v>570</v>
      </c>
      <c r="G115" s="57" t="n">
        <v>13338</v>
      </c>
      <c r="H115" s="58">
        <f>IF(AND(OR('Панель BI'!$C$6="Все","февраль 2026"='Панель BI'!$C$6),OR('Панель BI'!$F$6="Все",$B115='Панель BI'!$F$6),OR('Панель BI'!$I$6="Все",$C115='Панель BI'!$I$6)),1,0)</f>
        <v/>
      </c>
      <c r="I115" s="58">
        <f>IF(AND(OR('Панель BI'!$F$6="Все",$B115='Панель BI'!$F$6),OR('Панель BI'!$I$6="Все",$C115='Панель BI'!$I$6)),1,0)</f>
        <v/>
      </c>
    </row>
    <row r="116">
      <c r="A116" s="25" t="inlineStr">
        <is>
          <t>2026-02</t>
        </is>
      </c>
      <c r="B116" s="25" t="inlineStr">
        <is>
          <t>Кишинёв</t>
        </is>
      </c>
      <c r="C116" s="25" t="inlineStr">
        <is>
          <t>GPL</t>
        </is>
      </c>
      <c r="D116" s="31" t="n">
        <v>87786</v>
      </c>
      <c r="E116" s="31" t="n">
        <v>18</v>
      </c>
      <c r="F116" s="31" t="n">
        <v>214</v>
      </c>
      <c r="G116" s="57" t="n">
        <v>2953.2</v>
      </c>
      <c r="H116" s="58">
        <f>IF(AND(OR('Панель BI'!$C$6="Все","февраль 2026"='Панель BI'!$C$6),OR('Панель BI'!$F$6="Все",$B116='Панель BI'!$F$6),OR('Панель BI'!$I$6="Все",$C116='Панель BI'!$I$6)),1,0)</f>
        <v/>
      </c>
      <c r="I116" s="58">
        <f>IF(AND(OR('Панель BI'!$F$6="Все",$B116='Панель BI'!$F$6),OR('Панель BI'!$I$6="Все",$C116='Панель BI'!$I$6)),1,0)</f>
        <v/>
      </c>
    </row>
    <row r="117">
      <c r="A117" s="25" t="inlineStr">
        <is>
          <t>2026-02</t>
        </is>
      </c>
      <c r="B117" s="25" t="inlineStr">
        <is>
          <t>Комрат</t>
        </is>
      </c>
      <c r="C117" s="25" t="inlineStr">
        <is>
          <t>A92</t>
        </is>
      </c>
      <c r="D117" s="31" t="n">
        <v>196324</v>
      </c>
      <c r="E117" s="31" t="n">
        <v>40</v>
      </c>
      <c r="F117" s="31" t="n">
        <v>676</v>
      </c>
      <c r="G117" s="57" t="n">
        <v>16359.2</v>
      </c>
      <c r="H117" s="58">
        <f>IF(AND(OR('Панель BI'!$C$6="Все","февраль 2026"='Панель BI'!$C$6),OR('Панель BI'!$F$6="Все",$B117='Панель BI'!$F$6),OR('Панель BI'!$I$6="Все",$C117='Панель BI'!$I$6)),1,0)</f>
        <v/>
      </c>
      <c r="I117" s="58">
        <f>IF(AND(OR('Панель BI'!$F$6="Все",$B117='Панель BI'!$F$6),OR('Панель BI'!$I$6="Все",$C117='Панель BI'!$I$6)),1,0)</f>
        <v/>
      </c>
    </row>
    <row r="118">
      <c r="A118" s="25" t="inlineStr">
        <is>
          <t>2026-02</t>
        </is>
      </c>
      <c r="B118" s="25" t="inlineStr">
        <is>
          <t>Комрат</t>
        </is>
      </c>
      <c r="C118" s="25" t="inlineStr">
        <is>
          <t>A95</t>
        </is>
      </c>
      <c r="D118" s="31" t="n">
        <v>205201</v>
      </c>
      <c r="E118" s="31" t="n">
        <v>41</v>
      </c>
      <c r="F118" s="31" t="n">
        <v>799</v>
      </c>
      <c r="G118" s="57" t="n">
        <v>20054.9</v>
      </c>
      <c r="H118" s="58">
        <f>IF(AND(OR('Панель BI'!$C$6="Все","февраль 2026"='Панель BI'!$C$6),OR('Панель BI'!$F$6="Все",$B118='Панель BI'!$F$6),OR('Панель BI'!$I$6="Все",$C118='Панель BI'!$I$6)),1,0)</f>
        <v/>
      </c>
      <c r="I118" s="58">
        <f>IF(AND(OR('Панель BI'!$F$6="Все",$B118='Панель BI'!$F$6),OR('Панель BI'!$I$6="Все",$C118='Панель BI'!$I$6)),1,0)</f>
        <v/>
      </c>
    </row>
    <row r="119">
      <c r="A119" s="25" t="inlineStr">
        <is>
          <t>2026-02</t>
        </is>
      </c>
      <c r="B119" s="25" t="inlineStr">
        <is>
          <t>Комрат</t>
        </is>
      </c>
      <c r="C119" s="25" t="inlineStr">
        <is>
          <t>DIESEL</t>
        </is>
      </c>
      <c r="D119" s="31" t="n">
        <v>157447</v>
      </c>
      <c r="E119" s="31" t="n">
        <v>33</v>
      </c>
      <c r="F119" s="31" t="n">
        <v>553</v>
      </c>
      <c r="G119" s="57" t="n">
        <v>12940.2</v>
      </c>
      <c r="H119" s="58">
        <f>IF(AND(OR('Панель BI'!$C$6="Все","февраль 2026"='Панель BI'!$C$6),OR('Панель BI'!$F$6="Все",$B119='Панель BI'!$F$6),OR('Панель BI'!$I$6="Все",$C119='Панель BI'!$I$6)),1,0)</f>
        <v/>
      </c>
      <c r="I119" s="58">
        <f>IF(AND(OR('Панель BI'!$F$6="Все",$B119='Панель BI'!$F$6),OR('Панель BI'!$I$6="Все",$C119='Панель BI'!$I$6)),1,0)</f>
        <v/>
      </c>
    </row>
    <row r="120">
      <c r="A120" s="25" t="inlineStr">
        <is>
          <t>2026-02</t>
        </is>
      </c>
      <c r="B120" s="25" t="inlineStr">
        <is>
          <t>Комрат</t>
        </is>
      </c>
      <c r="C120" s="25" t="inlineStr">
        <is>
          <t>GPL</t>
        </is>
      </c>
      <c r="D120" s="31" t="n">
        <v>201518</v>
      </c>
      <c r="E120" s="31" t="n">
        <v>40</v>
      </c>
      <c r="F120" s="31" t="n">
        <v>482</v>
      </c>
      <c r="G120" s="57" t="n">
        <v>6651.6</v>
      </c>
      <c r="H120" s="58">
        <f>IF(AND(OR('Панель BI'!$C$6="Все","февраль 2026"='Панель BI'!$C$6),OR('Панель BI'!$F$6="Все",$B120='Панель BI'!$F$6),OR('Панель BI'!$I$6="Все",$C120='Панель BI'!$I$6)),1,0)</f>
        <v/>
      </c>
      <c r="I120" s="58">
        <f>IF(AND(OR('Панель BI'!$F$6="Все",$B120='Панель BI'!$F$6),OR('Панель BI'!$I$6="Все",$C120='Панель BI'!$I$6)),1,0)</f>
        <v/>
      </c>
    </row>
    <row r="121">
      <c r="A121" s="25" t="inlineStr">
        <is>
          <t>2026-02</t>
        </is>
      </c>
      <c r="B121" s="25" t="inlineStr">
        <is>
          <t>Орхей</t>
        </is>
      </c>
      <c r="C121" s="25" t="inlineStr">
        <is>
          <t>A92</t>
        </is>
      </c>
      <c r="D121" s="31" t="n">
        <v>229941</v>
      </c>
      <c r="E121" s="31" t="n">
        <v>47</v>
      </c>
      <c r="F121" s="31" t="n">
        <v>1059</v>
      </c>
      <c r="G121" s="57" t="n">
        <v>25627.8</v>
      </c>
      <c r="H121" s="58">
        <f>IF(AND(OR('Панель BI'!$C$6="Все","февраль 2026"='Панель BI'!$C$6),OR('Панель BI'!$F$6="Все",$B121='Панель BI'!$F$6),OR('Панель BI'!$I$6="Все",$C121='Панель BI'!$I$6)),1,0)</f>
        <v/>
      </c>
      <c r="I121" s="58">
        <f>IF(AND(OR('Панель BI'!$F$6="Все",$B121='Панель BI'!$F$6),OR('Панель BI'!$I$6="Все",$C121='Панель BI'!$I$6)),1,0)</f>
        <v/>
      </c>
    </row>
    <row r="122">
      <c r="A122" s="25" t="inlineStr">
        <is>
          <t>2026-02</t>
        </is>
      </c>
      <c r="B122" s="25" t="inlineStr">
        <is>
          <t>Орхей</t>
        </is>
      </c>
      <c r="C122" s="25" t="inlineStr">
        <is>
          <t>A95</t>
        </is>
      </c>
      <c r="D122" s="31" t="n">
        <v>167313</v>
      </c>
      <c r="E122" s="31" t="n">
        <v>34</v>
      </c>
      <c r="F122" s="31" t="n">
        <v>687</v>
      </c>
      <c r="G122" s="57" t="n">
        <v>17243.7</v>
      </c>
      <c r="H122" s="58">
        <f>IF(AND(OR('Панель BI'!$C$6="Все","февраль 2026"='Панель BI'!$C$6),OR('Панель BI'!$F$6="Все",$B122='Панель BI'!$F$6),OR('Панель BI'!$I$6="Все",$C122='Панель BI'!$I$6)),1,0)</f>
        <v/>
      </c>
      <c r="I122" s="58">
        <f>IF(AND(OR('Панель BI'!$F$6="Все",$B122='Панель BI'!$F$6),OR('Панель BI'!$I$6="Все",$C122='Панель BI'!$I$6)),1,0)</f>
        <v/>
      </c>
    </row>
    <row r="123">
      <c r="A123" s="25" t="inlineStr">
        <is>
          <t>2026-02</t>
        </is>
      </c>
      <c r="B123" s="25" t="inlineStr">
        <is>
          <t>Орхей</t>
        </is>
      </c>
      <c r="C123" s="25" t="inlineStr">
        <is>
          <t>DIESEL</t>
        </is>
      </c>
      <c r="D123" s="31" t="n">
        <v>178067</v>
      </c>
      <c r="E123" s="31" t="n">
        <v>38</v>
      </c>
      <c r="F123" s="31" t="n">
        <v>933</v>
      </c>
      <c r="G123" s="57" t="n">
        <v>21832.2</v>
      </c>
      <c r="H123" s="58">
        <f>IF(AND(OR('Панель BI'!$C$6="Все","февраль 2026"='Панель BI'!$C$6),OR('Панель BI'!$F$6="Все",$B123='Панель BI'!$F$6),OR('Панель BI'!$I$6="Все",$C123='Панель BI'!$I$6)),1,0)</f>
        <v/>
      </c>
      <c r="I123" s="58">
        <f>IF(AND(OR('Панель BI'!$F$6="Все",$B123='Панель BI'!$F$6),OR('Панель BI'!$I$6="Все",$C123='Панель BI'!$I$6)),1,0)</f>
        <v/>
      </c>
    </row>
    <row r="124">
      <c r="A124" s="25" t="inlineStr">
        <is>
          <t>2026-02</t>
        </is>
      </c>
      <c r="B124" s="25" t="inlineStr">
        <is>
          <t>Унгень</t>
        </is>
      </c>
      <c r="C124" s="25" t="inlineStr">
        <is>
          <t>A92</t>
        </is>
      </c>
      <c r="D124" s="31" t="n">
        <v>204446</v>
      </c>
      <c r="E124" s="31" t="n">
        <v>41</v>
      </c>
      <c r="F124" s="31" t="n">
        <v>554</v>
      </c>
      <c r="G124" s="57" t="n">
        <v>13406.8</v>
      </c>
      <c r="H124" s="58">
        <f>IF(AND(OR('Панель BI'!$C$6="Все","февраль 2026"='Панель BI'!$C$6),OR('Панель BI'!$F$6="Все",$B124='Панель BI'!$F$6),OR('Панель BI'!$I$6="Все",$C124='Панель BI'!$I$6)),1,0)</f>
        <v/>
      </c>
      <c r="I124" s="58">
        <f>IF(AND(OR('Панель BI'!$F$6="Все",$B124='Панель BI'!$F$6),OR('Панель BI'!$I$6="Все",$C124='Панель BI'!$I$6)),1,0)</f>
        <v/>
      </c>
    </row>
    <row r="125">
      <c r="A125" s="25" t="inlineStr">
        <is>
          <t>2026-02</t>
        </is>
      </c>
      <c r="B125" s="25" t="inlineStr">
        <is>
          <t>Унгень</t>
        </is>
      </c>
      <c r="C125" s="25" t="inlineStr">
        <is>
          <t>A95</t>
        </is>
      </c>
      <c r="D125" s="31" t="n">
        <v>170521</v>
      </c>
      <c r="E125" s="31" t="n">
        <v>34</v>
      </c>
      <c r="F125" s="31" t="n">
        <v>479</v>
      </c>
      <c r="G125" s="57" t="n">
        <v>12022.9</v>
      </c>
      <c r="H125" s="58">
        <f>IF(AND(OR('Панель BI'!$C$6="Все","февраль 2026"='Панель BI'!$C$6),OR('Панель BI'!$F$6="Все",$B125='Панель BI'!$F$6),OR('Панель BI'!$I$6="Все",$C125='Панель BI'!$I$6)),1,0)</f>
        <v/>
      </c>
      <c r="I125" s="58">
        <f>IF(AND(OR('Панель BI'!$F$6="Все",$B125='Панель BI'!$F$6),OR('Панель BI'!$I$6="Все",$C125='Панель BI'!$I$6)),1,0)</f>
        <v/>
      </c>
    </row>
    <row r="126">
      <c r="A126" s="25" t="inlineStr">
        <is>
          <t>2026-02</t>
        </is>
      </c>
      <c r="B126" s="25" t="inlineStr">
        <is>
          <t>Унгень</t>
        </is>
      </c>
      <c r="C126" s="25" t="inlineStr">
        <is>
          <t>DIESEL</t>
        </is>
      </c>
      <c r="D126" s="31" t="n">
        <v>171287</v>
      </c>
      <c r="E126" s="31" t="n">
        <v>35</v>
      </c>
      <c r="F126" s="31" t="n">
        <v>527</v>
      </c>
      <c r="G126" s="57" t="n">
        <v>12331.8</v>
      </c>
      <c r="H126" s="58">
        <f>IF(AND(OR('Панель BI'!$C$6="Все","февраль 2026"='Панель BI'!$C$6),OR('Панель BI'!$F$6="Все",$B126='Панель BI'!$F$6),OR('Панель BI'!$I$6="Все",$C126='Панель BI'!$I$6)),1,0)</f>
        <v/>
      </c>
      <c r="I126" s="58">
        <f>IF(AND(OR('Панель BI'!$F$6="Все",$B126='Панель BI'!$F$6),OR('Панель BI'!$I$6="Все",$C126='Панель BI'!$I$6)),1,0)</f>
        <v/>
      </c>
    </row>
    <row r="127">
      <c r="A127" s="25" t="inlineStr">
        <is>
          <t>2026-02</t>
        </is>
      </c>
      <c r="B127" s="25" t="inlineStr">
        <is>
          <t>Унгень</t>
        </is>
      </c>
      <c r="C127" s="25" t="inlineStr">
        <is>
          <t>GPL</t>
        </is>
      </c>
      <c r="D127" s="31" t="n">
        <v>40860</v>
      </c>
      <c r="E127" s="31" t="n">
        <v>8</v>
      </c>
      <c r="F127" s="31" t="n">
        <v>140</v>
      </c>
      <c r="G127" s="57" t="n">
        <v>1932</v>
      </c>
      <c r="H127" s="58">
        <f>IF(AND(OR('Панель BI'!$C$6="Все","февраль 2026"='Панель BI'!$C$6),OR('Панель BI'!$F$6="Все",$B127='Панель BI'!$F$6),OR('Панель BI'!$I$6="Все",$C127='Панель BI'!$I$6)),1,0)</f>
        <v/>
      </c>
      <c r="I127" s="58">
        <f>IF(AND(OR('Панель BI'!$F$6="Все",$B127='Панель BI'!$F$6),OR('Панель BI'!$I$6="Все",$C127='Панель BI'!$I$6)),1,0)</f>
        <v/>
      </c>
    </row>
    <row r="128">
      <c r="A128" s="25" t="inlineStr">
        <is>
          <t>2026-03</t>
        </is>
      </c>
      <c r="B128" s="25" t="inlineStr">
        <is>
          <t>Бэлць</t>
        </is>
      </c>
      <c r="C128" s="25" t="inlineStr">
        <is>
          <t>A92</t>
        </is>
      </c>
      <c r="D128" s="31" t="n">
        <v>222283</v>
      </c>
      <c r="E128" s="31" t="n">
        <v>44</v>
      </c>
      <c r="F128" s="31" t="n">
        <v>717</v>
      </c>
      <c r="G128" s="57" t="n">
        <v>17351.4</v>
      </c>
      <c r="H128" s="58">
        <f>IF(AND(OR('Панель BI'!$C$6="Все","март 2026"='Панель BI'!$C$6),OR('Панель BI'!$F$6="Все",$B128='Панель BI'!$F$6),OR('Панель BI'!$I$6="Все",$C128='Панель BI'!$I$6)),1,0)</f>
        <v/>
      </c>
      <c r="I128" s="58">
        <f>IF(AND(OR('Панель BI'!$F$6="Все",$B128='Панель BI'!$F$6),OR('Панель BI'!$I$6="Все",$C128='Панель BI'!$I$6)),1,0)</f>
        <v/>
      </c>
    </row>
    <row r="129">
      <c r="A129" s="25" t="inlineStr">
        <is>
          <t>2026-03</t>
        </is>
      </c>
      <c r="B129" s="25" t="inlineStr">
        <is>
          <t>Бэлць</t>
        </is>
      </c>
      <c r="C129" s="25" t="inlineStr">
        <is>
          <t>A95</t>
        </is>
      </c>
      <c r="D129" s="31" t="n">
        <v>184513</v>
      </c>
      <c r="E129" s="31" t="n">
        <v>38</v>
      </c>
      <c r="F129" s="31" t="n">
        <v>487</v>
      </c>
      <c r="G129" s="57" t="n">
        <v>12223.7</v>
      </c>
      <c r="H129" s="58">
        <f>IF(AND(OR('Панель BI'!$C$6="Все","март 2026"='Панель BI'!$C$6),OR('Панель BI'!$F$6="Все",$B129='Панель BI'!$F$6),OR('Панель BI'!$I$6="Все",$C129='Панель BI'!$I$6)),1,0)</f>
        <v/>
      </c>
      <c r="I129" s="58">
        <f>IF(AND(OR('Панель BI'!$F$6="Все",$B129='Панель BI'!$F$6),OR('Панель BI'!$I$6="Все",$C129='Панель BI'!$I$6)),1,0)</f>
        <v/>
      </c>
    </row>
    <row r="130">
      <c r="A130" s="25" t="inlineStr">
        <is>
          <t>2026-03</t>
        </is>
      </c>
      <c r="B130" s="25" t="inlineStr">
        <is>
          <t>Бэлць</t>
        </is>
      </c>
      <c r="C130" s="25" t="inlineStr">
        <is>
          <t>DIESEL</t>
        </is>
      </c>
      <c r="D130" s="31" t="n">
        <v>238934</v>
      </c>
      <c r="E130" s="31" t="n">
        <v>42</v>
      </c>
      <c r="F130" s="31" t="n">
        <v>1016</v>
      </c>
      <c r="G130" s="57" t="n">
        <v>23774.4</v>
      </c>
      <c r="H130" s="58">
        <f>IF(AND(OR('Панель BI'!$C$6="Все","март 2026"='Панель BI'!$C$6),OR('Панель BI'!$F$6="Все",$B130='Панель BI'!$F$6),OR('Панель BI'!$I$6="Все",$C130='Панель BI'!$I$6)),1,0)</f>
        <v/>
      </c>
      <c r="I130" s="58">
        <f>IF(AND(OR('Панель BI'!$F$6="Все",$B130='Панель BI'!$F$6),OR('Панель BI'!$I$6="Все",$C130='Панель BI'!$I$6)),1,0)</f>
        <v/>
      </c>
    </row>
    <row r="131">
      <c r="A131" s="25" t="inlineStr">
        <is>
          <t>2026-03</t>
        </is>
      </c>
      <c r="B131" s="25" t="inlineStr">
        <is>
          <t>Кагул</t>
        </is>
      </c>
      <c r="C131" s="25" t="inlineStr">
        <is>
          <t>A92</t>
        </is>
      </c>
      <c r="D131" s="31" t="n">
        <v>146280</v>
      </c>
      <c r="E131" s="31" t="n">
        <v>31</v>
      </c>
      <c r="F131" s="31" t="n">
        <v>720</v>
      </c>
      <c r="G131" s="57" t="n">
        <v>17424</v>
      </c>
      <c r="H131" s="58">
        <f>IF(AND(OR('Панель BI'!$C$6="Все","март 2026"='Панель BI'!$C$6),OR('Панель BI'!$F$6="Все",$B131='Панель BI'!$F$6),OR('Панель BI'!$I$6="Все",$C131='Панель BI'!$I$6)),1,0)</f>
        <v/>
      </c>
      <c r="I131" s="58">
        <f>IF(AND(OR('Панель BI'!$F$6="Все",$B131='Панель BI'!$F$6),OR('Панель BI'!$I$6="Все",$C131='Панель BI'!$I$6)),1,0)</f>
        <v/>
      </c>
    </row>
    <row r="132">
      <c r="A132" s="25" t="inlineStr">
        <is>
          <t>2026-03</t>
        </is>
      </c>
      <c r="B132" s="25" t="inlineStr">
        <is>
          <t>Кагул</t>
        </is>
      </c>
      <c r="C132" s="25" t="inlineStr">
        <is>
          <t>A95</t>
        </is>
      </c>
      <c r="D132" s="31" t="n">
        <v>204438</v>
      </c>
      <c r="E132" s="31" t="n">
        <v>43</v>
      </c>
      <c r="F132" s="31" t="n">
        <v>562</v>
      </c>
      <c r="G132" s="57" t="n">
        <v>14106.2</v>
      </c>
      <c r="H132" s="58">
        <f>IF(AND(OR('Панель BI'!$C$6="Все","март 2026"='Панель BI'!$C$6),OR('Панель BI'!$F$6="Все",$B132='Панель BI'!$F$6),OR('Панель BI'!$I$6="Все",$C132='Панель BI'!$I$6)),1,0)</f>
        <v/>
      </c>
      <c r="I132" s="58">
        <f>IF(AND(OR('Панель BI'!$F$6="Все",$B132='Панель BI'!$F$6),OR('Панель BI'!$I$6="Все",$C132='Панель BI'!$I$6)),1,0)</f>
        <v/>
      </c>
    </row>
    <row r="133">
      <c r="A133" s="25" t="inlineStr">
        <is>
          <t>2026-03</t>
        </is>
      </c>
      <c r="B133" s="25" t="inlineStr">
        <is>
          <t>Кагул</t>
        </is>
      </c>
      <c r="C133" s="25" t="inlineStr">
        <is>
          <t>DIESEL</t>
        </is>
      </c>
      <c r="D133" s="31" t="n">
        <v>218497</v>
      </c>
      <c r="E133" s="31" t="n">
        <v>44</v>
      </c>
      <c r="F133" s="31" t="n">
        <v>1503</v>
      </c>
      <c r="G133" s="57" t="n">
        <v>35170.2</v>
      </c>
      <c r="H133" s="58">
        <f>IF(AND(OR('Панель BI'!$C$6="Все","март 2026"='Панель BI'!$C$6),OR('Панель BI'!$F$6="Все",$B133='Панель BI'!$F$6),OR('Панель BI'!$I$6="Все",$C133='Панель BI'!$I$6)),1,0)</f>
        <v/>
      </c>
      <c r="I133" s="58">
        <f>IF(AND(OR('Панель BI'!$F$6="Все",$B133='Панель BI'!$F$6),OR('Панель BI'!$I$6="Все",$C133='Панель BI'!$I$6)),1,0)</f>
        <v/>
      </c>
    </row>
    <row r="134">
      <c r="A134" s="25" t="inlineStr">
        <is>
          <t>2026-03</t>
        </is>
      </c>
      <c r="B134" s="25" t="inlineStr">
        <is>
          <t>Кишинёв</t>
        </is>
      </c>
      <c r="C134" s="25" t="inlineStr">
        <is>
          <t>A92</t>
        </is>
      </c>
      <c r="D134" s="31" t="n">
        <v>266706</v>
      </c>
      <c r="E134" s="31" t="n">
        <v>53</v>
      </c>
      <c r="F134" s="31" t="n">
        <v>1294</v>
      </c>
      <c r="G134" s="57" t="n">
        <v>31314.8</v>
      </c>
      <c r="H134" s="58">
        <f>IF(AND(OR('Панель BI'!$C$6="Все","март 2026"='Панель BI'!$C$6),OR('Панель BI'!$F$6="Все",$B134='Панель BI'!$F$6),OR('Панель BI'!$I$6="Все",$C134='Панель BI'!$I$6)),1,0)</f>
        <v/>
      </c>
      <c r="I134" s="58">
        <f>IF(AND(OR('Панель BI'!$F$6="Все",$B134='Панель BI'!$F$6),OR('Панель BI'!$I$6="Все",$C134='Панель BI'!$I$6)),1,0)</f>
        <v/>
      </c>
    </row>
    <row r="135">
      <c r="A135" s="25" t="inlineStr">
        <is>
          <t>2026-03</t>
        </is>
      </c>
      <c r="B135" s="25" t="inlineStr">
        <is>
          <t>Кишинёв</t>
        </is>
      </c>
      <c r="C135" s="25" t="inlineStr">
        <is>
          <t>A95</t>
        </is>
      </c>
      <c r="D135" s="31" t="n">
        <v>199414</v>
      </c>
      <c r="E135" s="31" t="n">
        <v>40</v>
      </c>
      <c r="F135" s="31" t="n">
        <v>586</v>
      </c>
      <c r="G135" s="57" t="n">
        <v>14708.6</v>
      </c>
      <c r="H135" s="58">
        <f>IF(AND(OR('Панель BI'!$C$6="Все","март 2026"='Панель BI'!$C$6),OR('Панель BI'!$F$6="Все",$B135='Панель BI'!$F$6),OR('Панель BI'!$I$6="Все",$C135='Панель BI'!$I$6)),1,0)</f>
        <v/>
      </c>
      <c r="I135" s="58">
        <f>IF(AND(OR('Панель BI'!$F$6="Все",$B135='Панель BI'!$F$6),OR('Панель BI'!$I$6="Все",$C135='Панель BI'!$I$6)),1,0)</f>
        <v/>
      </c>
    </row>
    <row r="136">
      <c r="A136" s="25" t="inlineStr">
        <is>
          <t>2026-03</t>
        </is>
      </c>
      <c r="B136" s="25" t="inlineStr">
        <is>
          <t>Кишинёв</t>
        </is>
      </c>
      <c r="C136" s="25" t="inlineStr">
        <is>
          <t>DIESEL</t>
        </is>
      </c>
      <c r="D136" s="31" t="n">
        <v>266151</v>
      </c>
      <c r="E136" s="31" t="n">
        <v>52</v>
      </c>
      <c r="F136" s="31" t="n">
        <v>849</v>
      </c>
      <c r="G136" s="57" t="n">
        <v>19866.6</v>
      </c>
      <c r="H136" s="58">
        <f>IF(AND(OR('Панель BI'!$C$6="Все","март 2026"='Панель BI'!$C$6),OR('Панель BI'!$F$6="Все",$B136='Панель BI'!$F$6),OR('Панель BI'!$I$6="Все",$C136='Панель BI'!$I$6)),1,0)</f>
        <v/>
      </c>
      <c r="I136" s="58">
        <f>IF(AND(OR('Панель BI'!$F$6="Все",$B136='Панель BI'!$F$6),OR('Панель BI'!$I$6="Все",$C136='Панель BI'!$I$6)),1,0)</f>
        <v/>
      </c>
    </row>
    <row r="137">
      <c r="A137" s="25" t="inlineStr">
        <is>
          <t>2026-03</t>
        </is>
      </c>
      <c r="B137" s="25" t="inlineStr">
        <is>
          <t>Кишинёв</t>
        </is>
      </c>
      <c r="C137" s="25" t="inlineStr">
        <is>
          <t>GPL</t>
        </is>
      </c>
      <c r="D137" s="31" t="n">
        <v>44550</v>
      </c>
      <c r="E137" s="31" t="n">
        <v>9</v>
      </c>
      <c r="F137" s="31" t="n">
        <v>450</v>
      </c>
      <c r="G137" s="57" t="n">
        <v>6210</v>
      </c>
      <c r="H137" s="58">
        <f>IF(AND(OR('Панель BI'!$C$6="Все","март 2026"='Панель BI'!$C$6),OR('Панель BI'!$F$6="Все",$B137='Панель BI'!$F$6),OR('Панель BI'!$I$6="Все",$C137='Панель BI'!$I$6)),1,0)</f>
        <v/>
      </c>
      <c r="I137" s="58">
        <f>IF(AND(OR('Панель BI'!$F$6="Все",$B137='Панель BI'!$F$6),OR('Панель BI'!$I$6="Все",$C137='Панель BI'!$I$6)),1,0)</f>
        <v/>
      </c>
    </row>
    <row r="138">
      <c r="A138" s="25" t="inlineStr">
        <is>
          <t>2026-03</t>
        </is>
      </c>
      <c r="B138" s="25" t="inlineStr">
        <is>
          <t>Комрат</t>
        </is>
      </c>
      <c r="C138" s="25" t="inlineStr">
        <is>
          <t>A92</t>
        </is>
      </c>
      <c r="D138" s="31" t="n">
        <v>202056</v>
      </c>
      <c r="E138" s="31" t="n">
        <v>42</v>
      </c>
      <c r="F138" s="31" t="n">
        <v>944</v>
      </c>
      <c r="G138" s="57" t="n">
        <v>22844.8</v>
      </c>
      <c r="H138" s="58">
        <f>IF(AND(OR('Панель BI'!$C$6="Все","март 2026"='Панель BI'!$C$6),OR('Панель BI'!$F$6="Все",$B138='Панель BI'!$F$6),OR('Панель BI'!$I$6="Все",$C138='Панель BI'!$I$6)),1,0)</f>
        <v/>
      </c>
      <c r="I138" s="58">
        <f>IF(AND(OR('Панель BI'!$F$6="Все",$B138='Панель BI'!$F$6),OR('Панель BI'!$I$6="Все",$C138='Панель BI'!$I$6)),1,0)</f>
        <v/>
      </c>
    </row>
    <row r="139">
      <c r="A139" s="25" t="inlineStr">
        <is>
          <t>2026-03</t>
        </is>
      </c>
      <c r="B139" s="25" t="inlineStr">
        <is>
          <t>Комрат</t>
        </is>
      </c>
      <c r="C139" s="25" t="inlineStr">
        <is>
          <t>A95</t>
        </is>
      </c>
      <c r="D139" s="31" t="n">
        <v>284979</v>
      </c>
      <c r="E139" s="31" t="n">
        <v>55</v>
      </c>
      <c r="F139" s="31" t="n">
        <v>1021</v>
      </c>
      <c r="G139" s="57" t="n">
        <v>25627.1</v>
      </c>
      <c r="H139" s="58">
        <f>IF(AND(OR('Панель BI'!$C$6="Все","март 2026"='Панель BI'!$C$6),OR('Панель BI'!$F$6="Все",$B139='Панель BI'!$F$6),OR('Панель BI'!$I$6="Все",$C139='Панель BI'!$I$6)),1,0)</f>
        <v/>
      </c>
      <c r="I139" s="58">
        <f>IF(AND(OR('Панель BI'!$F$6="Все",$B139='Панель BI'!$F$6),OR('Панель BI'!$I$6="Все",$C139='Панель BI'!$I$6)),1,0)</f>
        <v/>
      </c>
    </row>
    <row r="140">
      <c r="A140" s="25" t="inlineStr">
        <is>
          <t>2026-03</t>
        </is>
      </c>
      <c r="B140" s="25" t="inlineStr">
        <is>
          <t>Комрат</t>
        </is>
      </c>
      <c r="C140" s="25" t="inlineStr">
        <is>
          <t>DIESEL</t>
        </is>
      </c>
      <c r="D140" s="31" t="n">
        <v>192385</v>
      </c>
      <c r="E140" s="31" t="n">
        <v>39</v>
      </c>
      <c r="F140" s="31" t="n">
        <v>615</v>
      </c>
      <c r="G140" s="57" t="n">
        <v>14391</v>
      </c>
      <c r="H140" s="58">
        <f>IF(AND(OR('Панель BI'!$C$6="Все","март 2026"='Панель BI'!$C$6),OR('Панель BI'!$F$6="Все",$B140='Панель BI'!$F$6),OR('Панель BI'!$I$6="Все",$C140='Панель BI'!$I$6)),1,0)</f>
        <v/>
      </c>
      <c r="I140" s="58">
        <f>IF(AND(OR('Панель BI'!$F$6="Все",$B140='Панель BI'!$F$6),OR('Панель BI'!$I$6="Все",$C140='Панель BI'!$I$6)),1,0)</f>
        <v/>
      </c>
    </row>
    <row r="141">
      <c r="A141" s="25" t="inlineStr">
        <is>
          <t>2026-03</t>
        </is>
      </c>
      <c r="B141" s="25" t="inlineStr">
        <is>
          <t>Комрат</t>
        </is>
      </c>
      <c r="C141" s="25" t="inlineStr">
        <is>
          <t>GPL</t>
        </is>
      </c>
      <c r="D141" s="31" t="n">
        <v>107705</v>
      </c>
      <c r="E141" s="31" t="n">
        <v>21</v>
      </c>
      <c r="F141" s="31" t="n">
        <v>295</v>
      </c>
      <c r="G141" s="57" t="n">
        <v>4071</v>
      </c>
      <c r="H141" s="58">
        <f>IF(AND(OR('Панель BI'!$C$6="Все","март 2026"='Панель BI'!$C$6),OR('Панель BI'!$F$6="Все",$B141='Панель BI'!$F$6),OR('Панель BI'!$I$6="Все",$C141='Панель BI'!$I$6)),1,0)</f>
        <v/>
      </c>
      <c r="I141" s="58">
        <f>IF(AND(OR('Панель BI'!$F$6="Все",$B141='Панель BI'!$F$6),OR('Панель BI'!$I$6="Все",$C141='Панель BI'!$I$6)),1,0)</f>
        <v/>
      </c>
    </row>
    <row r="142">
      <c r="A142" s="25" t="inlineStr">
        <is>
          <t>2026-03</t>
        </is>
      </c>
      <c r="B142" s="25" t="inlineStr">
        <is>
          <t>Орхей</t>
        </is>
      </c>
      <c r="C142" s="25" t="inlineStr">
        <is>
          <t>A92</t>
        </is>
      </c>
      <c r="D142" s="31" t="n">
        <v>264149</v>
      </c>
      <c r="E142" s="31" t="n">
        <v>53</v>
      </c>
      <c r="F142" s="31" t="n">
        <v>851</v>
      </c>
      <c r="G142" s="57" t="n">
        <v>20594.2</v>
      </c>
      <c r="H142" s="58">
        <f>IF(AND(OR('Панель BI'!$C$6="Все","март 2026"='Панель BI'!$C$6),OR('Панель BI'!$F$6="Все",$B142='Панель BI'!$F$6),OR('Панель BI'!$I$6="Все",$C142='Панель BI'!$I$6)),1,0)</f>
        <v/>
      </c>
      <c r="I142" s="58">
        <f>IF(AND(OR('Панель BI'!$F$6="Все",$B142='Панель BI'!$F$6),OR('Панель BI'!$I$6="Все",$C142='Панель BI'!$I$6)),1,0)</f>
        <v/>
      </c>
    </row>
    <row r="143">
      <c r="A143" s="25" t="inlineStr">
        <is>
          <t>2026-03</t>
        </is>
      </c>
      <c r="B143" s="25" t="inlineStr">
        <is>
          <t>Орхей</t>
        </is>
      </c>
      <c r="C143" s="25" t="inlineStr">
        <is>
          <t>A95</t>
        </is>
      </c>
      <c r="D143" s="31" t="n">
        <v>247255</v>
      </c>
      <c r="E143" s="31" t="n">
        <v>49</v>
      </c>
      <c r="F143" s="31" t="n">
        <v>745</v>
      </c>
      <c r="G143" s="57" t="n">
        <v>18699.5</v>
      </c>
      <c r="H143" s="58">
        <f>IF(AND(OR('Панель BI'!$C$6="Все","март 2026"='Панель BI'!$C$6),OR('Панель BI'!$F$6="Все",$B143='Панель BI'!$F$6),OR('Панель BI'!$I$6="Все",$C143='Панель BI'!$I$6)),1,0)</f>
        <v/>
      </c>
      <c r="I143" s="58">
        <f>IF(AND(OR('Панель BI'!$F$6="Все",$B143='Панель BI'!$F$6),OR('Панель BI'!$I$6="Все",$C143='Панель BI'!$I$6)),1,0)</f>
        <v/>
      </c>
    </row>
    <row r="144">
      <c r="A144" s="25" t="inlineStr">
        <is>
          <t>2026-03</t>
        </is>
      </c>
      <c r="B144" s="25" t="inlineStr">
        <is>
          <t>Орхей</t>
        </is>
      </c>
      <c r="C144" s="25" t="inlineStr">
        <is>
          <t>DIESEL</t>
        </is>
      </c>
      <c r="D144" s="31" t="n">
        <v>237073</v>
      </c>
      <c r="E144" s="31" t="n">
        <v>48</v>
      </c>
      <c r="F144" s="31" t="n">
        <v>927</v>
      </c>
      <c r="G144" s="57" t="n">
        <v>21691.8</v>
      </c>
      <c r="H144" s="58">
        <f>IF(AND(OR('Панель BI'!$C$6="Все","март 2026"='Панель BI'!$C$6),OR('Панель BI'!$F$6="Все",$B144='Панель BI'!$F$6),OR('Панель BI'!$I$6="Все",$C144='Панель BI'!$I$6)),1,0)</f>
        <v/>
      </c>
      <c r="I144" s="58">
        <f>IF(AND(OR('Панель BI'!$F$6="Все",$B144='Панель BI'!$F$6),OR('Панель BI'!$I$6="Все",$C144='Панель BI'!$I$6)),1,0)</f>
        <v/>
      </c>
    </row>
    <row r="145">
      <c r="A145" s="25" t="inlineStr">
        <is>
          <t>2026-03</t>
        </is>
      </c>
      <c r="B145" s="25" t="inlineStr">
        <is>
          <t>Унгень</t>
        </is>
      </c>
      <c r="C145" s="25" t="inlineStr">
        <is>
          <t>A92</t>
        </is>
      </c>
      <c r="D145" s="31" t="n">
        <v>223383</v>
      </c>
      <c r="E145" s="31" t="n">
        <v>46</v>
      </c>
      <c r="F145" s="31" t="n">
        <v>617</v>
      </c>
      <c r="G145" s="57" t="n">
        <v>14931.4</v>
      </c>
      <c r="H145" s="58">
        <f>IF(AND(OR('Панель BI'!$C$6="Все","март 2026"='Панель BI'!$C$6),OR('Панель BI'!$F$6="Все",$B145='Панель BI'!$F$6),OR('Панель BI'!$I$6="Все",$C145='Панель BI'!$I$6)),1,0)</f>
        <v/>
      </c>
      <c r="I145" s="58">
        <f>IF(AND(OR('Панель BI'!$F$6="Все",$B145='Панель BI'!$F$6),OR('Панель BI'!$I$6="Все",$C145='Панель BI'!$I$6)),1,0)</f>
        <v/>
      </c>
    </row>
    <row r="146">
      <c r="A146" s="25" t="inlineStr">
        <is>
          <t>2026-03</t>
        </is>
      </c>
      <c r="B146" s="25" t="inlineStr">
        <is>
          <t>Унгень</t>
        </is>
      </c>
      <c r="C146" s="25" t="inlineStr">
        <is>
          <t>A95</t>
        </is>
      </c>
      <c r="D146" s="31" t="n">
        <v>178473</v>
      </c>
      <c r="E146" s="31" t="n">
        <v>37</v>
      </c>
      <c r="F146" s="31" t="n">
        <v>527</v>
      </c>
      <c r="G146" s="57" t="n">
        <v>13227.7</v>
      </c>
      <c r="H146" s="58">
        <f>IF(AND(OR('Панель BI'!$C$6="Все","март 2026"='Панель BI'!$C$6),OR('Панель BI'!$F$6="Все",$B146='Панель BI'!$F$6),OR('Панель BI'!$I$6="Все",$C146='Панель BI'!$I$6)),1,0)</f>
        <v/>
      </c>
      <c r="I146" s="58">
        <f>IF(AND(OR('Панель BI'!$F$6="Все",$B146='Панель BI'!$F$6),OR('Панель BI'!$I$6="Все",$C146='Панель BI'!$I$6)),1,0)</f>
        <v/>
      </c>
    </row>
    <row r="147">
      <c r="A147" s="25" t="inlineStr">
        <is>
          <t>2026-03</t>
        </is>
      </c>
      <c r="B147" s="25" t="inlineStr">
        <is>
          <t>Унгень</t>
        </is>
      </c>
      <c r="C147" s="25" t="inlineStr">
        <is>
          <t>DIESEL</t>
        </is>
      </c>
      <c r="D147" s="31" t="n">
        <v>202060</v>
      </c>
      <c r="E147" s="31" t="n">
        <v>41</v>
      </c>
      <c r="F147" s="31" t="n">
        <v>940</v>
      </c>
      <c r="G147" s="57" t="n">
        <v>21996</v>
      </c>
      <c r="H147" s="58">
        <f>IF(AND(OR('Панель BI'!$C$6="Все","март 2026"='Панель BI'!$C$6),OR('Панель BI'!$F$6="Все",$B147='Панель BI'!$F$6),OR('Панель BI'!$I$6="Все",$C147='Панель BI'!$I$6)),1,0)</f>
        <v/>
      </c>
      <c r="I147" s="58">
        <f>IF(AND(OR('Панель BI'!$F$6="Все",$B147='Панель BI'!$F$6),OR('Панель BI'!$I$6="Все",$C147='Панель BI'!$I$6)),1,0)</f>
        <v/>
      </c>
    </row>
    <row r="148">
      <c r="A148" s="25" t="inlineStr">
        <is>
          <t>2026-03</t>
        </is>
      </c>
      <c r="B148" s="25" t="inlineStr">
        <is>
          <t>Унгень</t>
        </is>
      </c>
      <c r="C148" s="25" t="inlineStr">
        <is>
          <t>GPL</t>
        </is>
      </c>
      <c r="D148" s="31" t="n">
        <v>30894</v>
      </c>
      <c r="E148" s="31" t="n">
        <v>7</v>
      </c>
      <c r="F148" s="31" t="n">
        <v>106</v>
      </c>
      <c r="G148" s="57" t="n">
        <v>1462.8</v>
      </c>
      <c r="H148" s="58">
        <f>IF(AND(OR('Панель BI'!$C$6="Все","март 2026"='Панель BI'!$C$6),OR('Панель BI'!$F$6="Все",$B148='Панель BI'!$F$6),OR('Панель BI'!$I$6="Все",$C148='Панель BI'!$I$6)),1,0)</f>
        <v/>
      </c>
      <c r="I148" s="58">
        <f>IF(AND(OR('Панель BI'!$F$6="Все",$B148='Панель BI'!$F$6),OR('Панель BI'!$I$6="Все",$C148='Панель BI'!$I$6)),1,0)</f>
        <v/>
      </c>
    </row>
    <row r="149">
      <c r="A149" s="25" t="inlineStr">
        <is>
          <t>2026-04</t>
        </is>
      </c>
      <c r="B149" s="25" t="inlineStr">
        <is>
          <t>Бэлць</t>
        </is>
      </c>
      <c r="C149" s="25" t="inlineStr">
        <is>
          <t>A92</t>
        </is>
      </c>
      <c r="D149" s="31" t="n">
        <v>206322</v>
      </c>
      <c r="E149" s="31" t="n">
        <v>40</v>
      </c>
      <c r="F149" s="31" t="n">
        <v>678</v>
      </c>
      <c r="G149" s="57" t="n">
        <v>16407.6</v>
      </c>
      <c r="H149" s="58">
        <f>IF(AND(OR('Панель BI'!$C$6="Все","апрель 2026"='Панель BI'!$C$6),OR('Панель BI'!$F$6="Все",$B149='Панель BI'!$F$6),OR('Панель BI'!$I$6="Все",$C149='Панель BI'!$I$6)),1,0)</f>
        <v/>
      </c>
      <c r="I149" s="58">
        <f>IF(AND(OR('Панель BI'!$F$6="Все",$B149='Панель BI'!$F$6),OR('Панель BI'!$I$6="Все",$C149='Панель BI'!$I$6)),1,0)</f>
        <v/>
      </c>
    </row>
    <row r="150">
      <c r="A150" s="25" t="inlineStr">
        <is>
          <t>2026-04</t>
        </is>
      </c>
      <c r="B150" s="25" t="inlineStr">
        <is>
          <t>Бэлць</t>
        </is>
      </c>
      <c r="C150" s="25" t="inlineStr">
        <is>
          <t>A95</t>
        </is>
      </c>
      <c r="D150" s="31" t="n">
        <v>246933</v>
      </c>
      <c r="E150" s="31" t="n">
        <v>48</v>
      </c>
      <c r="F150" s="31" t="n">
        <v>1067</v>
      </c>
      <c r="G150" s="57" t="n">
        <v>26781.7</v>
      </c>
      <c r="H150" s="58">
        <f>IF(AND(OR('Панель BI'!$C$6="Все","апрель 2026"='Панель BI'!$C$6),OR('Панель BI'!$F$6="Все",$B150='Панель BI'!$F$6),OR('Панель BI'!$I$6="Все",$C150='Панель BI'!$I$6)),1,0)</f>
        <v/>
      </c>
      <c r="I150" s="58">
        <f>IF(AND(OR('Панель BI'!$F$6="Все",$B150='Панель BI'!$F$6),OR('Панель BI'!$I$6="Все",$C150='Панель BI'!$I$6)),1,0)</f>
        <v/>
      </c>
    </row>
    <row r="151">
      <c r="A151" s="25" t="inlineStr">
        <is>
          <t>2026-04</t>
        </is>
      </c>
      <c r="B151" s="25" t="inlineStr">
        <is>
          <t>Бэлць</t>
        </is>
      </c>
      <c r="C151" s="25" t="inlineStr">
        <is>
          <t>DIESEL</t>
        </is>
      </c>
      <c r="D151" s="31" t="n">
        <v>259237</v>
      </c>
      <c r="E151" s="31" t="n">
        <v>53</v>
      </c>
      <c r="F151" s="31" t="n">
        <v>763</v>
      </c>
      <c r="G151" s="57" t="n">
        <v>17854.2</v>
      </c>
      <c r="H151" s="58">
        <f>IF(AND(OR('Панель BI'!$C$6="Все","апрель 2026"='Панель BI'!$C$6),OR('Панель BI'!$F$6="Все",$B151='Панель BI'!$F$6),OR('Панель BI'!$I$6="Все",$C151='Панель BI'!$I$6)),1,0)</f>
        <v/>
      </c>
      <c r="I151" s="58">
        <f>IF(AND(OR('Панель BI'!$F$6="Все",$B151='Панель BI'!$F$6),OR('Панель BI'!$I$6="Все",$C151='Панель BI'!$I$6)),1,0)</f>
        <v/>
      </c>
    </row>
    <row r="152">
      <c r="A152" s="25" t="inlineStr">
        <is>
          <t>2026-04</t>
        </is>
      </c>
      <c r="B152" s="25" t="inlineStr">
        <is>
          <t>Кагул</t>
        </is>
      </c>
      <c r="C152" s="25" t="inlineStr">
        <is>
          <t>A92</t>
        </is>
      </c>
      <c r="D152" s="31" t="n">
        <v>159204</v>
      </c>
      <c r="E152" s="31" t="n">
        <v>35</v>
      </c>
      <c r="F152" s="31" t="n">
        <v>796</v>
      </c>
      <c r="G152" s="57" t="n">
        <v>19263.2</v>
      </c>
      <c r="H152" s="58">
        <f>IF(AND(OR('Панель BI'!$C$6="Все","апрель 2026"='Панель BI'!$C$6),OR('Панель BI'!$F$6="Все",$B152='Панель BI'!$F$6),OR('Панель BI'!$I$6="Все",$C152='Панель BI'!$I$6)),1,0)</f>
        <v/>
      </c>
      <c r="I152" s="58">
        <f>IF(AND(OR('Панель BI'!$F$6="Все",$B152='Панель BI'!$F$6),OR('Панель BI'!$I$6="Все",$C152='Панель BI'!$I$6)),1,0)</f>
        <v/>
      </c>
    </row>
    <row r="153">
      <c r="A153" s="25" t="inlineStr">
        <is>
          <t>2026-04</t>
        </is>
      </c>
      <c r="B153" s="25" t="inlineStr">
        <is>
          <t>Кагул</t>
        </is>
      </c>
      <c r="C153" s="25" t="inlineStr">
        <is>
          <t>A95</t>
        </is>
      </c>
      <c r="D153" s="31" t="n">
        <v>175327</v>
      </c>
      <c r="E153" s="31" t="n">
        <v>35</v>
      </c>
      <c r="F153" s="31" t="n">
        <v>673</v>
      </c>
      <c r="G153" s="57" t="n">
        <v>16892.3</v>
      </c>
      <c r="H153" s="58">
        <f>IF(AND(OR('Панель BI'!$C$6="Все","апрель 2026"='Панель BI'!$C$6),OR('Панель BI'!$F$6="Все",$B153='Панель BI'!$F$6),OR('Панель BI'!$I$6="Все",$C153='Панель BI'!$I$6)),1,0)</f>
        <v/>
      </c>
      <c r="I153" s="58">
        <f>IF(AND(OR('Панель BI'!$F$6="Все",$B153='Панель BI'!$F$6),OR('Панель BI'!$I$6="Все",$C153='Панель BI'!$I$6)),1,0)</f>
        <v/>
      </c>
    </row>
    <row r="154">
      <c r="A154" s="25" t="inlineStr">
        <is>
          <t>2026-04</t>
        </is>
      </c>
      <c r="B154" s="25" t="inlineStr">
        <is>
          <t>Кагул</t>
        </is>
      </c>
      <c r="C154" s="25" t="inlineStr">
        <is>
          <t>DIESEL</t>
        </is>
      </c>
      <c r="D154" s="31" t="n">
        <v>206330</v>
      </c>
      <c r="E154" s="31" t="n">
        <v>41</v>
      </c>
      <c r="F154" s="31" t="n">
        <v>670</v>
      </c>
      <c r="G154" s="57" t="n">
        <v>15678</v>
      </c>
      <c r="H154" s="58">
        <f>IF(AND(OR('Панель BI'!$C$6="Все","апрель 2026"='Панель BI'!$C$6),OR('Панель BI'!$F$6="Все",$B154='Панель BI'!$F$6),OR('Панель BI'!$I$6="Все",$C154='Панель BI'!$I$6)),1,0)</f>
        <v/>
      </c>
      <c r="I154" s="58">
        <f>IF(AND(OR('Панель BI'!$F$6="Все",$B154='Панель BI'!$F$6),OR('Панель BI'!$I$6="Все",$C154='Панель BI'!$I$6)),1,0)</f>
        <v/>
      </c>
    </row>
    <row r="155">
      <c r="A155" s="25" t="inlineStr">
        <is>
          <t>2026-04</t>
        </is>
      </c>
      <c r="B155" s="25" t="inlineStr">
        <is>
          <t>Кишинёв</t>
        </is>
      </c>
      <c r="C155" s="25" t="inlineStr">
        <is>
          <t>A92</t>
        </is>
      </c>
      <c r="D155" s="31" t="n">
        <v>226874</v>
      </c>
      <c r="E155" s="31" t="n">
        <v>44</v>
      </c>
      <c r="F155" s="31" t="n">
        <v>1126</v>
      </c>
      <c r="G155" s="57" t="n">
        <v>27249.2</v>
      </c>
      <c r="H155" s="58">
        <f>IF(AND(OR('Панель BI'!$C$6="Все","апрель 2026"='Панель BI'!$C$6),OR('Панель BI'!$F$6="Все",$B155='Панель BI'!$F$6),OR('Панель BI'!$I$6="Все",$C155='Панель BI'!$I$6)),1,0)</f>
        <v/>
      </c>
      <c r="I155" s="58">
        <f>IF(AND(OR('Панель BI'!$F$6="Все",$B155='Панель BI'!$F$6),OR('Панель BI'!$I$6="Все",$C155='Панель BI'!$I$6)),1,0)</f>
        <v/>
      </c>
    </row>
    <row r="156">
      <c r="A156" s="25" t="inlineStr">
        <is>
          <t>2026-04</t>
        </is>
      </c>
      <c r="B156" s="25" t="inlineStr">
        <is>
          <t>Кишинёв</t>
        </is>
      </c>
      <c r="C156" s="25" t="inlineStr">
        <is>
          <t>A95</t>
        </is>
      </c>
      <c r="D156" s="31" t="n">
        <v>283863</v>
      </c>
      <c r="E156" s="31" t="n">
        <v>57</v>
      </c>
      <c r="F156" s="31" t="n">
        <v>1137</v>
      </c>
      <c r="G156" s="57" t="n">
        <v>28538.7</v>
      </c>
      <c r="H156" s="58">
        <f>IF(AND(OR('Панель BI'!$C$6="Все","апрель 2026"='Панель BI'!$C$6),OR('Панель BI'!$F$6="Все",$B156='Панель BI'!$F$6),OR('Панель BI'!$I$6="Все",$C156='Панель BI'!$I$6)),1,0)</f>
        <v/>
      </c>
      <c r="I156" s="58">
        <f>IF(AND(OR('Панель BI'!$F$6="Все",$B156='Панель BI'!$F$6),OR('Панель BI'!$I$6="Все",$C156='Панель BI'!$I$6)),1,0)</f>
        <v/>
      </c>
    </row>
    <row r="157">
      <c r="A157" s="25" t="inlineStr">
        <is>
          <t>2026-04</t>
        </is>
      </c>
      <c r="B157" s="25" t="inlineStr">
        <is>
          <t>Кишинёв</t>
        </is>
      </c>
      <c r="C157" s="25" t="inlineStr">
        <is>
          <t>DIESEL</t>
        </is>
      </c>
      <c r="D157" s="31" t="n">
        <v>209997</v>
      </c>
      <c r="E157" s="31" t="n">
        <v>42</v>
      </c>
      <c r="F157" s="31" t="n">
        <v>1003</v>
      </c>
      <c r="G157" s="57" t="n">
        <v>23470.2</v>
      </c>
      <c r="H157" s="58">
        <f>IF(AND(OR('Панель BI'!$C$6="Все","апрель 2026"='Панель BI'!$C$6),OR('Панель BI'!$F$6="Все",$B157='Панель BI'!$F$6),OR('Панель BI'!$I$6="Все",$C157='Панель BI'!$I$6)),1,0)</f>
        <v/>
      </c>
      <c r="I157" s="58">
        <f>IF(AND(OR('Панель BI'!$F$6="Все",$B157='Панель BI'!$F$6),OR('Панель BI'!$I$6="Все",$C157='Панель BI'!$I$6)),1,0)</f>
        <v/>
      </c>
    </row>
    <row r="158">
      <c r="A158" s="25" t="inlineStr">
        <is>
          <t>2026-04</t>
        </is>
      </c>
      <c r="B158" s="25" t="inlineStr">
        <is>
          <t>Кишинёв</t>
        </is>
      </c>
      <c r="C158" s="25" t="inlineStr">
        <is>
          <t>GPL</t>
        </is>
      </c>
      <c r="D158" s="31" t="n">
        <v>43898</v>
      </c>
      <c r="E158" s="31" t="n">
        <v>9</v>
      </c>
      <c r="F158" s="31" t="n">
        <v>102</v>
      </c>
      <c r="G158" s="57" t="n">
        <v>1407.6</v>
      </c>
      <c r="H158" s="58">
        <f>IF(AND(OR('Панель BI'!$C$6="Все","апрель 2026"='Панель BI'!$C$6),OR('Панель BI'!$F$6="Все",$B158='Панель BI'!$F$6),OR('Панель BI'!$I$6="Все",$C158='Панель BI'!$I$6)),1,0)</f>
        <v/>
      </c>
      <c r="I158" s="58">
        <f>IF(AND(OR('Панель BI'!$F$6="Все",$B158='Панель BI'!$F$6),OR('Панель BI'!$I$6="Все",$C158='Панель BI'!$I$6)),1,0)</f>
        <v/>
      </c>
    </row>
    <row r="159">
      <c r="A159" s="25" t="inlineStr">
        <is>
          <t>2026-04</t>
        </is>
      </c>
      <c r="B159" s="25" t="inlineStr">
        <is>
          <t>Комрат</t>
        </is>
      </c>
      <c r="C159" s="25" t="inlineStr">
        <is>
          <t>A92</t>
        </is>
      </c>
      <c r="D159" s="31" t="n">
        <v>223479</v>
      </c>
      <c r="E159" s="31" t="n">
        <v>45</v>
      </c>
      <c r="F159" s="31" t="n">
        <v>521</v>
      </c>
      <c r="G159" s="57" t="n">
        <v>12608.2</v>
      </c>
      <c r="H159" s="58">
        <f>IF(AND(OR('Панель BI'!$C$6="Все","апрель 2026"='Панель BI'!$C$6),OR('Панель BI'!$F$6="Все",$B159='Панель BI'!$F$6),OR('Панель BI'!$I$6="Все",$C159='Панель BI'!$I$6)),1,0)</f>
        <v/>
      </c>
      <c r="I159" s="58">
        <f>IF(AND(OR('Панель BI'!$F$6="Все",$B159='Панель BI'!$F$6),OR('Панель BI'!$I$6="Все",$C159='Панель BI'!$I$6)),1,0)</f>
        <v/>
      </c>
    </row>
    <row r="160">
      <c r="A160" s="25" t="inlineStr">
        <is>
          <t>2026-04</t>
        </is>
      </c>
      <c r="B160" s="25" t="inlineStr">
        <is>
          <t>Комрат</t>
        </is>
      </c>
      <c r="C160" s="25" t="inlineStr">
        <is>
          <t>A95</t>
        </is>
      </c>
      <c r="D160" s="31" t="n">
        <v>209430</v>
      </c>
      <c r="E160" s="31" t="n">
        <v>41</v>
      </c>
      <c r="F160" s="31" t="n">
        <v>570</v>
      </c>
      <c r="G160" s="57" t="n">
        <v>14307</v>
      </c>
      <c r="H160" s="58">
        <f>IF(AND(OR('Панель BI'!$C$6="Все","апрель 2026"='Панель BI'!$C$6),OR('Панель BI'!$F$6="Все",$B160='Панель BI'!$F$6),OR('Панель BI'!$I$6="Все",$C160='Панель BI'!$I$6)),1,0)</f>
        <v/>
      </c>
      <c r="I160" s="58">
        <f>IF(AND(OR('Панель BI'!$F$6="Все",$B160='Панель BI'!$F$6),OR('Панель BI'!$I$6="Все",$C160='Панель BI'!$I$6)),1,0)</f>
        <v/>
      </c>
    </row>
    <row r="161">
      <c r="A161" s="25" t="inlineStr">
        <is>
          <t>2026-04</t>
        </is>
      </c>
      <c r="B161" s="25" t="inlineStr">
        <is>
          <t>Комрат</t>
        </is>
      </c>
      <c r="C161" s="25" t="inlineStr">
        <is>
          <t>DIESEL</t>
        </is>
      </c>
      <c r="D161" s="31" t="n">
        <v>206695</v>
      </c>
      <c r="E161" s="31" t="n">
        <v>41</v>
      </c>
      <c r="F161" s="31" t="n">
        <v>1305</v>
      </c>
      <c r="G161" s="57" t="n">
        <v>30537</v>
      </c>
      <c r="H161" s="58">
        <f>IF(AND(OR('Панель BI'!$C$6="Все","апрель 2026"='Панель BI'!$C$6),OR('Панель BI'!$F$6="Все",$B161='Панель BI'!$F$6),OR('Панель BI'!$I$6="Все",$C161='Панель BI'!$I$6)),1,0)</f>
        <v/>
      </c>
      <c r="I161" s="58">
        <f>IF(AND(OR('Панель BI'!$F$6="Все",$B161='Панель BI'!$F$6),OR('Панель BI'!$I$6="Все",$C161='Панель BI'!$I$6)),1,0)</f>
        <v/>
      </c>
    </row>
    <row r="162">
      <c r="A162" s="25" t="inlineStr">
        <is>
          <t>2026-04</t>
        </is>
      </c>
      <c r="B162" s="25" t="inlineStr">
        <is>
          <t>Комрат</t>
        </is>
      </c>
      <c r="C162" s="25" t="inlineStr">
        <is>
          <t>GPL</t>
        </is>
      </c>
      <c r="D162" s="31" t="n">
        <v>126405</v>
      </c>
      <c r="E162" s="31" t="n">
        <v>27</v>
      </c>
      <c r="F162" s="31" t="n">
        <v>595</v>
      </c>
      <c r="G162" s="57" t="n">
        <v>8211</v>
      </c>
      <c r="H162" s="58">
        <f>IF(AND(OR('Панель BI'!$C$6="Все","апрель 2026"='Панель BI'!$C$6),OR('Панель BI'!$F$6="Все",$B162='Панель BI'!$F$6),OR('Панель BI'!$I$6="Все",$C162='Панель BI'!$I$6)),1,0)</f>
        <v/>
      </c>
      <c r="I162" s="58">
        <f>IF(AND(OR('Панель BI'!$F$6="Все",$B162='Панель BI'!$F$6),OR('Панель BI'!$I$6="Все",$C162='Панель BI'!$I$6)),1,0)</f>
        <v/>
      </c>
    </row>
    <row r="163">
      <c r="A163" s="25" t="inlineStr">
        <is>
          <t>2026-04</t>
        </is>
      </c>
      <c r="B163" s="25" t="inlineStr">
        <is>
          <t>Орхей</t>
        </is>
      </c>
      <c r="C163" s="25" t="inlineStr">
        <is>
          <t>A92</t>
        </is>
      </c>
      <c r="D163" s="31" t="n">
        <v>230921</v>
      </c>
      <c r="E163" s="31" t="n">
        <v>44</v>
      </c>
      <c r="F163" s="31" t="n">
        <v>624</v>
      </c>
      <c r="G163" s="57" t="n">
        <v>15100.8</v>
      </c>
      <c r="H163" s="58">
        <f>IF(AND(OR('Панель BI'!$C$6="Все","апрель 2026"='Панель BI'!$C$6),OR('Панель BI'!$F$6="Все",$B163='Панель BI'!$F$6),OR('Панель BI'!$I$6="Все",$C163='Панель BI'!$I$6)),1,0)</f>
        <v/>
      </c>
      <c r="I163" s="58">
        <f>IF(AND(OR('Панель BI'!$F$6="Все",$B163='Панель BI'!$F$6),OR('Панель BI'!$I$6="Все",$C163='Панель BI'!$I$6)),1,0)</f>
        <v/>
      </c>
    </row>
    <row r="164">
      <c r="A164" s="25" t="inlineStr">
        <is>
          <t>2026-04</t>
        </is>
      </c>
      <c r="B164" s="25" t="inlineStr">
        <is>
          <t>Орхей</t>
        </is>
      </c>
      <c r="C164" s="25" t="inlineStr">
        <is>
          <t>A95</t>
        </is>
      </c>
      <c r="D164" s="31" t="n">
        <v>246351</v>
      </c>
      <c r="E164" s="31" t="n">
        <v>51</v>
      </c>
      <c r="F164" s="31" t="n">
        <v>649</v>
      </c>
      <c r="G164" s="57" t="n">
        <v>16289.9</v>
      </c>
      <c r="H164" s="58">
        <f>IF(AND(OR('Панель BI'!$C$6="Все","апрель 2026"='Панель BI'!$C$6),OR('Панель BI'!$F$6="Все",$B164='Панель BI'!$F$6),OR('Панель BI'!$I$6="Все",$C164='Панель BI'!$I$6)),1,0)</f>
        <v/>
      </c>
      <c r="I164" s="58">
        <f>IF(AND(OR('Панель BI'!$F$6="Все",$B164='Панель BI'!$F$6),OR('Панель BI'!$I$6="Все",$C164='Панель BI'!$I$6)),1,0)</f>
        <v/>
      </c>
    </row>
    <row r="165">
      <c r="A165" s="25" t="inlineStr">
        <is>
          <t>2026-04</t>
        </is>
      </c>
      <c r="B165" s="25" t="inlineStr">
        <is>
          <t>Орхей</t>
        </is>
      </c>
      <c r="C165" s="25" t="inlineStr">
        <is>
          <t>DIESEL</t>
        </is>
      </c>
      <c r="D165" s="31" t="n">
        <v>178174</v>
      </c>
      <c r="E165" s="31" t="n">
        <v>35</v>
      </c>
      <c r="F165" s="31" t="n">
        <v>826</v>
      </c>
      <c r="G165" s="57" t="n">
        <v>19328.4</v>
      </c>
      <c r="H165" s="58">
        <f>IF(AND(OR('Панель BI'!$C$6="Все","апрель 2026"='Панель BI'!$C$6),OR('Панель BI'!$F$6="Все",$B165='Панель BI'!$F$6),OR('Панель BI'!$I$6="Все",$C165='Панель BI'!$I$6)),1,0)</f>
        <v/>
      </c>
      <c r="I165" s="58">
        <f>IF(AND(OR('Панель BI'!$F$6="Все",$B165='Панель BI'!$F$6),OR('Панель BI'!$I$6="Все",$C165='Панель BI'!$I$6)),1,0)</f>
        <v/>
      </c>
    </row>
    <row r="166">
      <c r="A166" s="25" t="inlineStr">
        <is>
          <t>2026-04</t>
        </is>
      </c>
      <c r="B166" s="25" t="inlineStr">
        <is>
          <t>Унгень</t>
        </is>
      </c>
      <c r="C166" s="25" t="inlineStr">
        <is>
          <t>A92</t>
        </is>
      </c>
      <c r="D166" s="31" t="n">
        <v>191279</v>
      </c>
      <c r="E166" s="31" t="n">
        <v>39</v>
      </c>
      <c r="F166" s="31" t="n">
        <v>721</v>
      </c>
      <c r="G166" s="57" t="n">
        <v>17448.2</v>
      </c>
      <c r="H166" s="58">
        <f>IF(AND(OR('Панель BI'!$C$6="Все","апрель 2026"='Панель BI'!$C$6),OR('Панель BI'!$F$6="Все",$B166='Панель BI'!$F$6),OR('Панель BI'!$I$6="Все",$C166='Панель BI'!$I$6)),1,0)</f>
        <v/>
      </c>
      <c r="I166" s="58">
        <f>IF(AND(OR('Панель BI'!$F$6="Все",$B166='Панель BI'!$F$6),OR('Панель BI'!$I$6="Все",$C166='Панель BI'!$I$6)),1,0)</f>
        <v/>
      </c>
    </row>
    <row r="167">
      <c r="A167" s="25" t="inlineStr">
        <is>
          <t>2026-04</t>
        </is>
      </c>
      <c r="B167" s="25" t="inlineStr">
        <is>
          <t>Унгень</t>
        </is>
      </c>
      <c r="C167" s="25" t="inlineStr">
        <is>
          <t>A95</t>
        </is>
      </c>
      <c r="D167" s="31" t="n">
        <v>228136</v>
      </c>
      <c r="E167" s="31" t="n">
        <v>45</v>
      </c>
      <c r="F167" s="31" t="n">
        <v>864</v>
      </c>
      <c r="G167" s="57" t="n">
        <v>21686.4</v>
      </c>
      <c r="H167" s="58">
        <f>IF(AND(OR('Панель BI'!$C$6="Все","апрель 2026"='Панель BI'!$C$6),OR('Панель BI'!$F$6="Все",$B167='Панель BI'!$F$6),OR('Панель BI'!$I$6="Все",$C167='Панель BI'!$I$6)),1,0)</f>
        <v/>
      </c>
      <c r="I167" s="58">
        <f>IF(AND(OR('Панель BI'!$F$6="Все",$B167='Панель BI'!$F$6),OR('Панель BI'!$I$6="Все",$C167='Панель BI'!$I$6)),1,0)</f>
        <v/>
      </c>
    </row>
    <row r="168">
      <c r="A168" s="25" t="inlineStr">
        <is>
          <t>2026-04</t>
        </is>
      </c>
      <c r="B168" s="25" t="inlineStr">
        <is>
          <t>Унгень</t>
        </is>
      </c>
      <c r="C168" s="25" t="inlineStr">
        <is>
          <t>DIESEL</t>
        </is>
      </c>
      <c r="D168" s="31" t="n">
        <v>204177</v>
      </c>
      <c r="E168" s="31" t="n">
        <v>41</v>
      </c>
      <c r="F168" s="31" t="n">
        <v>823</v>
      </c>
      <c r="G168" s="57" t="n">
        <v>19258.2</v>
      </c>
      <c r="H168" s="58">
        <f>IF(AND(OR('Панель BI'!$C$6="Все","апрель 2026"='Панель BI'!$C$6),OR('Панель BI'!$F$6="Все",$B168='Панель BI'!$F$6),OR('Панель BI'!$I$6="Все",$C168='Панель BI'!$I$6)),1,0)</f>
        <v/>
      </c>
      <c r="I168" s="58">
        <f>IF(AND(OR('Панель BI'!$F$6="Все",$B168='Панель BI'!$F$6),OR('Панель BI'!$I$6="Все",$C168='Панель BI'!$I$6)),1,0)</f>
        <v/>
      </c>
    </row>
    <row r="169">
      <c r="A169" s="25" t="inlineStr">
        <is>
          <t>2026-04</t>
        </is>
      </c>
      <c r="B169" s="25" t="inlineStr">
        <is>
          <t>Унгень</t>
        </is>
      </c>
      <c r="C169" s="25" t="inlineStr">
        <is>
          <t>GPL</t>
        </is>
      </c>
      <c r="D169" s="31" t="n">
        <v>54809</v>
      </c>
      <c r="E169" s="31" t="n">
        <v>11</v>
      </c>
      <c r="F169" s="31" t="n">
        <v>191</v>
      </c>
      <c r="G169" s="57" t="n">
        <v>2635.8</v>
      </c>
      <c r="H169" s="58">
        <f>IF(AND(OR('Панель BI'!$C$6="Все","апрель 2026"='Панель BI'!$C$6),OR('Панель BI'!$F$6="Все",$B169='Панель BI'!$F$6),OR('Панель BI'!$I$6="Все",$C169='Панель BI'!$I$6)),1,0)</f>
        <v/>
      </c>
      <c r="I169" s="58">
        <f>IF(AND(OR('Панель BI'!$F$6="Все",$B169='Панель BI'!$F$6),OR('Панель BI'!$I$6="Все",$C169='Панель BI'!$I$6)),1,0)</f>
        <v/>
      </c>
    </row>
    <row r="170">
      <c r="A170" s="25" t="inlineStr">
        <is>
          <t>2026-05</t>
        </is>
      </c>
      <c r="B170" s="25" t="inlineStr">
        <is>
          <t>Бэлць</t>
        </is>
      </c>
      <c r="C170" s="25" t="inlineStr">
        <is>
          <t>A92</t>
        </is>
      </c>
      <c r="D170" s="31" t="n">
        <v>196779</v>
      </c>
      <c r="E170" s="31" t="n">
        <v>39</v>
      </c>
      <c r="F170" s="31" t="n">
        <v>1221</v>
      </c>
      <c r="G170" s="57" t="n">
        <v>29548.2</v>
      </c>
      <c r="H170" s="58">
        <f>IF(AND(OR('Панель BI'!$C$6="Все","май 2026"='Панель BI'!$C$6),OR('Панель BI'!$F$6="Все",$B170='Панель BI'!$F$6),OR('Панель BI'!$I$6="Все",$C170='Панель BI'!$I$6)),1,0)</f>
        <v/>
      </c>
      <c r="I170" s="58">
        <f>IF(AND(OR('Панель BI'!$F$6="Все",$B170='Панель BI'!$F$6),OR('Панель BI'!$I$6="Все",$C170='Панель BI'!$I$6)),1,0)</f>
        <v/>
      </c>
    </row>
    <row r="171">
      <c r="A171" s="25" t="inlineStr">
        <is>
          <t>2026-05</t>
        </is>
      </c>
      <c r="B171" s="25" t="inlineStr">
        <is>
          <t>Бэлць</t>
        </is>
      </c>
      <c r="C171" s="25" t="inlineStr">
        <is>
          <t>A95</t>
        </is>
      </c>
      <c r="D171" s="31" t="n">
        <v>178440</v>
      </c>
      <c r="E171" s="31" t="n">
        <v>38</v>
      </c>
      <c r="F171" s="31" t="n">
        <v>560</v>
      </c>
      <c r="G171" s="57" t="n">
        <v>14056</v>
      </c>
      <c r="H171" s="58">
        <f>IF(AND(OR('Панель BI'!$C$6="Все","май 2026"='Панель BI'!$C$6),OR('Панель BI'!$F$6="Все",$B171='Панель BI'!$F$6),OR('Панель BI'!$I$6="Все",$C171='Панель BI'!$I$6)),1,0)</f>
        <v/>
      </c>
      <c r="I171" s="58">
        <f>IF(AND(OR('Панель BI'!$F$6="Все",$B171='Панель BI'!$F$6),OR('Панель BI'!$I$6="Все",$C171='Панель BI'!$I$6)),1,0)</f>
        <v/>
      </c>
    </row>
    <row r="172">
      <c r="A172" s="25" t="inlineStr">
        <is>
          <t>2026-05</t>
        </is>
      </c>
      <c r="B172" s="25" t="inlineStr">
        <is>
          <t>Бэлць</t>
        </is>
      </c>
      <c r="C172" s="25" t="inlineStr">
        <is>
          <t>DIESEL</t>
        </is>
      </c>
      <c r="D172" s="31" t="n">
        <v>187507</v>
      </c>
      <c r="E172" s="31" t="n">
        <v>39</v>
      </c>
      <c r="F172" s="31" t="n">
        <v>493</v>
      </c>
      <c r="G172" s="57" t="n">
        <v>11536.2</v>
      </c>
      <c r="H172" s="58">
        <f>IF(AND(OR('Панель BI'!$C$6="Все","май 2026"='Панель BI'!$C$6),OR('Панель BI'!$F$6="Все",$B172='Панель BI'!$F$6),OR('Панель BI'!$I$6="Все",$C172='Панель BI'!$I$6)),1,0)</f>
        <v/>
      </c>
      <c r="I172" s="58">
        <f>IF(AND(OR('Панель BI'!$F$6="Все",$B172='Панель BI'!$F$6),OR('Панель BI'!$I$6="Все",$C172='Панель BI'!$I$6)),1,0)</f>
        <v/>
      </c>
    </row>
    <row r="173">
      <c r="A173" s="25" t="inlineStr">
        <is>
          <t>2026-05</t>
        </is>
      </c>
      <c r="B173" s="25" t="inlineStr">
        <is>
          <t>Кагул</t>
        </is>
      </c>
      <c r="C173" s="25" t="inlineStr">
        <is>
          <t>A92</t>
        </is>
      </c>
      <c r="D173" s="31" t="n">
        <v>179489</v>
      </c>
      <c r="E173" s="31" t="n">
        <v>37</v>
      </c>
      <c r="F173" s="31" t="n">
        <v>511</v>
      </c>
      <c r="G173" s="57" t="n">
        <v>12366.2</v>
      </c>
      <c r="H173" s="58">
        <f>IF(AND(OR('Панель BI'!$C$6="Все","май 2026"='Панель BI'!$C$6),OR('Панель BI'!$F$6="Все",$B173='Панель BI'!$F$6),OR('Панель BI'!$I$6="Все",$C173='Панель BI'!$I$6)),1,0)</f>
        <v/>
      </c>
      <c r="I173" s="58">
        <f>IF(AND(OR('Панель BI'!$F$6="Все",$B173='Панель BI'!$F$6),OR('Панель BI'!$I$6="Все",$C173='Панель BI'!$I$6)),1,0)</f>
        <v/>
      </c>
    </row>
    <row r="174">
      <c r="A174" s="25" t="inlineStr">
        <is>
          <t>2026-05</t>
        </is>
      </c>
      <c r="B174" s="25" t="inlineStr">
        <is>
          <t>Кагул</t>
        </is>
      </c>
      <c r="C174" s="25" t="inlineStr">
        <is>
          <t>A95</t>
        </is>
      </c>
      <c r="D174" s="31" t="n">
        <v>150916</v>
      </c>
      <c r="E174" s="31" t="n">
        <v>30</v>
      </c>
      <c r="F174" s="31" t="n">
        <v>1084</v>
      </c>
      <c r="G174" s="57" t="n">
        <v>27208.4</v>
      </c>
      <c r="H174" s="58">
        <f>IF(AND(OR('Панель BI'!$C$6="Все","май 2026"='Панель BI'!$C$6),OR('Панель BI'!$F$6="Все",$B174='Панель BI'!$F$6),OR('Панель BI'!$I$6="Все",$C174='Панель BI'!$I$6)),1,0)</f>
        <v/>
      </c>
      <c r="I174" s="58">
        <f>IF(AND(OR('Панель BI'!$F$6="Все",$B174='Панель BI'!$F$6),OR('Панель BI'!$I$6="Все",$C174='Панель BI'!$I$6)),1,0)</f>
        <v/>
      </c>
    </row>
    <row r="175">
      <c r="A175" s="25" t="inlineStr">
        <is>
          <t>2026-05</t>
        </is>
      </c>
      <c r="B175" s="25" t="inlineStr">
        <is>
          <t>Кагул</t>
        </is>
      </c>
      <c r="C175" s="25" t="inlineStr">
        <is>
          <t>DIESEL</t>
        </is>
      </c>
      <c r="D175" s="31" t="n">
        <v>226397</v>
      </c>
      <c r="E175" s="31" t="n">
        <v>45</v>
      </c>
      <c r="F175" s="31" t="n">
        <v>603</v>
      </c>
      <c r="G175" s="57" t="n">
        <v>14110.2</v>
      </c>
      <c r="H175" s="58">
        <f>IF(AND(OR('Панель BI'!$C$6="Все","май 2026"='Панель BI'!$C$6),OR('Панель BI'!$F$6="Все",$B175='Панель BI'!$F$6),OR('Панель BI'!$I$6="Все",$C175='Панель BI'!$I$6)),1,0)</f>
        <v/>
      </c>
      <c r="I175" s="58">
        <f>IF(AND(OR('Панель BI'!$F$6="Все",$B175='Панель BI'!$F$6),OR('Панель BI'!$I$6="Все",$C175='Панель BI'!$I$6)),1,0)</f>
        <v/>
      </c>
    </row>
    <row r="176">
      <c r="A176" s="25" t="inlineStr">
        <is>
          <t>2026-05</t>
        </is>
      </c>
      <c r="B176" s="25" t="inlineStr">
        <is>
          <t>Кишинёв</t>
        </is>
      </c>
      <c r="C176" s="25" t="inlineStr">
        <is>
          <t>A92</t>
        </is>
      </c>
      <c r="D176" s="31" t="n">
        <v>219326</v>
      </c>
      <c r="E176" s="31" t="n">
        <v>44</v>
      </c>
      <c r="F176" s="31" t="n">
        <v>674</v>
      </c>
      <c r="G176" s="57" t="n">
        <v>16310.8</v>
      </c>
      <c r="H176" s="58">
        <f>IF(AND(OR('Панель BI'!$C$6="Все","май 2026"='Панель BI'!$C$6),OR('Панель BI'!$F$6="Все",$B176='Панель BI'!$F$6),OR('Панель BI'!$I$6="Все",$C176='Панель BI'!$I$6)),1,0)</f>
        <v/>
      </c>
      <c r="I176" s="58">
        <f>IF(AND(OR('Панель BI'!$F$6="Все",$B176='Панель BI'!$F$6),OR('Панель BI'!$I$6="Все",$C176='Панель BI'!$I$6)),1,0)</f>
        <v/>
      </c>
    </row>
    <row r="177">
      <c r="A177" s="25" t="inlineStr">
        <is>
          <t>2026-05</t>
        </is>
      </c>
      <c r="B177" s="25" t="inlineStr">
        <is>
          <t>Кишинёв</t>
        </is>
      </c>
      <c r="C177" s="25" t="inlineStr">
        <is>
          <t>A95</t>
        </is>
      </c>
      <c r="D177" s="31" t="n">
        <v>174174</v>
      </c>
      <c r="E177" s="31" t="n">
        <v>37</v>
      </c>
      <c r="F177" s="31" t="n">
        <v>826</v>
      </c>
      <c r="G177" s="57" t="n">
        <v>20732.6</v>
      </c>
      <c r="H177" s="58">
        <f>IF(AND(OR('Панель BI'!$C$6="Все","май 2026"='Панель BI'!$C$6),OR('Панель BI'!$F$6="Все",$B177='Панель BI'!$F$6),OR('Панель BI'!$I$6="Все",$C177='Панель BI'!$I$6)),1,0)</f>
        <v/>
      </c>
      <c r="I177" s="58">
        <f>IF(AND(OR('Панель BI'!$F$6="Все",$B177='Панель BI'!$F$6),OR('Панель BI'!$I$6="Все",$C177='Панель BI'!$I$6)),1,0)</f>
        <v/>
      </c>
    </row>
    <row r="178">
      <c r="A178" s="25" t="inlineStr">
        <is>
          <t>2026-05</t>
        </is>
      </c>
      <c r="B178" s="25" t="inlineStr">
        <is>
          <t>Кишинёв</t>
        </is>
      </c>
      <c r="C178" s="25" t="inlineStr">
        <is>
          <t>DIESEL</t>
        </is>
      </c>
      <c r="D178" s="31" t="n">
        <v>206471</v>
      </c>
      <c r="E178" s="31" t="n">
        <v>41</v>
      </c>
      <c r="F178" s="31" t="n">
        <v>529</v>
      </c>
      <c r="G178" s="57" t="n">
        <v>12378.6</v>
      </c>
      <c r="H178" s="58">
        <f>IF(AND(OR('Панель BI'!$C$6="Все","май 2026"='Панель BI'!$C$6),OR('Панель BI'!$F$6="Все",$B178='Панель BI'!$F$6),OR('Панель BI'!$I$6="Все",$C178='Панель BI'!$I$6)),1,0)</f>
        <v/>
      </c>
      <c r="I178" s="58">
        <f>IF(AND(OR('Панель BI'!$F$6="Все",$B178='Панель BI'!$F$6),OR('Панель BI'!$I$6="Все",$C178='Панель BI'!$I$6)),1,0)</f>
        <v/>
      </c>
    </row>
    <row r="179">
      <c r="A179" s="25" t="inlineStr">
        <is>
          <t>2026-05</t>
        </is>
      </c>
      <c r="B179" s="25" t="inlineStr">
        <is>
          <t>Кишинёв</t>
        </is>
      </c>
      <c r="C179" s="25" t="inlineStr">
        <is>
          <t>GPL</t>
        </is>
      </c>
      <c r="D179" s="31" t="n">
        <v>51816</v>
      </c>
      <c r="E179" s="31" t="n">
        <v>11</v>
      </c>
      <c r="F179" s="31" t="n">
        <v>184</v>
      </c>
      <c r="G179" s="57" t="n">
        <v>2539.2</v>
      </c>
      <c r="H179" s="58">
        <f>IF(AND(OR('Панель BI'!$C$6="Все","май 2026"='Панель BI'!$C$6),OR('Панель BI'!$F$6="Все",$B179='Панель BI'!$F$6),OR('Панель BI'!$I$6="Все",$C179='Панель BI'!$I$6)),1,0)</f>
        <v/>
      </c>
      <c r="I179" s="58">
        <f>IF(AND(OR('Панель BI'!$F$6="Все",$B179='Панель BI'!$F$6),OR('Панель BI'!$I$6="Все",$C179='Панель BI'!$I$6)),1,0)</f>
        <v/>
      </c>
    </row>
    <row r="180">
      <c r="A180" s="25" t="inlineStr">
        <is>
          <t>2026-05</t>
        </is>
      </c>
      <c r="B180" s="25" t="inlineStr">
        <is>
          <t>Комрат</t>
        </is>
      </c>
      <c r="C180" s="25" t="inlineStr">
        <is>
          <t>A92</t>
        </is>
      </c>
      <c r="D180" s="31" t="n">
        <v>214193</v>
      </c>
      <c r="E180" s="31" t="n">
        <v>44</v>
      </c>
      <c r="F180" s="31" t="n">
        <v>807</v>
      </c>
      <c r="G180" s="57" t="n">
        <v>19529.4</v>
      </c>
      <c r="H180" s="58">
        <f>IF(AND(OR('Панель BI'!$C$6="Все","май 2026"='Панель BI'!$C$6),OR('Панель BI'!$F$6="Все",$B180='Панель BI'!$F$6),OR('Панель BI'!$I$6="Все",$C180='Панель BI'!$I$6)),1,0)</f>
        <v/>
      </c>
      <c r="I180" s="58">
        <f>IF(AND(OR('Панель BI'!$F$6="Все",$B180='Панель BI'!$F$6),OR('Панель BI'!$I$6="Все",$C180='Панель BI'!$I$6)),1,0)</f>
        <v/>
      </c>
    </row>
    <row r="181">
      <c r="A181" s="25" t="inlineStr">
        <is>
          <t>2026-05</t>
        </is>
      </c>
      <c r="B181" s="25" t="inlineStr">
        <is>
          <t>Комрат</t>
        </is>
      </c>
      <c r="C181" s="25" t="inlineStr">
        <is>
          <t>A95</t>
        </is>
      </c>
      <c r="D181" s="31" t="n">
        <v>198364</v>
      </c>
      <c r="E181" s="31" t="n">
        <v>41</v>
      </c>
      <c r="F181" s="31" t="n">
        <v>636</v>
      </c>
      <c r="G181" s="57" t="n">
        <v>15963.6</v>
      </c>
      <c r="H181" s="58">
        <f>IF(AND(OR('Панель BI'!$C$6="Все","май 2026"='Панель BI'!$C$6),OR('Панель BI'!$F$6="Все",$B181='Панель BI'!$F$6),OR('Панель BI'!$I$6="Все",$C181='Панель BI'!$I$6)),1,0)</f>
        <v/>
      </c>
      <c r="I181" s="58">
        <f>IF(AND(OR('Панель BI'!$F$6="Все",$B181='Панель BI'!$F$6),OR('Панель BI'!$I$6="Все",$C181='Панель BI'!$I$6)),1,0)</f>
        <v/>
      </c>
    </row>
    <row r="182">
      <c r="A182" s="25" t="inlineStr">
        <is>
          <t>2026-05</t>
        </is>
      </c>
      <c r="B182" s="25" t="inlineStr">
        <is>
          <t>Комрат</t>
        </is>
      </c>
      <c r="C182" s="25" t="inlineStr">
        <is>
          <t>DIESEL</t>
        </is>
      </c>
      <c r="D182" s="31" t="n">
        <v>222115</v>
      </c>
      <c r="E182" s="31" t="n">
        <v>44</v>
      </c>
      <c r="F182" s="31" t="n">
        <v>885</v>
      </c>
      <c r="G182" s="57" t="n">
        <v>20709</v>
      </c>
      <c r="H182" s="58">
        <f>IF(AND(OR('Панель BI'!$C$6="Все","май 2026"='Панель BI'!$C$6),OR('Панель BI'!$F$6="Все",$B182='Панель BI'!$F$6),OR('Панель BI'!$I$6="Все",$C182='Панель BI'!$I$6)),1,0)</f>
        <v/>
      </c>
      <c r="I182" s="58">
        <f>IF(AND(OR('Панель BI'!$F$6="Все",$B182='Панель BI'!$F$6),OR('Панель BI'!$I$6="Все",$C182='Панель BI'!$I$6)),1,0)</f>
        <v/>
      </c>
    </row>
    <row r="183">
      <c r="A183" s="25" t="inlineStr">
        <is>
          <t>2026-05</t>
        </is>
      </c>
      <c r="B183" s="25" t="inlineStr">
        <is>
          <t>Комрат</t>
        </is>
      </c>
      <c r="C183" s="25" t="inlineStr">
        <is>
          <t>GPL</t>
        </is>
      </c>
      <c r="D183" s="31" t="n">
        <v>160474</v>
      </c>
      <c r="E183" s="31" t="n">
        <v>32</v>
      </c>
      <c r="F183" s="31" t="n">
        <v>526</v>
      </c>
      <c r="G183" s="57" t="n">
        <v>7258.8</v>
      </c>
      <c r="H183" s="58">
        <f>IF(AND(OR('Панель BI'!$C$6="Все","май 2026"='Панель BI'!$C$6),OR('Панель BI'!$F$6="Все",$B183='Панель BI'!$F$6),OR('Панель BI'!$I$6="Все",$C183='Панель BI'!$I$6)),1,0)</f>
        <v/>
      </c>
      <c r="I183" s="58">
        <f>IF(AND(OR('Панель BI'!$F$6="Все",$B183='Панель BI'!$F$6),OR('Панель BI'!$I$6="Все",$C183='Панель BI'!$I$6)),1,0)</f>
        <v/>
      </c>
    </row>
    <row r="184">
      <c r="A184" s="25" t="inlineStr">
        <is>
          <t>2026-05</t>
        </is>
      </c>
      <c r="B184" s="25" t="inlineStr">
        <is>
          <t>Орхей</t>
        </is>
      </c>
      <c r="C184" s="25" t="inlineStr">
        <is>
          <t>A92</t>
        </is>
      </c>
      <c r="D184" s="31" t="n">
        <v>167940</v>
      </c>
      <c r="E184" s="31" t="n">
        <v>34</v>
      </c>
      <c r="F184" s="31" t="n">
        <v>1060</v>
      </c>
      <c r="G184" s="57" t="n">
        <v>25652</v>
      </c>
      <c r="H184" s="58">
        <f>IF(AND(OR('Панель BI'!$C$6="Все","май 2026"='Панель BI'!$C$6),OR('Панель BI'!$F$6="Все",$B184='Панель BI'!$F$6),OR('Панель BI'!$I$6="Все",$C184='Панель BI'!$I$6)),1,0)</f>
        <v/>
      </c>
      <c r="I184" s="58">
        <f>IF(AND(OR('Панель BI'!$F$6="Все",$B184='Панель BI'!$F$6),OR('Панель BI'!$I$6="Все",$C184='Панель BI'!$I$6)),1,0)</f>
        <v/>
      </c>
    </row>
    <row r="185">
      <c r="A185" s="25" t="inlineStr">
        <is>
          <t>2026-05</t>
        </is>
      </c>
      <c r="B185" s="25" t="inlineStr">
        <is>
          <t>Орхей</t>
        </is>
      </c>
      <c r="C185" s="25" t="inlineStr">
        <is>
          <t>A95</t>
        </is>
      </c>
      <c r="D185" s="31" t="n">
        <v>164561</v>
      </c>
      <c r="E185" s="31" t="n">
        <v>33</v>
      </c>
      <c r="F185" s="31" t="n">
        <v>439</v>
      </c>
      <c r="G185" s="57" t="n">
        <v>11018.9</v>
      </c>
      <c r="H185" s="58">
        <f>IF(AND(OR('Панель BI'!$C$6="Все","май 2026"='Панель BI'!$C$6),OR('Панель BI'!$F$6="Все",$B185='Панель BI'!$F$6),OR('Панель BI'!$I$6="Все",$C185='Панель BI'!$I$6)),1,0)</f>
        <v/>
      </c>
      <c r="I185" s="58">
        <f>IF(AND(OR('Панель BI'!$F$6="Все",$B185='Панель BI'!$F$6),OR('Панель BI'!$I$6="Все",$C185='Панель BI'!$I$6)),1,0)</f>
        <v/>
      </c>
    </row>
    <row r="186">
      <c r="A186" s="25" t="inlineStr">
        <is>
          <t>2026-05</t>
        </is>
      </c>
      <c r="B186" s="25" t="inlineStr">
        <is>
          <t>Орхей</t>
        </is>
      </c>
      <c r="C186" s="25" t="inlineStr">
        <is>
          <t>DIESEL</t>
        </is>
      </c>
      <c r="D186" s="31" t="n">
        <v>255318</v>
      </c>
      <c r="E186" s="31" t="n">
        <v>52</v>
      </c>
      <c r="F186" s="31" t="n">
        <v>682</v>
      </c>
      <c r="G186" s="57" t="n">
        <v>15958.8</v>
      </c>
      <c r="H186" s="58">
        <f>IF(AND(OR('Панель BI'!$C$6="Все","май 2026"='Панель BI'!$C$6),OR('Панель BI'!$F$6="Все",$B186='Панель BI'!$F$6),OR('Панель BI'!$I$6="Все",$C186='Панель BI'!$I$6)),1,0)</f>
        <v/>
      </c>
      <c r="I186" s="58">
        <f>IF(AND(OR('Панель BI'!$F$6="Все",$B186='Панель BI'!$F$6),OR('Панель BI'!$I$6="Все",$C186='Панель BI'!$I$6)),1,0)</f>
        <v/>
      </c>
    </row>
    <row r="187">
      <c r="A187" s="25" t="inlineStr">
        <is>
          <t>2026-05</t>
        </is>
      </c>
      <c r="B187" s="25" t="inlineStr">
        <is>
          <t>Унгень</t>
        </is>
      </c>
      <c r="C187" s="25" t="inlineStr">
        <is>
          <t>A92</t>
        </is>
      </c>
      <c r="D187" s="31" t="n">
        <v>265977</v>
      </c>
      <c r="E187" s="31" t="n">
        <v>52</v>
      </c>
      <c r="F187" s="31" t="n">
        <v>957</v>
      </c>
      <c r="G187" s="57" t="n">
        <v>23159.4</v>
      </c>
      <c r="H187" s="58">
        <f>IF(AND(OR('Панель BI'!$C$6="Все","май 2026"='Панель BI'!$C$6),OR('Панель BI'!$F$6="Все",$B187='Панель BI'!$F$6),OR('Панель BI'!$I$6="Все",$C187='Панель BI'!$I$6)),1,0)</f>
        <v/>
      </c>
      <c r="I187" s="58">
        <f>IF(AND(OR('Панель BI'!$F$6="Все",$B187='Панель BI'!$F$6),OR('Панель BI'!$I$6="Все",$C187='Панель BI'!$I$6)),1,0)</f>
        <v/>
      </c>
    </row>
    <row r="188">
      <c r="A188" s="25" t="inlineStr">
        <is>
          <t>2026-05</t>
        </is>
      </c>
      <c r="B188" s="25" t="inlineStr">
        <is>
          <t>Унгень</t>
        </is>
      </c>
      <c r="C188" s="25" t="inlineStr">
        <is>
          <t>A95</t>
        </is>
      </c>
      <c r="D188" s="31" t="n">
        <v>208442</v>
      </c>
      <c r="E188" s="31" t="n">
        <v>43</v>
      </c>
      <c r="F188" s="31" t="n">
        <v>558</v>
      </c>
      <c r="G188" s="57" t="n">
        <v>14005.8</v>
      </c>
      <c r="H188" s="58">
        <f>IF(AND(OR('Панель BI'!$C$6="Все","май 2026"='Панель BI'!$C$6),OR('Панель BI'!$F$6="Все",$B188='Панель BI'!$F$6),OR('Панель BI'!$I$6="Все",$C188='Панель BI'!$I$6)),1,0)</f>
        <v/>
      </c>
      <c r="I188" s="58">
        <f>IF(AND(OR('Панель BI'!$F$6="Все",$B188='Панель BI'!$F$6),OR('Панель BI'!$I$6="Все",$C188='Панель BI'!$I$6)),1,0)</f>
        <v/>
      </c>
    </row>
    <row r="189">
      <c r="A189" s="25" t="inlineStr">
        <is>
          <t>2026-05</t>
        </is>
      </c>
      <c r="B189" s="25" t="inlineStr">
        <is>
          <t>Унгень</t>
        </is>
      </c>
      <c r="C189" s="25" t="inlineStr">
        <is>
          <t>DIESEL</t>
        </is>
      </c>
      <c r="D189" s="31" t="n">
        <v>199251</v>
      </c>
      <c r="E189" s="31" t="n">
        <v>40</v>
      </c>
      <c r="F189" s="31" t="n">
        <v>749</v>
      </c>
      <c r="G189" s="57" t="n">
        <v>17526.6</v>
      </c>
      <c r="H189" s="58">
        <f>IF(AND(OR('Панель BI'!$C$6="Все","май 2026"='Панель BI'!$C$6),OR('Панель BI'!$F$6="Все",$B189='Панель BI'!$F$6),OR('Панель BI'!$I$6="Все",$C189='Панель BI'!$I$6)),1,0)</f>
        <v/>
      </c>
      <c r="I189" s="58">
        <f>IF(AND(OR('Панель BI'!$F$6="Все",$B189='Панель BI'!$F$6),OR('Панель BI'!$I$6="Все",$C189='Панель BI'!$I$6)),1,0)</f>
        <v/>
      </c>
    </row>
    <row r="190">
      <c r="A190" s="25" t="inlineStr">
        <is>
          <t>2026-05</t>
        </is>
      </c>
      <c r="B190" s="25" t="inlineStr">
        <is>
          <t>Унгень</t>
        </is>
      </c>
      <c r="C190" s="25" t="inlineStr">
        <is>
          <t>GPL</t>
        </is>
      </c>
      <c r="D190" s="31" t="n">
        <v>33934</v>
      </c>
      <c r="E190" s="31" t="n">
        <v>7</v>
      </c>
      <c r="F190" s="31" t="n">
        <v>66</v>
      </c>
      <c r="G190" s="57" t="n">
        <v>910.8</v>
      </c>
      <c r="H190" s="58">
        <f>IF(AND(OR('Панель BI'!$C$6="Все","май 2026"='Панель BI'!$C$6),OR('Панель BI'!$F$6="Все",$B190='Панель BI'!$F$6),OR('Панель BI'!$I$6="Все",$C190='Панель BI'!$I$6)),1,0)</f>
        <v/>
      </c>
      <c r="I190" s="58">
        <f>IF(AND(OR('Панель BI'!$F$6="Все",$B190='Панель BI'!$F$6),OR('Панель BI'!$I$6="Все",$C190='Панель BI'!$I$6)),1,0)</f>
        <v/>
      </c>
    </row>
    <row r="191">
      <c r="A191" s="25" t="inlineStr">
        <is>
          <t>2026-06</t>
        </is>
      </c>
      <c r="B191" s="25" t="inlineStr">
        <is>
          <t>Бэлць</t>
        </is>
      </c>
      <c r="C191" s="25" t="inlineStr">
        <is>
          <t>A92</t>
        </is>
      </c>
      <c r="D191" s="31" t="n">
        <v>149561</v>
      </c>
      <c r="E191" s="31" t="n">
        <v>30</v>
      </c>
      <c r="F191" s="31" t="n">
        <v>439</v>
      </c>
      <c r="G191" s="57" t="n">
        <v>10623.8</v>
      </c>
      <c r="H191" s="58">
        <f>IF(AND(OR('Панель BI'!$C$6="Все","июнь 2026"='Панель BI'!$C$6),OR('Панель BI'!$F$6="Все",$B191='Панель BI'!$F$6),OR('Панель BI'!$I$6="Все",$C191='Панель BI'!$I$6)),1,0)</f>
        <v/>
      </c>
      <c r="I191" s="58">
        <f>IF(AND(OR('Панель BI'!$F$6="Все",$B191='Панель BI'!$F$6),OR('Панель BI'!$I$6="Все",$C191='Панель BI'!$I$6)),1,0)</f>
        <v/>
      </c>
    </row>
    <row r="192">
      <c r="A192" s="25" t="inlineStr">
        <is>
          <t>2026-06</t>
        </is>
      </c>
      <c r="B192" s="25" t="inlineStr">
        <is>
          <t>Бэлць</t>
        </is>
      </c>
      <c r="C192" s="25" t="inlineStr">
        <is>
          <t>A95</t>
        </is>
      </c>
      <c r="D192" s="31" t="n">
        <v>245876</v>
      </c>
      <c r="E192" s="31" t="n">
        <v>48</v>
      </c>
      <c r="F192" s="31" t="n">
        <v>1124</v>
      </c>
      <c r="G192" s="57" t="n">
        <v>28212.4</v>
      </c>
      <c r="H192" s="58">
        <f>IF(AND(OR('Панель BI'!$C$6="Все","июнь 2026"='Панель BI'!$C$6),OR('Панель BI'!$F$6="Все",$B192='Панель BI'!$F$6),OR('Панель BI'!$I$6="Все",$C192='Панель BI'!$I$6)),1,0)</f>
        <v/>
      </c>
      <c r="I192" s="58">
        <f>IF(AND(OR('Панель BI'!$F$6="Все",$B192='Панель BI'!$F$6),OR('Панель BI'!$I$6="Все",$C192='Панель BI'!$I$6)),1,0)</f>
        <v/>
      </c>
    </row>
    <row r="193">
      <c r="A193" s="25" t="inlineStr">
        <is>
          <t>2026-06</t>
        </is>
      </c>
      <c r="B193" s="25" t="inlineStr">
        <is>
          <t>Бэлць</t>
        </is>
      </c>
      <c r="C193" s="25" t="inlineStr">
        <is>
          <t>DIESEL</t>
        </is>
      </c>
      <c r="D193" s="31" t="n">
        <v>218354</v>
      </c>
      <c r="E193" s="31" t="n">
        <v>45</v>
      </c>
      <c r="F193" s="31" t="n">
        <v>646</v>
      </c>
      <c r="G193" s="57" t="n">
        <v>15116.4</v>
      </c>
      <c r="H193" s="58">
        <f>IF(AND(OR('Панель BI'!$C$6="Все","июнь 2026"='Панель BI'!$C$6),OR('Панель BI'!$F$6="Все",$B193='Панель BI'!$F$6),OR('Панель BI'!$I$6="Все",$C193='Панель BI'!$I$6)),1,0)</f>
        <v/>
      </c>
      <c r="I193" s="58">
        <f>IF(AND(OR('Панель BI'!$F$6="Все",$B193='Панель BI'!$F$6),OR('Панель BI'!$I$6="Все",$C193='Панель BI'!$I$6)),1,0)</f>
        <v/>
      </c>
    </row>
    <row r="194">
      <c r="A194" s="25" t="inlineStr">
        <is>
          <t>2026-06</t>
        </is>
      </c>
      <c r="B194" s="25" t="inlineStr">
        <is>
          <t>Кагул</t>
        </is>
      </c>
      <c r="C194" s="25" t="inlineStr">
        <is>
          <t>A92</t>
        </is>
      </c>
      <c r="D194" s="31" t="n">
        <v>197582</v>
      </c>
      <c r="E194" s="31" t="n">
        <v>44</v>
      </c>
      <c r="F194" s="31" t="n">
        <v>1418</v>
      </c>
      <c r="G194" s="57" t="n">
        <v>34315.6</v>
      </c>
      <c r="H194" s="58">
        <f>IF(AND(OR('Панель BI'!$C$6="Все","июнь 2026"='Панель BI'!$C$6),OR('Панель BI'!$F$6="Все",$B194='Панель BI'!$F$6),OR('Панель BI'!$I$6="Все",$C194='Панель BI'!$I$6)),1,0)</f>
        <v/>
      </c>
      <c r="I194" s="58">
        <f>IF(AND(OR('Панель BI'!$F$6="Все",$B194='Панель BI'!$F$6),OR('Панель BI'!$I$6="Все",$C194='Панель BI'!$I$6)),1,0)</f>
        <v/>
      </c>
    </row>
    <row r="195">
      <c r="A195" s="25" t="inlineStr">
        <is>
          <t>2026-06</t>
        </is>
      </c>
      <c r="B195" s="25" t="inlineStr">
        <is>
          <t>Кагул</t>
        </is>
      </c>
      <c r="C195" s="25" t="inlineStr">
        <is>
          <t>A95</t>
        </is>
      </c>
      <c r="D195" s="31" t="n">
        <v>207074</v>
      </c>
      <c r="E195" s="31" t="n">
        <v>42</v>
      </c>
      <c r="F195" s="31" t="n">
        <v>772</v>
      </c>
      <c r="G195" s="57" t="n">
        <v>19377.2</v>
      </c>
      <c r="H195" s="58">
        <f>IF(AND(OR('Панель BI'!$C$6="Все","июнь 2026"='Панель BI'!$C$6),OR('Панель BI'!$F$6="Все",$B195='Панель BI'!$F$6),OR('Панель BI'!$I$6="Все",$C195='Панель BI'!$I$6)),1,0)</f>
        <v/>
      </c>
      <c r="I195" s="58">
        <f>IF(AND(OR('Панель BI'!$F$6="Все",$B195='Панель BI'!$F$6),OR('Панель BI'!$I$6="Все",$C195='Панель BI'!$I$6)),1,0)</f>
        <v/>
      </c>
    </row>
    <row r="196">
      <c r="A196" s="25" t="inlineStr">
        <is>
          <t>2026-06</t>
        </is>
      </c>
      <c r="B196" s="25" t="inlineStr">
        <is>
          <t>Кагул</t>
        </is>
      </c>
      <c r="C196" s="25" t="inlineStr">
        <is>
          <t>DIESEL</t>
        </is>
      </c>
      <c r="D196" s="31" t="n">
        <v>196383</v>
      </c>
      <c r="E196" s="31" t="n">
        <v>39</v>
      </c>
      <c r="F196" s="31" t="n">
        <v>617</v>
      </c>
      <c r="G196" s="57" t="n">
        <v>14437.8</v>
      </c>
      <c r="H196" s="58">
        <f>IF(AND(OR('Панель BI'!$C$6="Все","июнь 2026"='Панель BI'!$C$6),OR('Панель BI'!$F$6="Все",$B196='Панель BI'!$F$6),OR('Панель BI'!$I$6="Все",$C196='Панель BI'!$I$6)),1,0)</f>
        <v/>
      </c>
      <c r="I196" s="58">
        <f>IF(AND(OR('Панель BI'!$F$6="Все",$B196='Панель BI'!$F$6),OR('Панель BI'!$I$6="Все",$C196='Панель BI'!$I$6)),1,0)</f>
        <v/>
      </c>
    </row>
    <row r="197">
      <c r="A197" s="25" t="inlineStr">
        <is>
          <t>2026-06</t>
        </is>
      </c>
      <c r="B197" s="25" t="inlineStr">
        <is>
          <t>Кишинёв</t>
        </is>
      </c>
      <c r="C197" s="25" t="inlineStr">
        <is>
          <t>A92</t>
        </is>
      </c>
      <c r="D197" s="31" t="n">
        <v>237345</v>
      </c>
      <c r="E197" s="31" t="n">
        <v>48</v>
      </c>
      <c r="F197" s="31" t="n">
        <v>655</v>
      </c>
      <c r="G197" s="57" t="n">
        <v>15851</v>
      </c>
      <c r="H197" s="58">
        <f>IF(AND(OR('Панель BI'!$C$6="Все","июнь 2026"='Панель BI'!$C$6),OR('Панель BI'!$F$6="Все",$B197='Панель BI'!$F$6),OR('Панель BI'!$I$6="Все",$C197='Панель BI'!$I$6)),1,0)</f>
        <v/>
      </c>
      <c r="I197" s="58">
        <f>IF(AND(OR('Панель BI'!$F$6="Все",$B197='Панель BI'!$F$6),OR('Панель BI'!$I$6="Все",$C197='Панель BI'!$I$6)),1,0)</f>
        <v/>
      </c>
    </row>
    <row r="198">
      <c r="A198" s="25" t="inlineStr">
        <is>
          <t>2026-06</t>
        </is>
      </c>
      <c r="B198" s="25" t="inlineStr">
        <is>
          <t>Кишинёв</t>
        </is>
      </c>
      <c r="C198" s="25" t="inlineStr">
        <is>
          <t>A95</t>
        </is>
      </c>
      <c r="D198" s="31" t="n">
        <v>142400</v>
      </c>
      <c r="E198" s="31" t="n">
        <v>31</v>
      </c>
      <c r="F198" s="31" t="n">
        <v>600</v>
      </c>
      <c r="G198" s="57" t="n">
        <v>15060</v>
      </c>
      <c r="H198" s="58">
        <f>IF(AND(OR('Панель BI'!$C$6="Все","июнь 2026"='Панель BI'!$C$6),OR('Панель BI'!$F$6="Все",$B198='Панель BI'!$F$6),OR('Панель BI'!$I$6="Все",$C198='Панель BI'!$I$6)),1,0)</f>
        <v/>
      </c>
      <c r="I198" s="58">
        <f>IF(AND(OR('Панель BI'!$F$6="Все",$B198='Панель BI'!$F$6),OR('Панель BI'!$I$6="Все",$C198='Панель BI'!$I$6)),1,0)</f>
        <v/>
      </c>
    </row>
    <row r="199">
      <c r="A199" s="25" t="inlineStr">
        <is>
          <t>2026-06</t>
        </is>
      </c>
      <c r="B199" s="25" t="inlineStr">
        <is>
          <t>Кишинёв</t>
        </is>
      </c>
      <c r="C199" s="25" t="inlineStr">
        <is>
          <t>DIESEL</t>
        </is>
      </c>
      <c r="D199" s="31" t="n">
        <v>254812</v>
      </c>
      <c r="E199" s="31" t="n">
        <v>50</v>
      </c>
      <c r="F199" s="31" t="n">
        <v>1188</v>
      </c>
      <c r="G199" s="57" t="n">
        <v>27799.2</v>
      </c>
      <c r="H199" s="58">
        <f>IF(AND(OR('Панель BI'!$C$6="Все","июнь 2026"='Панель BI'!$C$6),OR('Панель BI'!$F$6="Все",$B199='Панель BI'!$F$6),OR('Панель BI'!$I$6="Все",$C199='Панель BI'!$I$6)),1,0)</f>
        <v/>
      </c>
      <c r="I199" s="58">
        <f>IF(AND(OR('Панель BI'!$F$6="Все",$B199='Панель BI'!$F$6),OR('Панель BI'!$I$6="Все",$C199='Панель BI'!$I$6)),1,0)</f>
        <v/>
      </c>
    </row>
    <row r="200">
      <c r="A200" s="25" t="inlineStr">
        <is>
          <t>2026-06</t>
        </is>
      </c>
      <c r="B200" s="25" t="inlineStr">
        <is>
          <t>Кишинёв</t>
        </is>
      </c>
      <c r="C200" s="25" t="inlineStr">
        <is>
          <t>GPL</t>
        </is>
      </c>
      <c r="D200" s="31" t="n">
        <v>25926</v>
      </c>
      <c r="E200" s="31" t="n">
        <v>5</v>
      </c>
      <c r="F200" s="31" t="n">
        <v>74</v>
      </c>
      <c r="G200" s="57" t="n">
        <v>1021.2</v>
      </c>
      <c r="H200" s="58">
        <f>IF(AND(OR('Панель BI'!$C$6="Все","июнь 2026"='Панель BI'!$C$6),OR('Панель BI'!$F$6="Все",$B200='Панель BI'!$F$6),OR('Панель BI'!$I$6="Все",$C200='Панель BI'!$I$6)),1,0)</f>
        <v/>
      </c>
      <c r="I200" s="58">
        <f>IF(AND(OR('Панель BI'!$F$6="Все",$B200='Панель BI'!$F$6),OR('Панель BI'!$I$6="Все",$C200='Панель BI'!$I$6)),1,0)</f>
        <v/>
      </c>
    </row>
    <row r="201">
      <c r="A201" s="25" t="inlineStr">
        <is>
          <t>2026-06</t>
        </is>
      </c>
      <c r="B201" s="25" t="inlineStr">
        <is>
          <t>Комрат</t>
        </is>
      </c>
      <c r="C201" s="25" t="inlineStr">
        <is>
          <t>A92</t>
        </is>
      </c>
      <c r="D201" s="31" t="n">
        <v>238104</v>
      </c>
      <c r="E201" s="31" t="n">
        <v>50</v>
      </c>
      <c r="F201" s="31" t="n">
        <v>896</v>
      </c>
      <c r="G201" s="57" t="n">
        <v>21683.2</v>
      </c>
      <c r="H201" s="58">
        <f>IF(AND(OR('Панель BI'!$C$6="Все","июнь 2026"='Панель BI'!$C$6),OR('Панель BI'!$F$6="Все",$B201='Панель BI'!$F$6),OR('Панель BI'!$I$6="Все",$C201='Панель BI'!$I$6)),1,0)</f>
        <v/>
      </c>
      <c r="I201" s="58">
        <f>IF(AND(OR('Панель BI'!$F$6="Все",$B201='Панель BI'!$F$6),OR('Панель BI'!$I$6="Все",$C201='Панель BI'!$I$6)),1,0)</f>
        <v/>
      </c>
    </row>
    <row r="202">
      <c r="A202" s="25" t="inlineStr">
        <is>
          <t>2026-06</t>
        </is>
      </c>
      <c r="B202" s="25" t="inlineStr">
        <is>
          <t>Комрат</t>
        </is>
      </c>
      <c r="C202" s="25" t="inlineStr">
        <is>
          <t>A95</t>
        </is>
      </c>
      <c r="D202" s="31" t="n">
        <v>160468</v>
      </c>
      <c r="E202" s="31" t="n">
        <v>31</v>
      </c>
      <c r="F202" s="31" t="n">
        <v>532</v>
      </c>
      <c r="G202" s="57" t="n">
        <v>13353.2</v>
      </c>
      <c r="H202" s="58">
        <f>IF(AND(OR('Панель BI'!$C$6="Все","июнь 2026"='Панель BI'!$C$6),OR('Панель BI'!$F$6="Все",$B202='Панель BI'!$F$6),OR('Панель BI'!$I$6="Все",$C202='Панель BI'!$I$6)),1,0)</f>
        <v/>
      </c>
      <c r="I202" s="58">
        <f>IF(AND(OR('Панель BI'!$F$6="Все",$B202='Панель BI'!$F$6),OR('Панель BI'!$I$6="Все",$C202='Панель BI'!$I$6)),1,0)</f>
        <v/>
      </c>
    </row>
    <row r="203">
      <c r="A203" s="25" t="inlineStr">
        <is>
          <t>2026-06</t>
        </is>
      </c>
      <c r="B203" s="25" t="inlineStr">
        <is>
          <t>Комрат</t>
        </is>
      </c>
      <c r="C203" s="25" t="inlineStr">
        <is>
          <t>DIESEL</t>
        </is>
      </c>
      <c r="D203" s="31" t="n">
        <v>199489</v>
      </c>
      <c r="E203" s="31" t="n">
        <v>41</v>
      </c>
      <c r="F203" s="31" t="n">
        <v>511</v>
      </c>
      <c r="G203" s="57" t="n">
        <v>11957.4</v>
      </c>
      <c r="H203" s="58">
        <f>IF(AND(OR('Панель BI'!$C$6="Все","июнь 2026"='Панель BI'!$C$6),OR('Панель BI'!$F$6="Все",$B203='Панель BI'!$F$6),OR('Панель BI'!$I$6="Все",$C203='Панель BI'!$I$6)),1,0)</f>
        <v/>
      </c>
      <c r="I203" s="58">
        <f>IF(AND(OR('Панель BI'!$F$6="Все",$B203='Панель BI'!$F$6),OR('Панель BI'!$I$6="Все",$C203='Панель BI'!$I$6)),1,0)</f>
        <v/>
      </c>
    </row>
    <row r="204">
      <c r="A204" s="25" t="inlineStr">
        <is>
          <t>2026-06</t>
        </is>
      </c>
      <c r="B204" s="25" t="inlineStr">
        <is>
          <t>Комрат</t>
        </is>
      </c>
      <c r="C204" s="25" t="inlineStr">
        <is>
          <t>GPL</t>
        </is>
      </c>
      <c r="D204" s="31" t="n">
        <v>106677</v>
      </c>
      <c r="E204" s="31" t="n">
        <v>22</v>
      </c>
      <c r="F204" s="31" t="n">
        <v>323</v>
      </c>
      <c r="G204" s="57" t="n">
        <v>4457.4</v>
      </c>
      <c r="H204" s="58">
        <f>IF(AND(OR('Панель BI'!$C$6="Все","июнь 2026"='Панель BI'!$C$6),OR('Панель BI'!$F$6="Все",$B204='Панель BI'!$F$6),OR('Панель BI'!$I$6="Все",$C204='Панель BI'!$I$6)),1,0)</f>
        <v/>
      </c>
      <c r="I204" s="58">
        <f>IF(AND(OR('Панель BI'!$F$6="Все",$B204='Панель BI'!$F$6),OR('Панель BI'!$I$6="Все",$C204='Панель BI'!$I$6)),1,0)</f>
        <v/>
      </c>
    </row>
    <row r="205">
      <c r="A205" s="25" t="inlineStr">
        <is>
          <t>2026-06</t>
        </is>
      </c>
      <c r="B205" s="25" t="inlineStr">
        <is>
          <t>Орхей</t>
        </is>
      </c>
      <c r="C205" s="25" t="inlineStr">
        <is>
          <t>A92</t>
        </is>
      </c>
      <c r="D205" s="31" t="n">
        <v>192527</v>
      </c>
      <c r="E205" s="31" t="n">
        <v>38</v>
      </c>
      <c r="F205" s="31" t="n">
        <v>473</v>
      </c>
      <c r="G205" s="57" t="n">
        <v>11446.6</v>
      </c>
      <c r="H205" s="58">
        <f>IF(AND(OR('Панель BI'!$C$6="Все","июнь 2026"='Панель BI'!$C$6),OR('Панель BI'!$F$6="Все",$B205='Панель BI'!$F$6),OR('Панель BI'!$I$6="Все",$C205='Панель BI'!$I$6)),1,0)</f>
        <v/>
      </c>
      <c r="I205" s="58">
        <f>IF(AND(OR('Панель BI'!$F$6="Все",$B205='Панель BI'!$F$6),OR('Панель BI'!$I$6="Все",$C205='Панель BI'!$I$6)),1,0)</f>
        <v/>
      </c>
    </row>
    <row r="206">
      <c r="A206" s="25" t="inlineStr">
        <is>
          <t>2026-06</t>
        </is>
      </c>
      <c r="B206" s="25" t="inlineStr">
        <is>
          <t>Орхей</t>
        </is>
      </c>
      <c r="C206" s="25" t="inlineStr">
        <is>
          <t>A95</t>
        </is>
      </c>
      <c r="D206" s="31" t="n">
        <v>200222</v>
      </c>
      <c r="E206" s="31" t="n">
        <v>41</v>
      </c>
      <c r="F206" s="31" t="n">
        <v>778</v>
      </c>
      <c r="G206" s="57" t="n">
        <v>19527.8</v>
      </c>
      <c r="H206" s="58">
        <f>IF(AND(OR('Панель BI'!$C$6="Все","июнь 2026"='Панель BI'!$C$6),OR('Панель BI'!$F$6="Все",$B206='Панель BI'!$F$6),OR('Панель BI'!$I$6="Все",$C206='Панель BI'!$I$6)),1,0)</f>
        <v/>
      </c>
      <c r="I206" s="58">
        <f>IF(AND(OR('Панель BI'!$F$6="Все",$B206='Панель BI'!$F$6),OR('Панель BI'!$I$6="Все",$C206='Панель BI'!$I$6)),1,0)</f>
        <v/>
      </c>
    </row>
    <row r="207">
      <c r="A207" s="25" t="inlineStr">
        <is>
          <t>2026-06</t>
        </is>
      </c>
      <c r="B207" s="25" t="inlineStr">
        <is>
          <t>Орхей</t>
        </is>
      </c>
      <c r="C207" s="25" t="inlineStr">
        <is>
          <t>DIESEL</t>
        </is>
      </c>
      <c r="D207" s="31" t="n">
        <v>253290</v>
      </c>
      <c r="E207" s="31" t="n">
        <v>50</v>
      </c>
      <c r="F207" s="31" t="n">
        <v>710</v>
      </c>
      <c r="G207" s="57" t="n">
        <v>16614</v>
      </c>
      <c r="H207" s="58">
        <f>IF(AND(OR('Панель BI'!$C$6="Все","июнь 2026"='Панель BI'!$C$6),OR('Панель BI'!$F$6="Все",$B207='Панель BI'!$F$6),OR('Панель BI'!$I$6="Все",$C207='Панель BI'!$I$6)),1,0)</f>
        <v/>
      </c>
      <c r="I207" s="58">
        <f>IF(AND(OR('Панель BI'!$F$6="Все",$B207='Панель BI'!$F$6),OR('Панель BI'!$I$6="Все",$C207='Панель BI'!$I$6)),1,0)</f>
        <v/>
      </c>
    </row>
    <row r="208">
      <c r="A208" s="25" t="inlineStr">
        <is>
          <t>2026-06</t>
        </is>
      </c>
      <c r="B208" s="25" t="inlineStr">
        <is>
          <t>Унгень</t>
        </is>
      </c>
      <c r="C208" s="25" t="inlineStr">
        <is>
          <t>A92</t>
        </is>
      </c>
      <c r="D208" s="31" t="n">
        <v>187510</v>
      </c>
      <c r="E208" s="31" t="n">
        <v>38</v>
      </c>
      <c r="F208" s="31" t="n">
        <v>490</v>
      </c>
      <c r="G208" s="57" t="n">
        <v>11858</v>
      </c>
      <c r="H208" s="58">
        <f>IF(AND(OR('Панель BI'!$C$6="Все","июнь 2026"='Панель BI'!$C$6),OR('Панель BI'!$F$6="Все",$B208='Панель BI'!$F$6),OR('Панель BI'!$I$6="Все",$C208='Панель BI'!$I$6)),1,0)</f>
        <v/>
      </c>
      <c r="I208" s="58">
        <f>IF(AND(OR('Панель BI'!$F$6="Все",$B208='Панель BI'!$F$6),OR('Панель BI'!$I$6="Все",$C208='Панель BI'!$I$6)),1,0)</f>
        <v/>
      </c>
    </row>
    <row r="209">
      <c r="A209" s="25" t="inlineStr">
        <is>
          <t>2026-06</t>
        </is>
      </c>
      <c r="B209" s="25" t="inlineStr">
        <is>
          <t>Унгень</t>
        </is>
      </c>
      <c r="C209" s="25" t="inlineStr">
        <is>
          <t>A95</t>
        </is>
      </c>
      <c r="D209" s="31" t="n">
        <v>185498</v>
      </c>
      <c r="E209" s="31" t="n">
        <v>37</v>
      </c>
      <c r="F209" s="31" t="n">
        <v>502</v>
      </c>
      <c r="G209" s="57" t="n">
        <v>12600.2</v>
      </c>
      <c r="H209" s="58">
        <f>IF(AND(OR('Панель BI'!$C$6="Все","июнь 2026"='Панель BI'!$C$6),OR('Панель BI'!$F$6="Все",$B209='Панель BI'!$F$6),OR('Панель BI'!$I$6="Все",$C209='Панель BI'!$I$6)),1,0)</f>
        <v/>
      </c>
      <c r="I209" s="58">
        <f>IF(AND(OR('Панель BI'!$F$6="Все",$B209='Панель BI'!$F$6),OR('Панель BI'!$I$6="Все",$C209='Панель BI'!$I$6)),1,0)</f>
        <v/>
      </c>
    </row>
    <row r="210">
      <c r="A210" s="25" t="inlineStr">
        <is>
          <t>2026-06</t>
        </is>
      </c>
      <c r="B210" s="25" t="inlineStr">
        <is>
          <t>Унгень</t>
        </is>
      </c>
      <c r="C210" s="25" t="inlineStr">
        <is>
          <t>DIESEL</t>
        </is>
      </c>
      <c r="D210" s="31" t="n">
        <v>225908</v>
      </c>
      <c r="E210" s="31" t="n">
        <v>45</v>
      </c>
      <c r="F210" s="31" t="n">
        <v>1092</v>
      </c>
      <c r="G210" s="57" t="n">
        <v>25552.8</v>
      </c>
      <c r="H210" s="58">
        <f>IF(AND(OR('Панель BI'!$C$6="Все","июнь 2026"='Панель BI'!$C$6),OR('Панель BI'!$F$6="Все",$B210='Панель BI'!$F$6),OR('Панель BI'!$I$6="Все",$C210='Панель BI'!$I$6)),1,0)</f>
        <v/>
      </c>
      <c r="I210" s="58">
        <f>IF(AND(OR('Панель BI'!$F$6="Все",$B210='Панель BI'!$F$6),OR('Панель BI'!$I$6="Все",$C210='Панель BI'!$I$6)),1,0)</f>
        <v/>
      </c>
    </row>
    <row r="211">
      <c r="A211" s="25" t="inlineStr">
        <is>
          <t>2026-06</t>
        </is>
      </c>
      <c r="B211" s="25" t="inlineStr">
        <is>
          <t>Унгень</t>
        </is>
      </c>
      <c r="C211" s="25" t="inlineStr">
        <is>
          <t>GPL</t>
        </is>
      </c>
      <c r="D211" s="31" t="n">
        <v>48532</v>
      </c>
      <c r="E211" s="31" t="n">
        <v>10</v>
      </c>
      <c r="F211" s="31" t="n">
        <v>468</v>
      </c>
      <c r="G211" s="57" t="n">
        <v>6458.4</v>
      </c>
      <c r="H211" s="58">
        <f>IF(AND(OR('Панель BI'!$C$6="Все","июнь 2026"='Панель BI'!$C$6),OR('Панель BI'!$F$6="Все",$B211='Панель BI'!$F$6),OR('Панель BI'!$I$6="Все",$C211='Панель BI'!$I$6)),1,0)</f>
        <v/>
      </c>
      <c r="I211" s="58">
        <f>IF(AND(OR('Панель BI'!$F$6="Все",$B211='Панель BI'!$F$6),OR('Панель BI'!$I$6="Все",$C211='Панель BI'!$I$6)),1,0)</f>
        <v/>
      </c>
    </row>
    <row r="212">
      <c r="A212" s="25" t="inlineStr">
        <is>
          <t>2026-07</t>
        </is>
      </c>
      <c r="B212" s="25" t="inlineStr">
        <is>
          <t>Бэлць</t>
        </is>
      </c>
      <c r="C212" s="25" t="inlineStr">
        <is>
          <t>A92</t>
        </is>
      </c>
      <c r="D212" s="31" t="n">
        <v>211423</v>
      </c>
      <c r="E212" s="31" t="n">
        <v>41</v>
      </c>
      <c r="F212" s="31" t="n">
        <v>577</v>
      </c>
      <c r="G212" s="57" t="n">
        <v>13963.4</v>
      </c>
      <c r="H212" s="58">
        <f>IF(AND(OR('Панель BI'!$C$6="Все","июль 2026"='Панель BI'!$C$6),OR('Панель BI'!$F$6="Все",$B212='Панель BI'!$F$6),OR('Панель BI'!$I$6="Все",$C212='Панель BI'!$I$6)),1,0)</f>
        <v/>
      </c>
      <c r="I212" s="58">
        <f>IF(AND(OR('Панель BI'!$F$6="Все",$B212='Панель BI'!$F$6),OR('Панель BI'!$I$6="Все",$C212='Панель BI'!$I$6)),1,0)</f>
        <v/>
      </c>
    </row>
    <row r="213">
      <c r="A213" s="25" t="inlineStr">
        <is>
          <t>2026-07</t>
        </is>
      </c>
      <c r="B213" s="25" t="inlineStr">
        <is>
          <t>Бэлць</t>
        </is>
      </c>
      <c r="C213" s="25" t="inlineStr">
        <is>
          <t>A95</t>
        </is>
      </c>
      <c r="D213" s="31" t="n">
        <v>231342</v>
      </c>
      <c r="E213" s="31" t="n">
        <v>46</v>
      </c>
      <c r="F213" s="31" t="n">
        <v>658</v>
      </c>
      <c r="G213" s="57" t="n">
        <v>16515.8</v>
      </c>
      <c r="H213" s="58">
        <f>IF(AND(OR('Панель BI'!$C$6="Все","июль 2026"='Панель BI'!$C$6),OR('Панель BI'!$F$6="Все",$B213='Панель BI'!$F$6),OR('Панель BI'!$I$6="Все",$C213='Панель BI'!$I$6)),1,0)</f>
        <v/>
      </c>
      <c r="I213" s="58">
        <f>IF(AND(OR('Панель BI'!$F$6="Все",$B213='Панель BI'!$F$6),OR('Панель BI'!$I$6="Все",$C213='Панель BI'!$I$6)),1,0)</f>
        <v/>
      </c>
    </row>
    <row r="214">
      <c r="A214" s="25" t="inlineStr">
        <is>
          <t>2026-07</t>
        </is>
      </c>
      <c r="B214" s="25" t="inlineStr">
        <is>
          <t>Бэлць</t>
        </is>
      </c>
      <c r="C214" s="25" t="inlineStr">
        <is>
          <t>DIESEL</t>
        </is>
      </c>
      <c r="D214" s="31" t="n">
        <v>199418</v>
      </c>
      <c r="E214" s="31" t="n">
        <v>40</v>
      </c>
      <c r="F214" s="31" t="n">
        <v>582</v>
      </c>
      <c r="G214" s="57" t="n">
        <v>13618.8</v>
      </c>
      <c r="H214" s="58">
        <f>IF(AND(OR('Панель BI'!$C$6="Все","июль 2026"='Панель BI'!$C$6),OR('Панель BI'!$F$6="Все",$B214='Панель BI'!$F$6),OR('Панель BI'!$I$6="Все",$C214='Панель BI'!$I$6)),1,0)</f>
        <v/>
      </c>
      <c r="I214" s="58">
        <f>IF(AND(OR('Панель BI'!$F$6="Все",$B214='Панель BI'!$F$6),OR('Панель BI'!$I$6="Все",$C214='Панель BI'!$I$6)),1,0)</f>
        <v/>
      </c>
    </row>
    <row r="215">
      <c r="A215" s="25" t="inlineStr">
        <is>
          <t>2026-07</t>
        </is>
      </c>
      <c r="B215" s="25" t="inlineStr">
        <is>
          <t>Кагул</t>
        </is>
      </c>
      <c r="C215" s="25" t="inlineStr">
        <is>
          <t>A92</t>
        </is>
      </c>
      <c r="D215" s="31" t="n">
        <v>211183</v>
      </c>
      <c r="E215" s="31" t="n">
        <v>41</v>
      </c>
      <c r="F215" s="31" t="n">
        <v>817</v>
      </c>
      <c r="G215" s="57" t="n">
        <v>19771.4</v>
      </c>
      <c r="H215" s="58">
        <f>IF(AND(OR('Панель BI'!$C$6="Все","июль 2026"='Панель BI'!$C$6),OR('Панель BI'!$F$6="Все",$B215='Панель BI'!$F$6),OR('Панель BI'!$I$6="Все",$C215='Панель BI'!$I$6)),1,0)</f>
        <v/>
      </c>
      <c r="I215" s="58">
        <f>IF(AND(OR('Панель BI'!$F$6="Все",$B215='Панель BI'!$F$6),OR('Панель BI'!$I$6="Все",$C215='Панель BI'!$I$6)),1,0)</f>
        <v/>
      </c>
    </row>
    <row r="216">
      <c r="A216" s="25" t="inlineStr">
        <is>
          <t>2026-07</t>
        </is>
      </c>
      <c r="B216" s="25" t="inlineStr">
        <is>
          <t>Кагул</t>
        </is>
      </c>
      <c r="C216" s="25" t="inlineStr">
        <is>
          <t>A95</t>
        </is>
      </c>
      <c r="D216" s="31" t="n">
        <v>180859</v>
      </c>
      <c r="E216" s="31" t="n">
        <v>34</v>
      </c>
      <c r="F216" s="31" t="n">
        <v>455</v>
      </c>
      <c r="G216" s="57" t="n">
        <v>11420.5</v>
      </c>
      <c r="H216" s="58">
        <f>IF(AND(OR('Панель BI'!$C$6="Все","июль 2026"='Панель BI'!$C$6),OR('Панель BI'!$F$6="Все",$B216='Панель BI'!$F$6),OR('Панель BI'!$I$6="Все",$C216='Панель BI'!$I$6)),1,0)</f>
        <v/>
      </c>
      <c r="I216" s="58">
        <f>IF(AND(OR('Панель BI'!$F$6="Все",$B216='Панель BI'!$F$6),OR('Панель BI'!$I$6="Все",$C216='Панель BI'!$I$6)),1,0)</f>
        <v/>
      </c>
    </row>
    <row r="217">
      <c r="A217" s="25" t="inlineStr">
        <is>
          <t>2026-07</t>
        </is>
      </c>
      <c r="B217" s="25" t="inlineStr">
        <is>
          <t>Кагул</t>
        </is>
      </c>
      <c r="C217" s="25" t="inlineStr">
        <is>
          <t>DIESEL</t>
        </is>
      </c>
      <c r="D217" s="31" t="n">
        <v>220148</v>
      </c>
      <c r="E217" s="31" t="n">
        <v>45</v>
      </c>
      <c r="F217" s="31" t="n">
        <v>852</v>
      </c>
      <c r="G217" s="57" t="n">
        <v>19936.8</v>
      </c>
      <c r="H217" s="58">
        <f>IF(AND(OR('Панель BI'!$C$6="Все","июль 2026"='Панель BI'!$C$6),OR('Панель BI'!$F$6="Все",$B217='Панель BI'!$F$6),OR('Панель BI'!$I$6="Все",$C217='Панель BI'!$I$6)),1,0)</f>
        <v/>
      </c>
      <c r="I217" s="58">
        <f>IF(AND(OR('Панель BI'!$F$6="Все",$B217='Панель BI'!$F$6),OR('Панель BI'!$I$6="Все",$C217='Панель BI'!$I$6)),1,0)</f>
        <v/>
      </c>
    </row>
    <row r="218">
      <c r="A218" s="25" t="inlineStr">
        <is>
          <t>2026-07</t>
        </is>
      </c>
      <c r="B218" s="25" t="inlineStr">
        <is>
          <t>Кишинёв</t>
        </is>
      </c>
      <c r="C218" s="25" t="inlineStr">
        <is>
          <t>A92</t>
        </is>
      </c>
      <c r="D218" s="31" t="n">
        <v>286142</v>
      </c>
      <c r="E218" s="31" t="n">
        <v>59</v>
      </c>
      <c r="F218" s="31" t="n">
        <v>858</v>
      </c>
      <c r="G218" s="57" t="n">
        <v>20763.6</v>
      </c>
      <c r="H218" s="58">
        <f>IF(AND(OR('Панель BI'!$C$6="Все","июль 2026"='Панель BI'!$C$6),OR('Панель BI'!$F$6="Все",$B218='Панель BI'!$F$6),OR('Панель BI'!$I$6="Все",$C218='Панель BI'!$I$6)),1,0)</f>
        <v/>
      </c>
      <c r="I218" s="58">
        <f>IF(AND(OR('Панель BI'!$F$6="Все",$B218='Панель BI'!$F$6),OR('Панель BI'!$I$6="Все",$C218='Панель BI'!$I$6)),1,0)</f>
        <v/>
      </c>
    </row>
    <row r="219">
      <c r="A219" s="25" t="inlineStr">
        <is>
          <t>2026-07</t>
        </is>
      </c>
      <c r="B219" s="25" t="inlineStr">
        <is>
          <t>Кишинёв</t>
        </is>
      </c>
      <c r="C219" s="25" t="inlineStr">
        <is>
          <t>A95</t>
        </is>
      </c>
      <c r="D219" s="31" t="n">
        <v>212114</v>
      </c>
      <c r="E219" s="31" t="n">
        <v>42</v>
      </c>
      <c r="F219" s="31" t="n">
        <v>886</v>
      </c>
      <c r="G219" s="57" t="n">
        <v>22238.6</v>
      </c>
      <c r="H219" s="58">
        <f>IF(AND(OR('Панель BI'!$C$6="Все","июль 2026"='Панель BI'!$C$6),OR('Панель BI'!$F$6="Все",$B219='Панель BI'!$F$6),OR('Панель BI'!$I$6="Все",$C219='Панель BI'!$I$6)),1,0)</f>
        <v/>
      </c>
      <c r="I219" s="58">
        <f>IF(AND(OR('Панель BI'!$F$6="Все",$B219='Панель BI'!$F$6),OR('Панель BI'!$I$6="Все",$C219='Панель BI'!$I$6)),1,0)</f>
        <v/>
      </c>
    </row>
    <row r="220">
      <c r="A220" s="25" t="inlineStr">
        <is>
          <t>2026-07</t>
        </is>
      </c>
      <c r="B220" s="25" t="inlineStr">
        <is>
          <t>Кишинёв</t>
        </is>
      </c>
      <c r="C220" s="25" t="inlineStr">
        <is>
          <t>DIESEL</t>
        </is>
      </c>
      <c r="D220" s="31" t="n">
        <v>269928</v>
      </c>
      <c r="E220" s="31" t="n">
        <v>56</v>
      </c>
      <c r="F220" s="31" t="n">
        <v>1072</v>
      </c>
      <c r="G220" s="57" t="n">
        <v>25084.8</v>
      </c>
      <c r="H220" s="58">
        <f>IF(AND(OR('Панель BI'!$C$6="Все","июль 2026"='Панель BI'!$C$6),OR('Панель BI'!$F$6="Все",$B220='Панель BI'!$F$6),OR('Панель BI'!$I$6="Все",$C220='Панель BI'!$I$6)),1,0)</f>
        <v/>
      </c>
      <c r="I220" s="58">
        <f>IF(AND(OR('Панель BI'!$F$6="Все",$B220='Панель BI'!$F$6),OR('Панель BI'!$I$6="Все",$C220='Панель BI'!$I$6)),1,0)</f>
        <v/>
      </c>
    </row>
    <row r="221">
      <c r="A221" s="25" t="inlineStr">
        <is>
          <t>2026-07</t>
        </is>
      </c>
      <c r="B221" s="25" t="inlineStr">
        <is>
          <t>Кишинёв</t>
        </is>
      </c>
      <c r="C221" s="25" t="inlineStr">
        <is>
          <t>GPL</t>
        </is>
      </c>
      <c r="D221" s="31" t="n">
        <v>40874</v>
      </c>
      <c r="E221" s="31" t="n">
        <v>8</v>
      </c>
      <c r="F221" s="31" t="n">
        <v>126</v>
      </c>
      <c r="G221" s="57" t="n">
        <v>1738.8</v>
      </c>
      <c r="H221" s="58">
        <f>IF(AND(OR('Панель BI'!$C$6="Все","июль 2026"='Панель BI'!$C$6),OR('Панель BI'!$F$6="Все",$B221='Панель BI'!$F$6),OR('Панель BI'!$I$6="Все",$C221='Панель BI'!$I$6)),1,0)</f>
        <v/>
      </c>
      <c r="I221" s="58">
        <f>IF(AND(OR('Панель BI'!$F$6="Все",$B221='Панель BI'!$F$6),OR('Панель BI'!$I$6="Все",$C221='Панель BI'!$I$6)),1,0)</f>
        <v/>
      </c>
    </row>
    <row r="222">
      <c r="A222" s="25" t="inlineStr">
        <is>
          <t>2026-07</t>
        </is>
      </c>
      <c r="B222" s="25" t="inlineStr">
        <is>
          <t>Комрат</t>
        </is>
      </c>
      <c r="C222" s="25" t="inlineStr">
        <is>
          <t>A92</t>
        </is>
      </c>
      <c r="D222" s="31" t="n">
        <v>200423</v>
      </c>
      <c r="E222" s="31" t="n">
        <v>43</v>
      </c>
      <c r="F222" s="31" t="n">
        <v>577</v>
      </c>
      <c r="G222" s="57" t="n">
        <v>13963.4</v>
      </c>
      <c r="H222" s="58">
        <f>IF(AND(OR('Панель BI'!$C$6="Все","июль 2026"='Панель BI'!$C$6),OR('Панель BI'!$F$6="Все",$B222='Панель BI'!$F$6),OR('Панель BI'!$I$6="Все",$C222='Панель BI'!$I$6)),1,0)</f>
        <v/>
      </c>
      <c r="I222" s="58">
        <f>IF(AND(OR('Панель BI'!$F$6="Все",$B222='Панель BI'!$F$6),OR('Панель BI'!$I$6="Все",$C222='Панель BI'!$I$6)),1,0)</f>
        <v/>
      </c>
    </row>
    <row r="223">
      <c r="A223" s="25" t="inlineStr">
        <is>
          <t>2026-07</t>
        </is>
      </c>
      <c r="B223" s="25" t="inlineStr">
        <is>
          <t>Комрат</t>
        </is>
      </c>
      <c r="C223" s="25" t="inlineStr">
        <is>
          <t>A95</t>
        </is>
      </c>
      <c r="D223" s="31" t="n">
        <v>187394</v>
      </c>
      <c r="E223" s="31" t="n">
        <v>37</v>
      </c>
      <c r="F223" s="31" t="n">
        <v>606</v>
      </c>
      <c r="G223" s="57" t="n">
        <v>15210.6</v>
      </c>
      <c r="H223" s="58">
        <f>IF(AND(OR('Панель BI'!$C$6="Все","июль 2026"='Панель BI'!$C$6),OR('Панель BI'!$F$6="Все",$B223='Панель BI'!$F$6),OR('Панель BI'!$I$6="Все",$C223='Панель BI'!$I$6)),1,0)</f>
        <v/>
      </c>
      <c r="I223" s="58">
        <f>IF(AND(OR('Панель BI'!$F$6="Все",$B223='Панель BI'!$F$6),OR('Панель BI'!$I$6="Все",$C223='Панель BI'!$I$6)),1,0)</f>
        <v/>
      </c>
    </row>
    <row r="224">
      <c r="A224" s="25" t="inlineStr">
        <is>
          <t>2026-07</t>
        </is>
      </c>
      <c r="B224" s="25" t="inlineStr">
        <is>
          <t>Комрат</t>
        </is>
      </c>
      <c r="C224" s="25" t="inlineStr">
        <is>
          <t>DIESEL</t>
        </is>
      </c>
      <c r="D224" s="31" t="n">
        <v>212357</v>
      </c>
      <c r="E224" s="31" t="n">
        <v>45</v>
      </c>
      <c r="F224" s="31" t="n">
        <v>643</v>
      </c>
      <c r="G224" s="57" t="n">
        <v>15046.2</v>
      </c>
      <c r="H224" s="58">
        <f>IF(AND(OR('Панель BI'!$C$6="Все","июль 2026"='Панель BI'!$C$6),OR('Панель BI'!$F$6="Все",$B224='Панель BI'!$F$6),OR('Панель BI'!$I$6="Все",$C224='Панель BI'!$I$6)),1,0)</f>
        <v/>
      </c>
      <c r="I224" s="58">
        <f>IF(AND(OR('Панель BI'!$F$6="Все",$B224='Панель BI'!$F$6),OR('Панель BI'!$I$6="Все",$C224='Панель BI'!$I$6)),1,0)</f>
        <v/>
      </c>
    </row>
    <row r="225">
      <c r="A225" s="25" t="inlineStr">
        <is>
          <t>2026-07</t>
        </is>
      </c>
      <c r="B225" s="25" t="inlineStr">
        <is>
          <t>Комрат</t>
        </is>
      </c>
      <c r="C225" s="25" t="inlineStr">
        <is>
          <t>GPL</t>
        </is>
      </c>
      <c r="D225" s="31" t="n">
        <v>178458</v>
      </c>
      <c r="E225" s="31" t="n">
        <v>37</v>
      </c>
      <c r="F225" s="31" t="n">
        <v>542</v>
      </c>
      <c r="G225" s="57" t="n">
        <v>7479.6</v>
      </c>
      <c r="H225" s="58">
        <f>IF(AND(OR('Панель BI'!$C$6="Все","июль 2026"='Панель BI'!$C$6),OR('Панель BI'!$F$6="Все",$B225='Панель BI'!$F$6),OR('Панель BI'!$I$6="Все",$C225='Панель BI'!$I$6)),1,0)</f>
        <v/>
      </c>
      <c r="I225" s="58">
        <f>IF(AND(OR('Панель BI'!$F$6="Все",$B225='Панель BI'!$F$6),OR('Панель BI'!$I$6="Все",$C225='Панель BI'!$I$6)),1,0)</f>
        <v/>
      </c>
    </row>
    <row r="226">
      <c r="A226" s="25" t="inlineStr">
        <is>
          <t>2026-07</t>
        </is>
      </c>
      <c r="B226" s="25" t="inlineStr">
        <is>
          <t>Орхей</t>
        </is>
      </c>
      <c r="C226" s="25" t="inlineStr">
        <is>
          <t>A92</t>
        </is>
      </c>
      <c r="D226" s="31" t="n">
        <v>226380</v>
      </c>
      <c r="E226" s="31" t="n">
        <v>45</v>
      </c>
      <c r="F226" s="31" t="n">
        <v>620</v>
      </c>
      <c r="G226" s="57" t="n">
        <v>15004</v>
      </c>
      <c r="H226" s="58">
        <f>IF(AND(OR('Панель BI'!$C$6="Все","июль 2026"='Панель BI'!$C$6),OR('Панель BI'!$F$6="Все",$B226='Панель BI'!$F$6),OR('Панель BI'!$I$6="Все",$C226='Панель BI'!$I$6)),1,0)</f>
        <v/>
      </c>
      <c r="I226" s="58">
        <f>IF(AND(OR('Панель BI'!$F$6="Все",$B226='Панель BI'!$F$6),OR('Панель BI'!$I$6="Все",$C226='Панель BI'!$I$6)),1,0)</f>
        <v/>
      </c>
    </row>
    <row r="227">
      <c r="A227" s="25" t="inlineStr">
        <is>
          <t>2026-07</t>
        </is>
      </c>
      <c r="B227" s="25" t="inlineStr">
        <is>
          <t>Орхей</t>
        </is>
      </c>
      <c r="C227" s="25" t="inlineStr">
        <is>
          <t>A95</t>
        </is>
      </c>
      <c r="D227" s="31" t="n">
        <v>207101</v>
      </c>
      <c r="E227" s="31" t="n">
        <v>44</v>
      </c>
      <c r="F227" s="31" t="n">
        <v>899</v>
      </c>
      <c r="G227" s="57" t="n">
        <v>22564.9</v>
      </c>
      <c r="H227" s="58">
        <f>IF(AND(OR('Панель BI'!$C$6="Все","июль 2026"='Панель BI'!$C$6),OR('Панель BI'!$F$6="Все",$B227='Панель BI'!$F$6),OR('Панель BI'!$I$6="Все",$C227='Панель BI'!$I$6)),1,0)</f>
        <v/>
      </c>
      <c r="I227" s="58">
        <f>IF(AND(OR('Панель BI'!$F$6="Все",$B227='Панель BI'!$F$6),OR('Панель BI'!$I$6="Все",$C227='Панель BI'!$I$6)),1,0)</f>
        <v/>
      </c>
    </row>
    <row r="228">
      <c r="A228" s="25" t="inlineStr">
        <is>
          <t>2026-07</t>
        </is>
      </c>
      <c r="B228" s="25" t="inlineStr">
        <is>
          <t>Орхей</t>
        </is>
      </c>
      <c r="C228" s="25" t="inlineStr">
        <is>
          <t>DIESEL</t>
        </is>
      </c>
      <c r="D228" s="31" t="n">
        <v>250210</v>
      </c>
      <c r="E228" s="31" t="n">
        <v>51</v>
      </c>
      <c r="F228" s="31" t="n">
        <v>790</v>
      </c>
      <c r="G228" s="57" t="n">
        <v>18486</v>
      </c>
      <c r="H228" s="58">
        <f>IF(AND(OR('Панель BI'!$C$6="Все","июль 2026"='Панель BI'!$C$6),OR('Панель BI'!$F$6="Все",$B228='Панель BI'!$F$6),OR('Панель BI'!$I$6="Все",$C228='Панель BI'!$I$6)),1,0)</f>
        <v/>
      </c>
      <c r="I228" s="58">
        <f>IF(AND(OR('Панель BI'!$F$6="Все",$B228='Панель BI'!$F$6),OR('Панель BI'!$I$6="Все",$C228='Панель BI'!$I$6)),1,0)</f>
        <v/>
      </c>
    </row>
    <row r="229">
      <c r="A229" s="25" t="inlineStr">
        <is>
          <t>2026-07</t>
        </is>
      </c>
      <c r="B229" s="25" t="inlineStr">
        <is>
          <t>Унгень</t>
        </is>
      </c>
      <c r="C229" s="25" t="inlineStr">
        <is>
          <t>A92</t>
        </is>
      </c>
      <c r="D229" s="31" t="n">
        <v>271786</v>
      </c>
      <c r="E229" s="31" t="n">
        <v>57</v>
      </c>
      <c r="F229" s="31" t="n">
        <v>1214</v>
      </c>
      <c r="G229" s="57" t="n">
        <v>29378.8</v>
      </c>
      <c r="H229" s="58">
        <f>IF(AND(OR('Панель BI'!$C$6="Все","июль 2026"='Панель BI'!$C$6),OR('Панель BI'!$F$6="Все",$B229='Панель BI'!$F$6),OR('Панель BI'!$I$6="Все",$C229='Панель BI'!$I$6)),1,0)</f>
        <v/>
      </c>
      <c r="I229" s="58">
        <f>IF(AND(OR('Панель BI'!$F$6="Все",$B229='Панель BI'!$F$6),OR('Панель BI'!$I$6="Все",$C229='Панель BI'!$I$6)),1,0)</f>
        <v/>
      </c>
    </row>
    <row r="230">
      <c r="A230" s="25" t="inlineStr">
        <is>
          <t>2026-07</t>
        </is>
      </c>
      <c r="B230" s="25" t="inlineStr">
        <is>
          <t>Унгень</t>
        </is>
      </c>
      <c r="C230" s="25" t="inlineStr">
        <is>
          <t>A95</t>
        </is>
      </c>
      <c r="D230" s="31" t="n">
        <v>222515</v>
      </c>
      <c r="E230" s="31" t="n">
        <v>46</v>
      </c>
      <c r="F230" s="31" t="n">
        <v>1485</v>
      </c>
      <c r="G230" s="57" t="n">
        <v>37273.5</v>
      </c>
      <c r="H230" s="58">
        <f>IF(AND(OR('Панель BI'!$C$6="Все","июль 2026"='Панель BI'!$C$6),OR('Панель BI'!$F$6="Все",$B230='Панель BI'!$F$6),OR('Панель BI'!$I$6="Все",$C230='Панель BI'!$I$6)),1,0)</f>
        <v/>
      </c>
      <c r="I230" s="58">
        <f>IF(AND(OR('Панель BI'!$F$6="Все",$B230='Панель BI'!$F$6),OR('Панель BI'!$I$6="Все",$C230='Панель BI'!$I$6)),1,0)</f>
        <v/>
      </c>
    </row>
    <row r="231">
      <c r="A231" s="25" t="inlineStr">
        <is>
          <t>2026-07</t>
        </is>
      </c>
      <c r="B231" s="25" t="inlineStr">
        <is>
          <t>Унгень</t>
        </is>
      </c>
      <c r="C231" s="25" t="inlineStr">
        <is>
          <t>DIESEL</t>
        </is>
      </c>
      <c r="D231" s="31" t="n">
        <v>185310</v>
      </c>
      <c r="E231" s="31" t="n">
        <v>38</v>
      </c>
      <c r="F231" s="31" t="n">
        <v>690</v>
      </c>
      <c r="G231" s="57" t="n">
        <v>16146</v>
      </c>
      <c r="H231" s="58">
        <f>IF(AND(OR('Панель BI'!$C$6="Все","июль 2026"='Панель BI'!$C$6),OR('Панель BI'!$F$6="Все",$B231='Панель BI'!$F$6),OR('Панель BI'!$I$6="Все",$C231='Панель BI'!$I$6)),1,0)</f>
        <v/>
      </c>
      <c r="I231" s="58">
        <f>IF(AND(OR('Панель BI'!$F$6="Все",$B231='Панель BI'!$F$6),OR('Панель BI'!$I$6="Все",$C231='Панель BI'!$I$6)),1,0)</f>
        <v/>
      </c>
    </row>
    <row r="232">
      <c r="A232" s="25" t="inlineStr">
        <is>
          <t>2026-07</t>
        </is>
      </c>
      <c r="B232" s="25" t="inlineStr">
        <is>
          <t>Унгень</t>
        </is>
      </c>
      <c r="C232" s="25" t="inlineStr">
        <is>
          <t>GPL</t>
        </is>
      </c>
      <c r="D232" s="31" t="n">
        <v>47865</v>
      </c>
      <c r="E232" s="31" t="n">
        <v>10</v>
      </c>
      <c r="F232" s="31" t="n">
        <v>135</v>
      </c>
      <c r="G232" s="57" t="n">
        <v>1863</v>
      </c>
      <c r="H232" s="58">
        <f>IF(AND(OR('Панель BI'!$C$6="Все","июль 2026"='Панель BI'!$C$6),OR('Панель BI'!$F$6="Все",$B232='Панель BI'!$F$6),OR('Панель BI'!$I$6="Все",$C232='Панель BI'!$I$6)),1,0)</f>
        <v/>
      </c>
      <c r="I232" s="58">
        <f>IF(AND(OR('Панель BI'!$F$6="Все",$B232='Панель BI'!$F$6),OR('Панель BI'!$I$6="Все",$C232='Панель BI'!$I$6)),1,0)</f>
        <v/>
      </c>
    </row>
    <row r="233">
      <c r="A233" s="25" t="inlineStr">
        <is>
          <t>2026-08</t>
        </is>
      </c>
      <c r="B233" s="25" t="inlineStr">
        <is>
          <t>Бэлць</t>
        </is>
      </c>
      <c r="C233" s="25" t="inlineStr">
        <is>
          <t>A92</t>
        </is>
      </c>
      <c r="D233" s="31" t="n">
        <v>178095</v>
      </c>
      <c r="E233" s="31" t="n">
        <v>36</v>
      </c>
      <c r="F233" s="31" t="n">
        <v>905</v>
      </c>
      <c r="G233" s="57" t="n">
        <v>21901</v>
      </c>
      <c r="H233" s="58">
        <f>IF(AND(OR('Панель BI'!$C$6="Все","август 2026"='Панель BI'!$C$6),OR('Панель BI'!$F$6="Все",$B233='Панель BI'!$F$6),OR('Панель BI'!$I$6="Все",$C233='Панель BI'!$I$6)),1,0)</f>
        <v/>
      </c>
      <c r="I233" s="58">
        <f>IF(AND(OR('Панель BI'!$F$6="Все",$B233='Панель BI'!$F$6),OR('Панель BI'!$I$6="Все",$C233='Панель BI'!$I$6)),1,0)</f>
        <v/>
      </c>
    </row>
    <row r="234">
      <c r="A234" s="25" t="inlineStr">
        <is>
          <t>2026-08</t>
        </is>
      </c>
      <c r="B234" s="25" t="inlineStr">
        <is>
          <t>Бэлць</t>
        </is>
      </c>
      <c r="C234" s="25" t="inlineStr">
        <is>
          <t>A95</t>
        </is>
      </c>
      <c r="D234" s="31" t="n">
        <v>235391</v>
      </c>
      <c r="E234" s="31" t="n">
        <v>45</v>
      </c>
      <c r="F234" s="31" t="n">
        <v>609</v>
      </c>
      <c r="G234" s="57" t="n">
        <v>15285.9</v>
      </c>
      <c r="H234" s="58">
        <f>IF(AND(OR('Панель BI'!$C$6="Все","август 2026"='Панель BI'!$C$6),OR('Панель BI'!$F$6="Все",$B234='Панель BI'!$F$6),OR('Панель BI'!$I$6="Все",$C234='Панель BI'!$I$6)),1,0)</f>
        <v/>
      </c>
      <c r="I234" s="58">
        <f>IF(AND(OR('Панель BI'!$F$6="Все",$B234='Панель BI'!$F$6),OR('Панель BI'!$I$6="Все",$C234='Панель BI'!$I$6)),1,0)</f>
        <v/>
      </c>
    </row>
    <row r="235">
      <c r="A235" s="25" t="inlineStr">
        <is>
          <t>2026-08</t>
        </is>
      </c>
      <c r="B235" s="25" t="inlineStr">
        <is>
          <t>Бэлць</t>
        </is>
      </c>
      <c r="C235" s="25" t="inlineStr">
        <is>
          <t>DIESEL</t>
        </is>
      </c>
      <c r="D235" s="31" t="n">
        <v>196937</v>
      </c>
      <c r="E235" s="31" t="n">
        <v>40</v>
      </c>
      <c r="F235" s="31" t="n">
        <v>1063</v>
      </c>
      <c r="G235" s="57" t="n">
        <v>24874.2</v>
      </c>
      <c r="H235" s="58">
        <f>IF(AND(OR('Панель BI'!$C$6="Все","август 2026"='Панель BI'!$C$6),OR('Панель BI'!$F$6="Все",$B235='Панель BI'!$F$6),OR('Панель BI'!$I$6="Все",$C235='Панель BI'!$I$6)),1,0)</f>
        <v/>
      </c>
      <c r="I235" s="58">
        <f>IF(AND(OR('Панель BI'!$F$6="Все",$B235='Панель BI'!$F$6),OR('Панель BI'!$I$6="Все",$C235='Панель BI'!$I$6)),1,0)</f>
        <v/>
      </c>
    </row>
    <row r="236">
      <c r="A236" s="25" t="inlineStr">
        <is>
          <t>2026-08</t>
        </is>
      </c>
      <c r="B236" s="25" t="inlineStr">
        <is>
          <t>Кагул</t>
        </is>
      </c>
      <c r="C236" s="25" t="inlineStr">
        <is>
          <t>A92</t>
        </is>
      </c>
      <c r="D236" s="31" t="n">
        <v>171518</v>
      </c>
      <c r="E236" s="31" t="n">
        <v>36</v>
      </c>
      <c r="F236" s="31" t="n">
        <v>482</v>
      </c>
      <c r="G236" s="57" t="n">
        <v>11664.4</v>
      </c>
      <c r="H236" s="58">
        <f>IF(AND(OR('Панель BI'!$C$6="Все","август 2026"='Панель BI'!$C$6),OR('Панель BI'!$F$6="Все",$B236='Панель BI'!$F$6),OR('Панель BI'!$I$6="Все",$C236='Панель BI'!$I$6)),1,0)</f>
        <v/>
      </c>
      <c r="I236" s="58">
        <f>IF(AND(OR('Панель BI'!$F$6="Все",$B236='Панель BI'!$F$6),OR('Панель BI'!$I$6="Все",$C236='Панель BI'!$I$6)),1,0)</f>
        <v/>
      </c>
    </row>
    <row r="237">
      <c r="A237" s="25" t="inlineStr">
        <is>
          <t>2026-08</t>
        </is>
      </c>
      <c r="B237" s="25" t="inlineStr">
        <is>
          <t>Кагул</t>
        </is>
      </c>
      <c r="C237" s="25" t="inlineStr">
        <is>
          <t>A95</t>
        </is>
      </c>
      <c r="D237" s="31" t="n">
        <v>186357</v>
      </c>
      <c r="E237" s="31" t="n">
        <v>38</v>
      </c>
      <c r="F237" s="31" t="n">
        <v>643</v>
      </c>
      <c r="G237" s="57" t="n">
        <v>16139.3</v>
      </c>
      <c r="H237" s="58">
        <f>IF(AND(OR('Панель BI'!$C$6="Все","август 2026"='Панель BI'!$C$6),OR('Панель BI'!$F$6="Все",$B237='Панель BI'!$F$6),OR('Панель BI'!$I$6="Все",$C237='Панель BI'!$I$6)),1,0)</f>
        <v/>
      </c>
      <c r="I237" s="58">
        <f>IF(AND(OR('Панель BI'!$F$6="Все",$B237='Панель BI'!$F$6),OR('Панель BI'!$I$6="Все",$C237='Панель BI'!$I$6)),1,0)</f>
        <v/>
      </c>
    </row>
    <row r="238">
      <c r="A238" s="25" t="inlineStr">
        <is>
          <t>2026-08</t>
        </is>
      </c>
      <c r="B238" s="25" t="inlineStr">
        <is>
          <t>Кагул</t>
        </is>
      </c>
      <c r="C238" s="25" t="inlineStr">
        <is>
          <t>DIESEL</t>
        </is>
      </c>
      <c r="D238" s="31" t="n">
        <v>194298</v>
      </c>
      <c r="E238" s="31" t="n">
        <v>39</v>
      </c>
      <c r="F238" s="31" t="n">
        <v>702</v>
      </c>
      <c r="G238" s="57" t="n">
        <v>16426.8</v>
      </c>
      <c r="H238" s="58">
        <f>IF(AND(OR('Панель BI'!$C$6="Все","август 2026"='Панель BI'!$C$6),OR('Панель BI'!$F$6="Все",$B238='Панель BI'!$F$6),OR('Панель BI'!$I$6="Все",$C238='Панель BI'!$I$6)),1,0)</f>
        <v/>
      </c>
      <c r="I238" s="58">
        <f>IF(AND(OR('Панель BI'!$F$6="Все",$B238='Панель BI'!$F$6),OR('Панель BI'!$I$6="Все",$C238='Панель BI'!$I$6)),1,0)</f>
        <v/>
      </c>
    </row>
    <row r="239">
      <c r="A239" s="25" t="inlineStr">
        <is>
          <t>2026-08</t>
        </is>
      </c>
      <c r="B239" s="25" t="inlineStr">
        <is>
          <t>Кишинёв</t>
        </is>
      </c>
      <c r="C239" s="25" t="inlineStr">
        <is>
          <t>A92</t>
        </is>
      </c>
      <c r="D239" s="31" t="n">
        <v>216794</v>
      </c>
      <c r="E239" s="31" t="n">
        <v>43</v>
      </c>
      <c r="F239" s="31" t="n">
        <v>1206</v>
      </c>
      <c r="G239" s="57" t="n">
        <v>29185.2</v>
      </c>
      <c r="H239" s="58">
        <f>IF(AND(OR('Панель BI'!$C$6="Все","август 2026"='Панель BI'!$C$6),OR('Панель BI'!$F$6="Все",$B239='Панель BI'!$F$6),OR('Панель BI'!$I$6="Все",$C239='Панель BI'!$I$6)),1,0)</f>
        <v/>
      </c>
      <c r="I239" s="58">
        <f>IF(AND(OR('Панель BI'!$F$6="Все",$B239='Панель BI'!$F$6),OR('Панель BI'!$I$6="Все",$C239='Панель BI'!$I$6)),1,0)</f>
        <v/>
      </c>
    </row>
    <row r="240">
      <c r="A240" s="25" t="inlineStr">
        <is>
          <t>2026-08</t>
        </is>
      </c>
      <c r="B240" s="25" t="inlineStr">
        <is>
          <t>Кишинёв</t>
        </is>
      </c>
      <c r="C240" s="25" t="inlineStr">
        <is>
          <t>A95</t>
        </is>
      </c>
      <c r="D240" s="31" t="n">
        <v>122636</v>
      </c>
      <c r="E240" s="31" t="n">
        <v>24</v>
      </c>
      <c r="F240" s="31" t="n">
        <v>364</v>
      </c>
      <c r="G240" s="57" t="n">
        <v>9136.4</v>
      </c>
      <c r="H240" s="58">
        <f>IF(AND(OR('Панель BI'!$C$6="Все","август 2026"='Панель BI'!$C$6),OR('Панель BI'!$F$6="Все",$B240='Панель BI'!$F$6),OR('Панель BI'!$I$6="Все",$C240='Панель BI'!$I$6)),1,0)</f>
        <v/>
      </c>
      <c r="I240" s="58">
        <f>IF(AND(OR('Панель BI'!$F$6="Все",$B240='Панель BI'!$F$6),OR('Панель BI'!$I$6="Все",$C240='Панель BI'!$I$6)),1,0)</f>
        <v/>
      </c>
    </row>
    <row r="241">
      <c r="A241" s="25" t="inlineStr">
        <is>
          <t>2026-08</t>
        </is>
      </c>
      <c r="B241" s="25" t="inlineStr">
        <is>
          <t>Кишинёв</t>
        </is>
      </c>
      <c r="C241" s="25" t="inlineStr">
        <is>
          <t>DIESEL</t>
        </is>
      </c>
      <c r="D241" s="31" t="n">
        <v>238037</v>
      </c>
      <c r="E241" s="31" t="n">
        <v>49</v>
      </c>
      <c r="F241" s="31" t="n">
        <v>963</v>
      </c>
      <c r="G241" s="57" t="n">
        <v>22534.2</v>
      </c>
      <c r="H241" s="58">
        <f>IF(AND(OR('Панель BI'!$C$6="Все","август 2026"='Панель BI'!$C$6),OR('Панель BI'!$F$6="Все",$B241='Панель BI'!$F$6),OR('Панель BI'!$I$6="Все",$C241='Панель BI'!$I$6)),1,0)</f>
        <v/>
      </c>
      <c r="I241" s="58">
        <f>IF(AND(OR('Панель BI'!$F$6="Все",$B241='Панель BI'!$F$6),OR('Панель BI'!$I$6="Все",$C241='Панель BI'!$I$6)),1,0)</f>
        <v/>
      </c>
    </row>
    <row r="242">
      <c r="A242" s="25" t="inlineStr">
        <is>
          <t>2026-08</t>
        </is>
      </c>
      <c r="B242" s="25" t="inlineStr">
        <is>
          <t>Кишинёв</t>
        </is>
      </c>
      <c r="C242" s="25" t="inlineStr">
        <is>
          <t>GPL</t>
        </is>
      </c>
      <c r="D242" s="31" t="n">
        <v>44927</v>
      </c>
      <c r="E242" s="31" t="n">
        <v>9</v>
      </c>
      <c r="F242" s="31" t="n">
        <v>73</v>
      </c>
      <c r="G242" s="57" t="n">
        <v>1007.4</v>
      </c>
      <c r="H242" s="58">
        <f>IF(AND(OR('Панель BI'!$C$6="Все","август 2026"='Панель BI'!$C$6),OR('Панель BI'!$F$6="Все",$B242='Панель BI'!$F$6),OR('Панель BI'!$I$6="Все",$C242='Панель BI'!$I$6)),1,0)</f>
        <v/>
      </c>
      <c r="I242" s="58">
        <f>IF(AND(OR('Панель BI'!$F$6="Все",$B242='Панель BI'!$F$6),OR('Панель BI'!$I$6="Все",$C242='Панель BI'!$I$6)),1,0)</f>
        <v/>
      </c>
    </row>
    <row r="243">
      <c r="A243" s="25" t="inlineStr">
        <is>
          <t>2026-08</t>
        </is>
      </c>
      <c r="B243" s="25" t="inlineStr">
        <is>
          <t>Комрат</t>
        </is>
      </c>
      <c r="C243" s="25" t="inlineStr">
        <is>
          <t>A92</t>
        </is>
      </c>
      <c r="D243" s="31" t="n">
        <v>222010</v>
      </c>
      <c r="E243" s="31" t="n">
        <v>43</v>
      </c>
      <c r="F243" s="31" t="n">
        <v>990</v>
      </c>
      <c r="G243" s="57" t="n">
        <v>23958</v>
      </c>
      <c r="H243" s="58">
        <f>IF(AND(OR('Панель BI'!$C$6="Все","август 2026"='Панель BI'!$C$6),OR('Панель BI'!$F$6="Все",$B243='Панель BI'!$F$6),OR('Панель BI'!$I$6="Все",$C243='Панель BI'!$I$6)),1,0)</f>
        <v/>
      </c>
      <c r="I243" s="58">
        <f>IF(AND(OR('Панель BI'!$F$6="Все",$B243='Панель BI'!$F$6),OR('Панель BI'!$I$6="Все",$C243='Панель BI'!$I$6)),1,0)</f>
        <v/>
      </c>
    </row>
    <row r="244">
      <c r="A244" s="25" t="inlineStr">
        <is>
          <t>2026-08</t>
        </is>
      </c>
      <c r="B244" s="25" t="inlineStr">
        <is>
          <t>Комрат</t>
        </is>
      </c>
      <c r="C244" s="25" t="inlineStr">
        <is>
          <t>A95</t>
        </is>
      </c>
      <c r="D244" s="31" t="n">
        <v>221044</v>
      </c>
      <c r="E244" s="31" t="n">
        <v>44</v>
      </c>
      <c r="F244" s="31" t="n">
        <v>956</v>
      </c>
      <c r="G244" s="57" t="n">
        <v>23995.6</v>
      </c>
      <c r="H244" s="58">
        <f>IF(AND(OR('Панель BI'!$C$6="Все","август 2026"='Панель BI'!$C$6),OR('Панель BI'!$F$6="Все",$B244='Панель BI'!$F$6),OR('Панель BI'!$I$6="Все",$C244='Панель BI'!$I$6)),1,0)</f>
        <v/>
      </c>
      <c r="I244" s="58">
        <f>IF(AND(OR('Панель BI'!$F$6="Все",$B244='Панель BI'!$F$6),OR('Панель BI'!$I$6="Все",$C244='Панель BI'!$I$6)),1,0)</f>
        <v/>
      </c>
    </row>
    <row r="245">
      <c r="A245" s="25" t="inlineStr">
        <is>
          <t>2026-08</t>
        </is>
      </c>
      <c r="B245" s="25" t="inlineStr">
        <is>
          <t>Комрат</t>
        </is>
      </c>
      <c r="C245" s="25" t="inlineStr">
        <is>
          <t>DIESEL</t>
        </is>
      </c>
      <c r="D245" s="31" t="n">
        <v>301079</v>
      </c>
      <c r="E245" s="31" t="n">
        <v>60</v>
      </c>
      <c r="F245" s="31" t="n">
        <v>921</v>
      </c>
      <c r="G245" s="57" t="n">
        <v>21551.4</v>
      </c>
      <c r="H245" s="58">
        <f>IF(AND(OR('Панель BI'!$C$6="Все","август 2026"='Панель BI'!$C$6),OR('Панель BI'!$F$6="Все",$B245='Панель BI'!$F$6),OR('Панель BI'!$I$6="Все",$C245='Панель BI'!$I$6)),1,0)</f>
        <v/>
      </c>
      <c r="I245" s="58">
        <f>IF(AND(OR('Панель BI'!$F$6="Все",$B245='Панель BI'!$F$6),OR('Панель BI'!$I$6="Все",$C245='Панель BI'!$I$6)),1,0)</f>
        <v/>
      </c>
    </row>
    <row r="246">
      <c r="A246" s="25" t="inlineStr">
        <is>
          <t>2026-08</t>
        </is>
      </c>
      <c r="B246" s="25" t="inlineStr">
        <is>
          <t>Комрат</t>
        </is>
      </c>
      <c r="C246" s="25" t="inlineStr">
        <is>
          <t>GPL</t>
        </is>
      </c>
      <c r="D246" s="31" t="n">
        <v>185780</v>
      </c>
      <c r="E246" s="31" t="n">
        <v>37</v>
      </c>
      <c r="F246" s="31" t="n">
        <v>1220</v>
      </c>
      <c r="G246" s="57" t="n">
        <v>16836</v>
      </c>
      <c r="H246" s="58">
        <f>IF(AND(OR('Панель BI'!$C$6="Все","август 2026"='Панель BI'!$C$6),OR('Панель BI'!$F$6="Все",$B246='Панель BI'!$F$6),OR('Панель BI'!$I$6="Все",$C246='Панель BI'!$I$6)),1,0)</f>
        <v/>
      </c>
      <c r="I246" s="58">
        <f>IF(AND(OR('Панель BI'!$F$6="Все",$B246='Панель BI'!$F$6),OR('Панель BI'!$I$6="Все",$C246='Панель BI'!$I$6)),1,0)</f>
        <v/>
      </c>
    </row>
    <row r="247">
      <c r="A247" s="25" t="inlineStr">
        <is>
          <t>2026-08</t>
        </is>
      </c>
      <c r="B247" s="25" t="inlineStr">
        <is>
          <t>Орхей</t>
        </is>
      </c>
      <c r="C247" s="25" t="inlineStr">
        <is>
          <t>A92</t>
        </is>
      </c>
      <c r="D247" s="31" t="n">
        <v>224100</v>
      </c>
      <c r="E247" s="31" t="n">
        <v>46</v>
      </c>
      <c r="F247" s="31" t="n">
        <v>900</v>
      </c>
      <c r="G247" s="57" t="n">
        <v>21780</v>
      </c>
      <c r="H247" s="58">
        <f>IF(AND(OR('Панель BI'!$C$6="Все","август 2026"='Панель BI'!$C$6),OR('Панель BI'!$F$6="Все",$B247='Панель BI'!$F$6),OR('Панель BI'!$I$6="Все",$C247='Панель BI'!$I$6)),1,0)</f>
        <v/>
      </c>
      <c r="I247" s="58">
        <f>IF(AND(OR('Панель BI'!$F$6="Все",$B247='Панель BI'!$F$6),OR('Панель BI'!$I$6="Все",$C247='Панель BI'!$I$6)),1,0)</f>
        <v/>
      </c>
    </row>
    <row r="248">
      <c r="A248" s="25" t="inlineStr">
        <is>
          <t>2026-08</t>
        </is>
      </c>
      <c r="B248" s="25" t="inlineStr">
        <is>
          <t>Орхей</t>
        </is>
      </c>
      <c r="C248" s="25" t="inlineStr">
        <is>
          <t>A95</t>
        </is>
      </c>
      <c r="D248" s="31" t="n">
        <v>219979</v>
      </c>
      <c r="E248" s="31" t="n">
        <v>44</v>
      </c>
      <c r="F248" s="31" t="n">
        <v>1021</v>
      </c>
      <c r="G248" s="57" t="n">
        <v>25627.1</v>
      </c>
      <c r="H248" s="58">
        <f>IF(AND(OR('Панель BI'!$C$6="Все","август 2026"='Панель BI'!$C$6),OR('Панель BI'!$F$6="Все",$B248='Панель BI'!$F$6),OR('Панель BI'!$I$6="Все",$C248='Панель BI'!$I$6)),1,0)</f>
        <v/>
      </c>
      <c r="I248" s="58">
        <f>IF(AND(OR('Панель BI'!$F$6="Все",$B248='Панель BI'!$F$6),OR('Панель BI'!$I$6="Все",$C248='Панель BI'!$I$6)),1,0)</f>
        <v/>
      </c>
    </row>
    <row r="249">
      <c r="A249" s="25" t="inlineStr">
        <is>
          <t>2026-08</t>
        </is>
      </c>
      <c r="B249" s="25" t="inlineStr">
        <is>
          <t>Орхей</t>
        </is>
      </c>
      <c r="C249" s="25" t="inlineStr">
        <is>
          <t>DIESEL</t>
        </is>
      </c>
      <c r="D249" s="31" t="n">
        <v>191463</v>
      </c>
      <c r="E249" s="31" t="n">
        <v>37</v>
      </c>
      <c r="F249" s="31" t="n">
        <v>537</v>
      </c>
      <c r="G249" s="57" t="n">
        <v>12565.8</v>
      </c>
      <c r="H249" s="58">
        <f>IF(AND(OR('Панель BI'!$C$6="Все","август 2026"='Панель BI'!$C$6),OR('Панель BI'!$F$6="Все",$B249='Панель BI'!$F$6),OR('Панель BI'!$I$6="Все",$C249='Панель BI'!$I$6)),1,0)</f>
        <v/>
      </c>
      <c r="I249" s="58">
        <f>IF(AND(OR('Панель BI'!$F$6="Все",$B249='Панель BI'!$F$6),OR('Панель BI'!$I$6="Все",$C249='Панель BI'!$I$6)),1,0)</f>
        <v/>
      </c>
    </row>
    <row r="250">
      <c r="A250" s="25" t="inlineStr">
        <is>
          <t>2026-08</t>
        </is>
      </c>
      <c r="B250" s="25" t="inlineStr">
        <is>
          <t>Унгень</t>
        </is>
      </c>
      <c r="C250" s="25" t="inlineStr">
        <is>
          <t>A92</t>
        </is>
      </c>
      <c r="D250" s="31" t="n">
        <v>212361</v>
      </c>
      <c r="E250" s="31" t="n">
        <v>43</v>
      </c>
      <c r="F250" s="31" t="n">
        <v>639</v>
      </c>
      <c r="G250" s="57" t="n">
        <v>15463.8</v>
      </c>
      <c r="H250" s="58">
        <f>IF(AND(OR('Панель BI'!$C$6="Все","август 2026"='Панель BI'!$C$6),OR('Панель BI'!$F$6="Все",$B250='Панель BI'!$F$6),OR('Панель BI'!$I$6="Все",$C250='Панель BI'!$I$6)),1,0)</f>
        <v/>
      </c>
      <c r="I250" s="58">
        <f>IF(AND(OR('Панель BI'!$F$6="Все",$B250='Панель BI'!$F$6),OR('Панель BI'!$I$6="Все",$C250='Панель BI'!$I$6)),1,0)</f>
        <v/>
      </c>
    </row>
    <row r="251">
      <c r="A251" s="25" t="inlineStr">
        <is>
          <t>2026-08</t>
        </is>
      </c>
      <c r="B251" s="25" t="inlineStr">
        <is>
          <t>Унгень</t>
        </is>
      </c>
      <c r="C251" s="25" t="inlineStr">
        <is>
          <t>A95</t>
        </is>
      </c>
      <c r="D251" s="31" t="n">
        <v>243354</v>
      </c>
      <c r="E251" s="31" t="n">
        <v>50</v>
      </c>
      <c r="F251" s="31" t="n">
        <v>646</v>
      </c>
      <c r="G251" s="57" t="n">
        <v>16214.6</v>
      </c>
      <c r="H251" s="58">
        <f>IF(AND(OR('Панель BI'!$C$6="Все","август 2026"='Панель BI'!$C$6),OR('Панель BI'!$F$6="Все",$B251='Панель BI'!$F$6),OR('Панель BI'!$I$6="Все",$C251='Панель BI'!$I$6)),1,0)</f>
        <v/>
      </c>
      <c r="I251" s="58">
        <f>IF(AND(OR('Панель BI'!$F$6="Все",$B251='Панель BI'!$F$6),OR('Панель BI'!$I$6="Все",$C251='Панель BI'!$I$6)),1,0)</f>
        <v/>
      </c>
    </row>
    <row r="252">
      <c r="A252" s="25" t="inlineStr">
        <is>
          <t>2026-08</t>
        </is>
      </c>
      <c r="B252" s="25" t="inlineStr">
        <is>
          <t>Унгень</t>
        </is>
      </c>
      <c r="C252" s="25" t="inlineStr">
        <is>
          <t>DIESEL</t>
        </is>
      </c>
      <c r="D252" s="31" t="n">
        <v>260847</v>
      </c>
      <c r="E252" s="31" t="n">
        <v>52</v>
      </c>
      <c r="F252" s="31" t="n">
        <v>1153</v>
      </c>
      <c r="G252" s="57" t="n">
        <v>26980.2</v>
      </c>
      <c r="H252" s="58">
        <f>IF(AND(OR('Панель BI'!$C$6="Все","август 2026"='Панель BI'!$C$6),OR('Панель BI'!$F$6="Все",$B252='Панель BI'!$F$6),OR('Панель BI'!$I$6="Все",$C252='Панель BI'!$I$6)),1,0)</f>
        <v/>
      </c>
      <c r="I252" s="58">
        <f>IF(AND(OR('Панель BI'!$F$6="Все",$B252='Панель BI'!$F$6),OR('Панель BI'!$I$6="Все",$C252='Панель BI'!$I$6)),1,0)</f>
        <v/>
      </c>
    </row>
    <row r="253">
      <c r="A253" s="25" t="inlineStr">
        <is>
          <t>2026-08</t>
        </is>
      </c>
      <c r="B253" s="25" t="inlineStr">
        <is>
          <t>Унгень</t>
        </is>
      </c>
      <c r="C253" s="25" t="inlineStr">
        <is>
          <t>GPL</t>
        </is>
      </c>
      <c r="D253" s="31" t="n">
        <v>31906</v>
      </c>
      <c r="E253" s="31" t="n">
        <v>7</v>
      </c>
      <c r="F253" s="31" t="n">
        <v>94</v>
      </c>
      <c r="G253" s="57" t="n">
        <v>1297.2</v>
      </c>
      <c r="H253" s="58">
        <f>IF(AND(OR('Панель BI'!$C$6="Все","август 2026"='Панель BI'!$C$6),OR('Панель BI'!$F$6="Все",$B253='Панель BI'!$F$6),OR('Панель BI'!$I$6="Все",$C253='Панель BI'!$I$6)),1,0)</f>
        <v/>
      </c>
      <c r="I253" s="58">
        <f>IF(AND(OR('Панель BI'!$F$6="Все",$B253='Панель BI'!$F$6),OR('Панель BI'!$I$6="Все",$C253='Панель BI'!$I$6)),1,0)</f>
        <v/>
      </c>
    </row>
    <row r="254">
      <c r="A254" s="25" t="inlineStr">
        <is>
          <t>2026-09</t>
        </is>
      </c>
      <c r="B254" s="25" t="inlineStr">
        <is>
          <t>Бэлць</t>
        </is>
      </c>
      <c r="C254" s="25" t="inlineStr">
        <is>
          <t>A92</t>
        </is>
      </c>
      <c r="D254" s="31" t="n">
        <v>195087</v>
      </c>
      <c r="E254" s="31" t="n">
        <v>40</v>
      </c>
      <c r="F254" s="31" t="n">
        <v>913</v>
      </c>
      <c r="G254" s="57" t="n">
        <v>22094.6</v>
      </c>
      <c r="H254" s="58">
        <f>IF(AND(OR('Панель BI'!$C$6="Все","сентябрь 2026"='Панель BI'!$C$6),OR('Панель BI'!$F$6="Все",$B254='Панель BI'!$F$6),OR('Панель BI'!$I$6="Все",$C254='Панель BI'!$I$6)),1,0)</f>
        <v/>
      </c>
      <c r="I254" s="58">
        <f>IF(AND(OR('Панель BI'!$F$6="Все",$B254='Панель BI'!$F$6),OR('Панель BI'!$I$6="Все",$C254='Панель BI'!$I$6)),1,0)</f>
        <v/>
      </c>
    </row>
    <row r="255">
      <c r="A255" s="25" t="inlineStr">
        <is>
          <t>2026-09</t>
        </is>
      </c>
      <c r="B255" s="25" t="inlineStr">
        <is>
          <t>Бэлць</t>
        </is>
      </c>
      <c r="C255" s="25" t="inlineStr">
        <is>
          <t>A95</t>
        </is>
      </c>
      <c r="D255" s="31" t="n">
        <v>174568</v>
      </c>
      <c r="E255" s="31" t="n">
        <v>35</v>
      </c>
      <c r="F255" s="31" t="n">
        <v>432</v>
      </c>
      <c r="G255" s="57" t="n">
        <v>10843.2</v>
      </c>
      <c r="H255" s="58">
        <f>IF(AND(OR('Панель BI'!$C$6="Все","сентябрь 2026"='Панель BI'!$C$6),OR('Панель BI'!$F$6="Все",$B255='Панель BI'!$F$6),OR('Панель BI'!$I$6="Все",$C255='Панель BI'!$I$6)),1,0)</f>
        <v/>
      </c>
      <c r="I255" s="58">
        <f>IF(AND(OR('Панель BI'!$F$6="Все",$B255='Панель BI'!$F$6),OR('Панель BI'!$I$6="Все",$C255='Панель BI'!$I$6)),1,0)</f>
        <v/>
      </c>
    </row>
    <row r="256">
      <c r="A256" s="25" t="inlineStr">
        <is>
          <t>2026-09</t>
        </is>
      </c>
      <c r="B256" s="25" t="inlineStr">
        <is>
          <t>Бэлць</t>
        </is>
      </c>
      <c r="C256" s="25" t="inlineStr">
        <is>
          <t>DIESEL</t>
        </is>
      </c>
      <c r="D256" s="31" t="n">
        <v>203061</v>
      </c>
      <c r="E256" s="31" t="n">
        <v>44</v>
      </c>
      <c r="F256" s="31" t="n">
        <v>939</v>
      </c>
      <c r="G256" s="57" t="n">
        <v>21972.6</v>
      </c>
      <c r="H256" s="58">
        <f>IF(AND(OR('Панель BI'!$C$6="Все","сентябрь 2026"='Панель BI'!$C$6),OR('Панель BI'!$F$6="Все",$B256='Панель BI'!$F$6),OR('Панель BI'!$I$6="Все",$C256='Панель BI'!$I$6)),1,0)</f>
        <v/>
      </c>
      <c r="I256" s="58">
        <f>IF(AND(OR('Панель BI'!$F$6="Все",$B256='Панель BI'!$F$6),OR('Панель BI'!$I$6="Все",$C256='Панель BI'!$I$6)),1,0)</f>
        <v/>
      </c>
    </row>
    <row r="257">
      <c r="A257" s="25" t="inlineStr">
        <is>
          <t>2026-09</t>
        </is>
      </c>
      <c r="B257" s="25" t="inlineStr">
        <is>
          <t>Кагул</t>
        </is>
      </c>
      <c r="C257" s="25" t="inlineStr">
        <is>
          <t>A92</t>
        </is>
      </c>
      <c r="D257" s="31" t="n">
        <v>222164</v>
      </c>
      <c r="E257" s="31" t="n">
        <v>45</v>
      </c>
      <c r="F257" s="31" t="n">
        <v>836</v>
      </c>
      <c r="G257" s="57" t="n">
        <v>20231.2</v>
      </c>
      <c r="H257" s="58">
        <f>IF(AND(OR('Панель BI'!$C$6="Все","сентябрь 2026"='Панель BI'!$C$6),OR('Панель BI'!$F$6="Все",$B257='Панель BI'!$F$6),OR('Панель BI'!$I$6="Все",$C257='Панель BI'!$I$6)),1,0)</f>
        <v/>
      </c>
      <c r="I257" s="58">
        <f>IF(AND(OR('Панель BI'!$F$6="Все",$B257='Панель BI'!$F$6),OR('Панель BI'!$I$6="Все",$C257='Панель BI'!$I$6)),1,0)</f>
        <v/>
      </c>
    </row>
    <row r="258">
      <c r="A258" s="25" t="inlineStr">
        <is>
          <t>2026-09</t>
        </is>
      </c>
      <c r="B258" s="25" t="inlineStr">
        <is>
          <t>Кагул</t>
        </is>
      </c>
      <c r="C258" s="25" t="inlineStr">
        <is>
          <t>A95</t>
        </is>
      </c>
      <c r="D258" s="31" t="n">
        <v>157626</v>
      </c>
      <c r="E258" s="31" t="n">
        <v>32</v>
      </c>
      <c r="F258" s="31" t="n">
        <v>374</v>
      </c>
      <c r="G258" s="57" t="n">
        <v>9387.4</v>
      </c>
      <c r="H258" s="58">
        <f>IF(AND(OR('Панель BI'!$C$6="Все","сентябрь 2026"='Панель BI'!$C$6),OR('Панель BI'!$F$6="Все",$B258='Панель BI'!$F$6),OR('Панель BI'!$I$6="Все",$C258='Панель BI'!$I$6)),1,0)</f>
        <v/>
      </c>
      <c r="I258" s="58">
        <f>IF(AND(OR('Панель BI'!$F$6="Все",$B258='Панель BI'!$F$6),OR('Панель BI'!$I$6="Все",$C258='Панель BI'!$I$6)),1,0)</f>
        <v/>
      </c>
    </row>
    <row r="259">
      <c r="A259" s="25" t="inlineStr">
        <is>
          <t>2026-09</t>
        </is>
      </c>
      <c r="B259" s="25" t="inlineStr">
        <is>
          <t>Кагул</t>
        </is>
      </c>
      <c r="C259" s="25" t="inlineStr">
        <is>
          <t>DIESEL</t>
        </is>
      </c>
      <c r="D259" s="31" t="n">
        <v>183460</v>
      </c>
      <c r="E259" s="31" t="n">
        <v>38</v>
      </c>
      <c r="F259" s="31" t="n">
        <v>540</v>
      </c>
      <c r="G259" s="57" t="n">
        <v>12636</v>
      </c>
      <c r="H259" s="58">
        <f>IF(AND(OR('Панель BI'!$C$6="Все","сентябрь 2026"='Панель BI'!$C$6),OR('Панель BI'!$F$6="Все",$B259='Панель BI'!$F$6),OR('Панель BI'!$I$6="Все",$C259='Панель BI'!$I$6)),1,0)</f>
        <v/>
      </c>
      <c r="I259" s="58">
        <f>IF(AND(OR('Панель BI'!$F$6="Все",$B259='Панель BI'!$F$6),OR('Панель BI'!$I$6="Все",$C259='Панель BI'!$I$6)),1,0)</f>
        <v/>
      </c>
    </row>
    <row r="260">
      <c r="A260" s="25" t="inlineStr">
        <is>
          <t>2026-09</t>
        </is>
      </c>
      <c r="B260" s="25" t="inlineStr">
        <is>
          <t>Кишинёв</t>
        </is>
      </c>
      <c r="C260" s="25" t="inlineStr">
        <is>
          <t>A92</t>
        </is>
      </c>
      <c r="D260" s="31" t="n">
        <v>190016</v>
      </c>
      <c r="E260" s="31" t="n">
        <v>39</v>
      </c>
      <c r="F260" s="31" t="n">
        <v>902</v>
      </c>
      <c r="G260" s="57" t="n">
        <v>21828.4</v>
      </c>
      <c r="H260" s="58">
        <f>IF(AND(OR('Панель BI'!$C$6="Все","сентябрь 2026"='Панель BI'!$C$6),OR('Панель BI'!$F$6="Все",$B260='Панель BI'!$F$6),OR('Панель BI'!$I$6="Все",$C260='Панель BI'!$I$6)),1,0)</f>
        <v/>
      </c>
      <c r="I260" s="58">
        <f>IF(AND(OR('Панель BI'!$F$6="Все",$B260='Панель BI'!$F$6),OR('Панель BI'!$I$6="Все",$C260='Панель BI'!$I$6)),1,0)</f>
        <v/>
      </c>
    </row>
    <row r="261">
      <c r="A261" s="25" t="inlineStr">
        <is>
          <t>2026-09</t>
        </is>
      </c>
      <c r="B261" s="25" t="inlineStr">
        <is>
          <t>Кишинёв</t>
        </is>
      </c>
      <c r="C261" s="25" t="inlineStr">
        <is>
          <t>A95</t>
        </is>
      </c>
      <c r="D261" s="31" t="n">
        <v>236633</v>
      </c>
      <c r="E261" s="31" t="n">
        <v>47</v>
      </c>
      <c r="F261" s="31" t="n">
        <v>1367</v>
      </c>
      <c r="G261" s="57" t="n">
        <v>34311.7</v>
      </c>
      <c r="H261" s="58">
        <f>IF(AND(OR('Панель BI'!$C$6="Все","сентябрь 2026"='Панель BI'!$C$6),OR('Панель BI'!$F$6="Все",$B261='Панель BI'!$F$6),OR('Панель BI'!$I$6="Все",$C261='Панель BI'!$I$6)),1,0)</f>
        <v/>
      </c>
      <c r="I261" s="58">
        <f>IF(AND(OR('Панель BI'!$F$6="Все",$B261='Панель BI'!$F$6),OR('Панель BI'!$I$6="Все",$C261='Панель BI'!$I$6)),1,0)</f>
        <v/>
      </c>
    </row>
    <row r="262">
      <c r="A262" s="25" t="inlineStr">
        <is>
          <t>2026-09</t>
        </is>
      </c>
      <c r="B262" s="25" t="inlineStr">
        <is>
          <t>Кишинёв</t>
        </is>
      </c>
      <c r="C262" s="25" t="inlineStr">
        <is>
          <t>DIESEL</t>
        </is>
      </c>
      <c r="D262" s="31" t="n">
        <v>199690</v>
      </c>
      <c r="E262" s="31" t="n">
        <v>40</v>
      </c>
      <c r="F262" s="31" t="n">
        <v>1310</v>
      </c>
      <c r="G262" s="57" t="n">
        <v>30654</v>
      </c>
      <c r="H262" s="58">
        <f>IF(AND(OR('Панель BI'!$C$6="Все","сентябрь 2026"='Панель BI'!$C$6),OR('Панель BI'!$F$6="Все",$B262='Панель BI'!$F$6),OR('Панель BI'!$I$6="Все",$C262='Панель BI'!$I$6)),1,0)</f>
        <v/>
      </c>
      <c r="I262" s="58">
        <f>IF(AND(OR('Панель BI'!$F$6="Все",$B262='Панель BI'!$F$6),OR('Панель BI'!$I$6="Все",$C262='Панель BI'!$I$6)),1,0)</f>
        <v/>
      </c>
    </row>
    <row r="263">
      <c r="A263" s="25" t="inlineStr">
        <is>
          <t>2026-09</t>
        </is>
      </c>
      <c r="B263" s="25" t="inlineStr">
        <is>
          <t>Кишинёв</t>
        </is>
      </c>
      <c r="C263" s="25" t="inlineStr">
        <is>
          <t>GPL</t>
        </is>
      </c>
      <c r="D263" s="31" t="n">
        <v>57861</v>
      </c>
      <c r="E263" s="31" t="n">
        <v>11</v>
      </c>
      <c r="F263" s="31" t="n">
        <v>139</v>
      </c>
      <c r="G263" s="57" t="n">
        <v>1918.2</v>
      </c>
      <c r="H263" s="58">
        <f>IF(AND(OR('Панель BI'!$C$6="Все","сентябрь 2026"='Панель BI'!$C$6),OR('Панель BI'!$F$6="Все",$B263='Панель BI'!$F$6),OR('Панель BI'!$I$6="Все",$C263='Панель BI'!$I$6)),1,0)</f>
        <v/>
      </c>
      <c r="I263" s="58">
        <f>IF(AND(OR('Панель BI'!$F$6="Все",$B263='Панель BI'!$F$6),OR('Панель BI'!$I$6="Все",$C263='Панель BI'!$I$6)),1,0)</f>
        <v/>
      </c>
    </row>
    <row r="264">
      <c r="A264" s="25" t="inlineStr">
        <is>
          <t>2026-09</t>
        </is>
      </c>
      <c r="B264" s="25" t="inlineStr">
        <is>
          <t>Комрат</t>
        </is>
      </c>
      <c r="C264" s="25" t="inlineStr">
        <is>
          <t>A92</t>
        </is>
      </c>
      <c r="D264" s="31" t="n">
        <v>202493</v>
      </c>
      <c r="E264" s="31" t="n">
        <v>39</v>
      </c>
      <c r="F264" s="31" t="n">
        <v>507</v>
      </c>
      <c r="G264" s="57" t="n">
        <v>12269.4</v>
      </c>
      <c r="H264" s="58">
        <f>IF(AND(OR('Панель BI'!$C$6="Все","сентябрь 2026"='Панель BI'!$C$6),OR('Панель BI'!$F$6="Все",$B264='Панель BI'!$F$6),OR('Панель BI'!$I$6="Все",$C264='Панель BI'!$I$6)),1,0)</f>
        <v/>
      </c>
      <c r="I264" s="58">
        <f>IF(AND(OR('Панель BI'!$F$6="Все",$B264='Панель BI'!$F$6),OR('Панель BI'!$I$6="Все",$C264='Панель BI'!$I$6)),1,0)</f>
        <v/>
      </c>
    </row>
    <row r="265">
      <c r="A265" s="25" t="inlineStr">
        <is>
          <t>2026-09</t>
        </is>
      </c>
      <c r="B265" s="25" t="inlineStr">
        <is>
          <t>Комрат</t>
        </is>
      </c>
      <c r="C265" s="25" t="inlineStr">
        <is>
          <t>A95</t>
        </is>
      </c>
      <c r="D265" s="31" t="n">
        <v>212457</v>
      </c>
      <c r="E265" s="31" t="n">
        <v>42</v>
      </c>
      <c r="F265" s="31" t="n">
        <v>543</v>
      </c>
      <c r="G265" s="57" t="n">
        <v>13629.3</v>
      </c>
      <c r="H265" s="58">
        <f>IF(AND(OR('Панель BI'!$C$6="Все","сентябрь 2026"='Панель BI'!$C$6),OR('Панель BI'!$F$6="Все",$B265='Панель BI'!$F$6),OR('Панель BI'!$I$6="Все",$C265='Панель BI'!$I$6)),1,0)</f>
        <v/>
      </c>
      <c r="I265" s="58">
        <f>IF(AND(OR('Панель BI'!$F$6="Все",$B265='Панель BI'!$F$6),OR('Панель BI'!$I$6="Все",$C265='Панель BI'!$I$6)),1,0)</f>
        <v/>
      </c>
    </row>
    <row r="266">
      <c r="A266" s="25" t="inlineStr">
        <is>
          <t>2026-09</t>
        </is>
      </c>
      <c r="B266" s="25" t="inlineStr">
        <is>
          <t>Комрат</t>
        </is>
      </c>
      <c r="C266" s="25" t="inlineStr">
        <is>
          <t>DIESEL</t>
        </is>
      </c>
      <c r="D266" s="31" t="n">
        <v>217463</v>
      </c>
      <c r="E266" s="31" t="n">
        <v>43</v>
      </c>
      <c r="F266" s="31" t="n">
        <v>537</v>
      </c>
      <c r="G266" s="57" t="n">
        <v>12565.8</v>
      </c>
      <c r="H266" s="58">
        <f>IF(AND(OR('Панель BI'!$C$6="Все","сентябрь 2026"='Панель BI'!$C$6),OR('Панель BI'!$F$6="Все",$B266='Панель BI'!$F$6),OR('Панель BI'!$I$6="Все",$C266='Панель BI'!$I$6)),1,0)</f>
        <v/>
      </c>
      <c r="I266" s="58">
        <f>IF(AND(OR('Панель BI'!$F$6="Все",$B266='Панель BI'!$F$6),OR('Панель BI'!$I$6="Все",$C266='Панель BI'!$I$6)),1,0)</f>
        <v/>
      </c>
    </row>
    <row r="267">
      <c r="A267" s="25" t="inlineStr">
        <is>
          <t>2026-09</t>
        </is>
      </c>
      <c r="B267" s="25" t="inlineStr">
        <is>
          <t>Комрат</t>
        </is>
      </c>
      <c r="C267" s="25" t="inlineStr">
        <is>
          <t>GPL</t>
        </is>
      </c>
      <c r="D267" s="31" t="n">
        <v>129649</v>
      </c>
      <c r="E267" s="31" t="n">
        <v>27</v>
      </c>
      <c r="F267" s="31" t="n">
        <v>351</v>
      </c>
      <c r="G267" s="57" t="n">
        <v>4843.8</v>
      </c>
      <c r="H267" s="58">
        <f>IF(AND(OR('Панель BI'!$C$6="Все","сентябрь 2026"='Панель BI'!$C$6),OR('Панель BI'!$F$6="Все",$B267='Панель BI'!$F$6),OR('Панель BI'!$I$6="Все",$C267='Панель BI'!$I$6)),1,0)</f>
        <v/>
      </c>
      <c r="I267" s="58">
        <f>IF(AND(OR('Панель BI'!$F$6="Все",$B267='Панель BI'!$F$6),OR('Панель BI'!$I$6="Все",$C267='Панель BI'!$I$6)),1,0)</f>
        <v/>
      </c>
    </row>
    <row r="268">
      <c r="A268" s="25" t="inlineStr">
        <is>
          <t>2026-09</t>
        </is>
      </c>
      <c r="B268" s="25" t="inlineStr">
        <is>
          <t>Орхей</t>
        </is>
      </c>
      <c r="C268" s="25" t="inlineStr">
        <is>
          <t>A92</t>
        </is>
      </c>
      <c r="D268" s="31" t="n">
        <v>158206</v>
      </c>
      <c r="E268" s="31" t="n">
        <v>34</v>
      </c>
      <c r="F268" s="31" t="n">
        <v>794</v>
      </c>
      <c r="G268" s="57" t="n">
        <v>19214.8</v>
      </c>
      <c r="H268" s="58">
        <f>IF(AND(OR('Панель BI'!$C$6="Все","сентябрь 2026"='Панель BI'!$C$6),OR('Панель BI'!$F$6="Все",$B268='Панель BI'!$F$6),OR('Панель BI'!$I$6="Все",$C268='Панель BI'!$I$6)),1,0)</f>
        <v/>
      </c>
      <c r="I268" s="58">
        <f>IF(AND(OR('Панель BI'!$F$6="Все",$B268='Панель BI'!$F$6),OR('Панель BI'!$I$6="Все",$C268='Панель BI'!$I$6)),1,0)</f>
        <v/>
      </c>
    </row>
    <row r="269">
      <c r="A269" s="25" t="inlineStr">
        <is>
          <t>2026-09</t>
        </is>
      </c>
      <c r="B269" s="25" t="inlineStr">
        <is>
          <t>Орхей</t>
        </is>
      </c>
      <c r="C269" s="25" t="inlineStr">
        <is>
          <t>A95</t>
        </is>
      </c>
      <c r="D269" s="31" t="n">
        <v>205342</v>
      </c>
      <c r="E269" s="31" t="n">
        <v>42</v>
      </c>
      <c r="F269" s="31" t="n">
        <v>658</v>
      </c>
      <c r="G269" s="57" t="n">
        <v>16515.8</v>
      </c>
      <c r="H269" s="58">
        <f>IF(AND(OR('Панель BI'!$C$6="Все","сентябрь 2026"='Панель BI'!$C$6),OR('Панель BI'!$F$6="Все",$B269='Панель BI'!$F$6),OR('Панель BI'!$I$6="Все",$C269='Панель BI'!$I$6)),1,0)</f>
        <v/>
      </c>
      <c r="I269" s="58">
        <f>IF(AND(OR('Панель BI'!$F$6="Все",$B269='Панель BI'!$F$6),OR('Панель BI'!$I$6="Все",$C269='Панель BI'!$I$6)),1,0)</f>
        <v/>
      </c>
    </row>
    <row r="270">
      <c r="A270" s="25" t="inlineStr">
        <is>
          <t>2026-09</t>
        </is>
      </c>
      <c r="B270" s="25" t="inlineStr">
        <is>
          <t>Орхей</t>
        </is>
      </c>
      <c r="C270" s="25" t="inlineStr">
        <is>
          <t>DIESEL</t>
        </is>
      </c>
      <c r="D270" s="31" t="n">
        <v>211949</v>
      </c>
      <c r="E270" s="31" t="n">
        <v>43</v>
      </c>
      <c r="F270" s="31" t="n">
        <v>1051</v>
      </c>
      <c r="G270" s="57" t="n">
        <v>24593.4</v>
      </c>
      <c r="H270" s="58">
        <f>IF(AND(OR('Панель BI'!$C$6="Все","сентябрь 2026"='Панель BI'!$C$6),OR('Панель BI'!$F$6="Все",$B270='Панель BI'!$F$6),OR('Панель BI'!$I$6="Все",$C270='Панель BI'!$I$6)),1,0)</f>
        <v/>
      </c>
      <c r="I270" s="58">
        <f>IF(AND(OR('Панель BI'!$F$6="Все",$B270='Панель BI'!$F$6),OR('Панель BI'!$I$6="Все",$C270='Панель BI'!$I$6)),1,0)</f>
        <v/>
      </c>
    </row>
    <row r="271">
      <c r="A271" s="25" t="inlineStr">
        <is>
          <t>2026-09</t>
        </is>
      </c>
      <c r="B271" s="25" t="inlineStr">
        <is>
          <t>Унгень</t>
        </is>
      </c>
      <c r="C271" s="25" t="inlineStr">
        <is>
          <t>A92</t>
        </is>
      </c>
      <c r="D271" s="31" t="n">
        <v>155639</v>
      </c>
      <c r="E271" s="31" t="n">
        <v>33</v>
      </c>
      <c r="F271" s="31" t="n">
        <v>526</v>
      </c>
      <c r="G271" s="57" t="n">
        <v>12729.2</v>
      </c>
      <c r="H271" s="58">
        <f>IF(AND(OR('Панель BI'!$C$6="Все","сентябрь 2026"='Панель BI'!$C$6),OR('Панель BI'!$F$6="Все",$B271='Панель BI'!$F$6),OR('Панель BI'!$I$6="Все",$C271='Панель BI'!$I$6)),1,0)</f>
        <v/>
      </c>
      <c r="I271" s="58">
        <f>IF(AND(OR('Панель BI'!$F$6="Все",$B271='Панель BI'!$F$6),OR('Панель BI'!$I$6="Все",$C271='Панель BI'!$I$6)),1,0)</f>
        <v/>
      </c>
    </row>
    <row r="272">
      <c r="A272" s="25" t="inlineStr">
        <is>
          <t>2026-09</t>
        </is>
      </c>
      <c r="B272" s="25" t="inlineStr">
        <is>
          <t>Унгень</t>
        </is>
      </c>
      <c r="C272" s="25" t="inlineStr">
        <is>
          <t>A95</t>
        </is>
      </c>
      <c r="D272" s="31" t="n">
        <v>145596</v>
      </c>
      <c r="E272" s="31" t="n">
        <v>30</v>
      </c>
      <c r="F272" s="31" t="n">
        <v>404</v>
      </c>
      <c r="G272" s="57" t="n">
        <v>10140.4</v>
      </c>
      <c r="H272" s="58">
        <f>IF(AND(OR('Панель BI'!$C$6="Все","сентябрь 2026"='Панель BI'!$C$6),OR('Панель BI'!$F$6="Все",$B272='Панель BI'!$F$6),OR('Панель BI'!$I$6="Все",$C272='Панель BI'!$I$6)),1,0)</f>
        <v/>
      </c>
      <c r="I272" s="58">
        <f>IF(AND(OR('Панель BI'!$F$6="Все",$B272='Панель BI'!$F$6),OR('Панель BI'!$I$6="Все",$C272='Панель BI'!$I$6)),1,0)</f>
        <v/>
      </c>
    </row>
    <row r="273">
      <c r="A273" s="25" t="inlineStr">
        <is>
          <t>2026-09</t>
        </is>
      </c>
      <c r="B273" s="25" t="inlineStr">
        <is>
          <t>Унгень</t>
        </is>
      </c>
      <c r="C273" s="25" t="inlineStr">
        <is>
          <t>DIESEL</t>
        </is>
      </c>
      <c r="D273" s="31" t="n">
        <v>204097</v>
      </c>
      <c r="E273" s="31" t="n">
        <v>43</v>
      </c>
      <c r="F273" s="31" t="n">
        <v>834</v>
      </c>
      <c r="G273" s="57" t="n">
        <v>19515.6</v>
      </c>
      <c r="H273" s="58">
        <f>IF(AND(OR('Панель BI'!$C$6="Все","сентябрь 2026"='Панель BI'!$C$6),OR('Панель BI'!$F$6="Все",$B273='Панель BI'!$F$6),OR('Панель BI'!$I$6="Все",$C273='Панель BI'!$I$6)),1,0)</f>
        <v/>
      </c>
      <c r="I273" s="58">
        <f>IF(AND(OR('Панель BI'!$F$6="Все",$B273='Панель BI'!$F$6),OR('Панель BI'!$I$6="Все",$C273='Панель BI'!$I$6)),1,0)</f>
        <v/>
      </c>
    </row>
    <row r="274">
      <c r="A274" s="25" t="inlineStr">
        <is>
          <t>2026-09</t>
        </is>
      </c>
      <c r="B274" s="25" t="inlineStr">
        <is>
          <t>Унгень</t>
        </is>
      </c>
      <c r="C274" s="25" t="inlineStr">
        <is>
          <t>GPL</t>
        </is>
      </c>
      <c r="D274" s="31" t="n">
        <v>62838</v>
      </c>
      <c r="E274" s="31" t="n">
        <v>13</v>
      </c>
      <c r="F274" s="31" t="n">
        <v>162</v>
      </c>
      <c r="G274" s="57" t="n">
        <v>2235.6</v>
      </c>
      <c r="H274" s="58">
        <f>IF(AND(OR('Панель BI'!$C$6="Все","сентябрь 2026"='Панель BI'!$C$6),OR('Панель BI'!$F$6="Все",$B274='Панель BI'!$F$6),OR('Панель BI'!$I$6="Все",$C274='Панель BI'!$I$6)),1,0)</f>
        <v/>
      </c>
      <c r="I274" s="58">
        <f>IF(AND(OR('Панель BI'!$F$6="Все",$B274='Панель BI'!$F$6),OR('Панель BI'!$I$6="Все",$C274='Панель BI'!$I$6)),1,0)</f>
        <v/>
      </c>
    </row>
  </sheetData>
  <autoFilter ref="A1:I274"/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5" customWidth="1" min="4" max="4"/>
    <col width="15" customWidth="1" min="5" max="5"/>
    <col width="15" customWidth="1" min="6" max="6"/>
    <col width="16" customWidth="1" min="7" max="7"/>
    <col width="14" customWidth="1" min="8" max="8"/>
    <col width="14" customWidth="1" min="9" max="9"/>
    <col width="12" customWidth="1" min="10" max="10"/>
    <col width="12" customWidth="1" min="11" max="11"/>
  </cols>
  <sheetData>
    <row r="1">
      <c r="A1" s="56" t="inlineStr">
        <is>
          <t>Месяц</t>
        </is>
      </c>
      <c r="B1" s="56" t="inlineStr">
        <is>
          <t>Тип рейса</t>
        </is>
      </c>
      <c r="C1" s="56" t="inlineStr">
        <is>
          <t>Рейсов</t>
        </is>
      </c>
      <c r="D1" s="56" t="inlineStr">
        <is>
          <t>Норматив, км</t>
        </is>
      </c>
      <c r="E1" s="56" t="inlineStr">
        <is>
          <t>Факт, км</t>
        </is>
      </c>
      <c r="F1" s="56" t="inlineStr">
        <is>
          <t>Лишний пробег, км</t>
        </is>
      </c>
      <c r="G1" s="56" t="inlineStr">
        <is>
          <t>Начислено, лей</t>
        </is>
      </c>
      <c r="H1" s="56" t="inlineStr">
        <is>
          <t>Норма ДТ, л</t>
        </is>
      </c>
      <c r="I1" s="56" t="inlineStr">
        <is>
          <t>Факт ДТ, л</t>
        </is>
      </c>
      <c r="J1" s="56" t="inlineStr">
        <is>
          <t>В срезе</t>
        </is>
      </c>
      <c r="K1" s="56" t="inlineStr">
        <is>
          <t>В срезе без месяца</t>
        </is>
      </c>
    </row>
    <row r="2">
      <c r="A2" s="25" t="inlineStr">
        <is>
          <t>2025-09</t>
        </is>
      </c>
      <c r="B2" s="25" t="inlineStr">
        <is>
          <t>DOMESTIC</t>
        </is>
      </c>
      <c r="C2" s="31" t="n">
        <v>228</v>
      </c>
      <c r="D2" s="31" t="n">
        <v>70839</v>
      </c>
      <c r="E2" s="31" t="n">
        <v>72336</v>
      </c>
      <c r="F2" s="31" t="n">
        <v>1621</v>
      </c>
      <c r="G2" s="57" t="n">
        <v>329754.01</v>
      </c>
      <c r="H2" s="31" t="n">
        <v>23465</v>
      </c>
      <c r="I2" s="31" t="n">
        <v>23540</v>
      </c>
      <c r="J2" s="58">
        <f>IF(AND(OR('Панель BI'!$C$6="Все","сентябрь 2025"='Панель BI'!$C$6),OR('Панель BI'!$L$6="Все",$B2='Панель BI'!$L$6)),1,0)</f>
        <v/>
      </c>
      <c r="K2" s="58">
        <f>IF(OR('Панель BI'!$L$6="Все",$B2='Панель BI'!$L$6),1,0)</f>
        <v/>
      </c>
    </row>
    <row r="3">
      <c r="A3" s="25" t="inlineStr">
        <is>
          <t>2025-09</t>
        </is>
      </c>
      <c r="B3" s="25" t="inlineStr">
        <is>
          <t>IMPORT</t>
        </is>
      </c>
      <c r="C3" s="31" t="n">
        <v>38</v>
      </c>
      <c r="D3" s="31" t="n">
        <v>32960</v>
      </c>
      <c r="E3" s="31" t="n">
        <v>33711</v>
      </c>
      <c r="F3" s="31" t="n">
        <v>811</v>
      </c>
      <c r="G3" s="57" t="n">
        <v>90639.99000000001</v>
      </c>
      <c r="H3" s="31" t="n">
        <v>10836</v>
      </c>
      <c r="I3" s="31" t="n">
        <v>10949</v>
      </c>
      <c r="J3" s="58">
        <f>IF(AND(OR('Панель BI'!$C$6="Все","сентябрь 2025"='Панель BI'!$C$6),OR('Панель BI'!$L$6="Все",$B3='Панель BI'!$L$6)),1,0)</f>
        <v/>
      </c>
      <c r="K3" s="58">
        <f>IF(OR('Панель BI'!$L$6="Все",$B3='Панель BI'!$L$6),1,0)</f>
        <v/>
      </c>
    </row>
    <row r="4">
      <c r="A4" s="25" t="inlineStr">
        <is>
          <t>2025-10</t>
        </is>
      </c>
      <c r="B4" s="25" t="inlineStr">
        <is>
          <t>DOMESTIC</t>
        </is>
      </c>
      <c r="C4" s="31" t="n">
        <v>212</v>
      </c>
      <c r="D4" s="31" t="n">
        <v>63274</v>
      </c>
      <c r="E4" s="31" t="n">
        <v>64319</v>
      </c>
      <c r="F4" s="31" t="n">
        <v>1181</v>
      </c>
      <c r="G4" s="57" t="n">
        <v>300392.69</v>
      </c>
      <c r="H4" s="31" t="n">
        <v>20893</v>
      </c>
      <c r="I4" s="31" t="n">
        <v>21032</v>
      </c>
      <c r="J4" s="58">
        <f>IF(AND(OR('Панель BI'!$C$6="Все","октябрь 2025"='Панель BI'!$C$6),OR('Панель BI'!$L$6="Все",$B4='Панель BI'!$L$6)),1,0)</f>
        <v/>
      </c>
      <c r="K4" s="58">
        <f>IF(OR('Панель BI'!$L$6="Все",$B4='Панель BI'!$L$6),1,0)</f>
        <v/>
      </c>
    </row>
    <row r="5">
      <c r="A5" s="25" t="inlineStr">
        <is>
          <t>2025-10</t>
        </is>
      </c>
      <c r="B5" s="25" t="inlineStr">
        <is>
          <t>IMPORT</t>
        </is>
      </c>
      <c r="C5" s="31" t="n">
        <v>54</v>
      </c>
      <c r="D5" s="31" t="n">
        <v>49866</v>
      </c>
      <c r="E5" s="31" t="n">
        <v>51344</v>
      </c>
      <c r="F5" s="31" t="n">
        <v>1531</v>
      </c>
      <c r="G5" s="57" t="n">
        <v>134005.06</v>
      </c>
      <c r="H5" s="31" t="n">
        <v>16431</v>
      </c>
      <c r="I5" s="31" t="n">
        <v>16515</v>
      </c>
      <c r="J5" s="58">
        <f>IF(AND(OR('Панель BI'!$C$6="Все","октябрь 2025"='Панель BI'!$C$6),OR('Панель BI'!$L$6="Все",$B5='Панель BI'!$L$6)),1,0)</f>
        <v/>
      </c>
      <c r="K5" s="58">
        <f>IF(OR('Панель BI'!$L$6="Все",$B5='Панель BI'!$L$6),1,0)</f>
        <v/>
      </c>
    </row>
    <row r="6">
      <c r="A6" s="25" t="inlineStr">
        <is>
          <t>2025-11</t>
        </is>
      </c>
      <c r="B6" s="25" t="inlineStr">
        <is>
          <t>DOMESTIC</t>
        </is>
      </c>
      <c r="C6" s="31" t="n">
        <v>204</v>
      </c>
      <c r="D6" s="31" t="n">
        <v>62403</v>
      </c>
      <c r="E6" s="31" t="n">
        <v>63523</v>
      </c>
      <c r="F6" s="31" t="n">
        <v>1210</v>
      </c>
      <c r="G6" s="57" t="n">
        <v>294096.78</v>
      </c>
      <c r="H6" s="31" t="n">
        <v>20663</v>
      </c>
      <c r="I6" s="31" t="n">
        <v>20788</v>
      </c>
      <c r="J6" s="58">
        <f>IF(AND(OR('Панель BI'!$C$6="Все","ноябрь 2025"='Панель BI'!$C$6),OR('Панель BI'!$L$6="Все",$B6='Панель BI'!$L$6)),1,0)</f>
        <v/>
      </c>
      <c r="K6" s="58">
        <f>IF(OR('Панель BI'!$L$6="Все",$B6='Панель BI'!$L$6),1,0)</f>
        <v/>
      </c>
    </row>
    <row r="7">
      <c r="A7" s="25" t="inlineStr">
        <is>
          <t>2025-11</t>
        </is>
      </c>
      <c r="B7" s="25" t="inlineStr">
        <is>
          <t>IMPORT</t>
        </is>
      </c>
      <c r="C7" s="31" t="n">
        <v>52</v>
      </c>
      <c r="D7" s="31" t="n">
        <v>44933</v>
      </c>
      <c r="E7" s="31" t="n">
        <v>45719</v>
      </c>
      <c r="F7" s="31" t="n">
        <v>873</v>
      </c>
      <c r="G7" s="57" t="n">
        <v>121101.2</v>
      </c>
      <c r="H7" s="31" t="n">
        <v>14823</v>
      </c>
      <c r="I7" s="31" t="n">
        <v>14872</v>
      </c>
      <c r="J7" s="58">
        <f>IF(AND(OR('Панель BI'!$C$6="Все","ноябрь 2025"='Панель BI'!$C$6),OR('Панель BI'!$L$6="Все",$B7='Панель BI'!$L$6)),1,0)</f>
        <v/>
      </c>
      <c r="K7" s="58">
        <f>IF(OR('Панель BI'!$L$6="Все",$B7='Панель BI'!$L$6),1,0)</f>
        <v/>
      </c>
    </row>
    <row r="8">
      <c r="A8" s="25" t="inlineStr">
        <is>
          <t>2025-12</t>
        </is>
      </c>
      <c r="B8" s="25" t="inlineStr">
        <is>
          <t>DOMESTIC</t>
        </is>
      </c>
      <c r="C8" s="31" t="n">
        <v>237</v>
      </c>
      <c r="D8" s="31" t="n">
        <v>70460</v>
      </c>
      <c r="E8" s="31" t="n">
        <v>71694</v>
      </c>
      <c r="F8" s="31" t="n">
        <v>1382</v>
      </c>
      <c r="G8" s="57" t="n">
        <v>334621.18</v>
      </c>
      <c r="H8" s="31" t="n">
        <v>23273</v>
      </c>
      <c r="I8" s="31" t="n">
        <v>23499</v>
      </c>
      <c r="J8" s="58">
        <f>IF(AND(OR('Панель BI'!$C$6="Все","декабрь 2025"='Панель BI'!$C$6),OR('Панель BI'!$L$6="Все",$B8='Панель BI'!$L$6)),1,0)</f>
        <v/>
      </c>
      <c r="K8" s="58">
        <f>IF(OR('Панель BI'!$L$6="Все",$B8='Панель BI'!$L$6),1,0)</f>
        <v/>
      </c>
    </row>
    <row r="9">
      <c r="A9" s="25" t="inlineStr">
        <is>
          <t>2025-12</t>
        </is>
      </c>
      <c r="B9" s="25" t="inlineStr">
        <is>
          <t>IMPORT</t>
        </is>
      </c>
      <c r="C9" s="31" t="n">
        <v>59</v>
      </c>
      <c r="D9" s="31" t="n">
        <v>50577</v>
      </c>
      <c r="E9" s="31" t="n">
        <v>51615</v>
      </c>
      <c r="F9" s="31" t="n">
        <v>1146</v>
      </c>
      <c r="G9" s="57" t="n">
        <v>139333.04</v>
      </c>
      <c r="H9" s="31" t="n">
        <v>16819</v>
      </c>
      <c r="I9" s="31" t="n">
        <v>16887</v>
      </c>
      <c r="J9" s="58">
        <f>IF(AND(OR('Панель BI'!$C$6="Все","декабрь 2025"='Панель BI'!$C$6),OR('Панель BI'!$L$6="Все",$B9='Панель BI'!$L$6)),1,0)</f>
        <v/>
      </c>
      <c r="K9" s="58">
        <f>IF(OR('Панель BI'!$L$6="Все",$B9='Панель BI'!$L$6),1,0)</f>
        <v/>
      </c>
    </row>
    <row r="10">
      <c r="A10" s="25" t="inlineStr">
        <is>
          <t>2026-01</t>
        </is>
      </c>
      <c r="B10" s="25" t="inlineStr">
        <is>
          <t>DOMESTIC</t>
        </is>
      </c>
      <c r="C10" s="31" t="n">
        <v>226</v>
      </c>
      <c r="D10" s="31" t="n">
        <v>67736</v>
      </c>
      <c r="E10" s="31" t="n">
        <v>69099</v>
      </c>
      <c r="F10" s="31" t="n">
        <v>1465</v>
      </c>
      <c r="G10" s="57" t="n">
        <v>320536.16</v>
      </c>
      <c r="H10" s="31" t="n">
        <v>22300</v>
      </c>
      <c r="I10" s="31" t="n">
        <v>22387</v>
      </c>
      <c r="J10" s="58">
        <f>IF(AND(OR('Панель BI'!$C$6="Все","январь 2026"='Панель BI'!$C$6),OR('Панель BI'!$L$6="Все",$B10='Панель BI'!$L$6)),1,0)</f>
        <v/>
      </c>
      <c r="K10" s="58">
        <f>IF(OR('Панель BI'!$L$6="Все",$B10='Панель BI'!$L$6),1,0)</f>
        <v/>
      </c>
    </row>
    <row r="11">
      <c r="A11" s="25" t="inlineStr">
        <is>
          <t>2026-01</t>
        </is>
      </c>
      <c r="B11" s="25" t="inlineStr">
        <is>
          <t>IMPORT</t>
        </is>
      </c>
      <c r="C11" s="31" t="n">
        <v>57</v>
      </c>
      <c r="D11" s="31" t="n">
        <v>49074</v>
      </c>
      <c r="E11" s="31" t="n">
        <v>49823</v>
      </c>
      <c r="F11" s="31" t="n">
        <v>818</v>
      </c>
      <c r="G11" s="57" t="n">
        <v>134954.89</v>
      </c>
      <c r="H11" s="31" t="n">
        <v>16397</v>
      </c>
      <c r="I11" s="31" t="n">
        <v>16468</v>
      </c>
      <c r="J11" s="58">
        <f>IF(AND(OR('Панель BI'!$C$6="Все","январь 2026"='Панель BI'!$C$6),OR('Панель BI'!$L$6="Все",$B11='Панель BI'!$L$6)),1,0)</f>
        <v/>
      </c>
      <c r="K11" s="58">
        <f>IF(OR('Панель BI'!$L$6="Все",$B11='Панель BI'!$L$6),1,0)</f>
        <v/>
      </c>
    </row>
    <row r="12">
      <c r="A12" s="25" t="inlineStr">
        <is>
          <t>2026-02</t>
        </is>
      </c>
      <c r="B12" s="25" t="inlineStr">
        <is>
          <t>DOMESTIC</t>
        </is>
      </c>
      <c r="C12" s="31" t="n">
        <v>198</v>
      </c>
      <c r="D12" s="31" t="n">
        <v>58947</v>
      </c>
      <c r="E12" s="31" t="n">
        <v>60316</v>
      </c>
      <c r="F12" s="31" t="n">
        <v>1446</v>
      </c>
      <c r="G12" s="57" t="n">
        <v>279285.08</v>
      </c>
      <c r="H12" s="31" t="n">
        <v>19433</v>
      </c>
      <c r="I12" s="31" t="n">
        <v>19448</v>
      </c>
      <c r="J12" s="58">
        <f>IF(AND(OR('Панель BI'!$C$6="Все","февраль 2026"='Панель BI'!$C$6),OR('Панель BI'!$L$6="Все",$B12='Панель BI'!$L$6)),1,0)</f>
        <v/>
      </c>
      <c r="K12" s="58">
        <f>IF(OR('Панель BI'!$L$6="Все",$B12='Панель BI'!$L$6),1,0)</f>
        <v/>
      </c>
    </row>
    <row r="13">
      <c r="A13" s="25" t="inlineStr">
        <is>
          <t>2026-02</t>
        </is>
      </c>
      <c r="B13" s="25" t="inlineStr">
        <is>
          <t>IMPORT</t>
        </is>
      </c>
      <c r="C13" s="31" t="n">
        <v>51</v>
      </c>
      <c r="D13" s="31" t="n">
        <v>44302</v>
      </c>
      <c r="E13" s="31" t="n">
        <v>45258</v>
      </c>
      <c r="F13" s="31" t="n">
        <v>1034</v>
      </c>
      <c r="G13" s="57" t="n">
        <v>121829.7</v>
      </c>
      <c r="H13" s="31" t="n">
        <v>14742</v>
      </c>
      <c r="I13" s="31" t="n">
        <v>14848</v>
      </c>
      <c r="J13" s="58">
        <f>IF(AND(OR('Панель BI'!$C$6="Все","февраль 2026"='Панель BI'!$C$6),OR('Панель BI'!$L$6="Все",$B13='Панель BI'!$L$6)),1,0)</f>
        <v/>
      </c>
      <c r="K13" s="58">
        <f>IF(OR('Панель BI'!$L$6="Все",$B13='Панель BI'!$L$6),1,0)</f>
        <v/>
      </c>
    </row>
    <row r="14">
      <c r="A14" s="25" t="inlineStr">
        <is>
          <t>2026-03</t>
        </is>
      </c>
      <c r="B14" s="25" t="inlineStr">
        <is>
          <t>DOMESTIC</t>
        </is>
      </c>
      <c r="C14" s="31" t="n">
        <v>233</v>
      </c>
      <c r="D14" s="31" t="n">
        <v>72373</v>
      </c>
      <c r="E14" s="31" t="n">
        <v>73854</v>
      </c>
      <c r="F14" s="31" t="n">
        <v>1633</v>
      </c>
      <c r="G14" s="57" t="n">
        <v>337511.27</v>
      </c>
      <c r="H14" s="31" t="n">
        <v>23942</v>
      </c>
      <c r="I14" s="31" t="n">
        <v>24042</v>
      </c>
      <c r="J14" s="58">
        <f>IF(AND(OR('Панель BI'!$C$6="Все","март 2026"='Панель BI'!$C$6),OR('Панель BI'!$L$6="Все",$B14='Панель BI'!$L$6)),1,0)</f>
        <v/>
      </c>
      <c r="K14" s="58">
        <f>IF(OR('Панель BI'!$L$6="Все",$B14='Панель BI'!$L$6),1,0)</f>
        <v/>
      </c>
    </row>
    <row r="15">
      <c r="A15" s="25" t="inlineStr">
        <is>
          <t>2026-03</t>
        </is>
      </c>
      <c r="B15" s="25" t="inlineStr">
        <is>
          <t>IMPORT</t>
        </is>
      </c>
      <c r="C15" s="31" t="n">
        <v>49</v>
      </c>
      <c r="D15" s="31" t="n">
        <v>44574</v>
      </c>
      <c r="E15" s="31" t="n">
        <v>45470</v>
      </c>
      <c r="F15" s="31" t="n">
        <v>978</v>
      </c>
      <c r="G15" s="57" t="n">
        <v>122578.54</v>
      </c>
      <c r="H15" s="31" t="n">
        <v>14722</v>
      </c>
      <c r="I15" s="31" t="n">
        <v>14777</v>
      </c>
      <c r="J15" s="58">
        <f>IF(AND(OR('Панель BI'!$C$6="Все","март 2026"='Панель BI'!$C$6),OR('Панель BI'!$L$6="Все",$B15='Панель BI'!$L$6)),1,0)</f>
        <v/>
      </c>
      <c r="K15" s="58">
        <f>IF(OR('Панель BI'!$L$6="Все",$B15='Панель BI'!$L$6),1,0)</f>
        <v/>
      </c>
    </row>
    <row r="16">
      <c r="A16" s="25" t="inlineStr">
        <is>
          <t>2026-04</t>
        </is>
      </c>
      <c r="B16" s="25" t="inlineStr">
        <is>
          <t>DOMESTIC</t>
        </is>
      </c>
      <c r="C16" s="31" t="n">
        <v>236</v>
      </c>
      <c r="D16" s="31" t="n">
        <v>70982</v>
      </c>
      <c r="E16" s="31" t="n">
        <v>72580</v>
      </c>
      <c r="F16" s="31" t="n">
        <v>1731</v>
      </c>
      <c r="G16" s="57" t="n">
        <v>334270.54</v>
      </c>
      <c r="H16" s="31" t="n">
        <v>23499</v>
      </c>
      <c r="I16" s="31" t="n">
        <v>23610</v>
      </c>
      <c r="J16" s="58">
        <f>IF(AND(OR('Панель BI'!$C$6="Все","апрель 2026"='Панель BI'!$C$6),OR('Панель BI'!$L$6="Все",$B16='Панель BI'!$L$6)),1,0)</f>
        <v/>
      </c>
      <c r="K16" s="58">
        <f>IF(OR('Панель BI'!$L$6="Все",$B16='Панель BI'!$L$6),1,0)</f>
        <v/>
      </c>
    </row>
    <row r="17">
      <c r="A17" s="25" t="inlineStr">
        <is>
          <t>2026-04</t>
        </is>
      </c>
      <c r="B17" s="25" t="inlineStr">
        <is>
          <t>IMPORT</t>
        </is>
      </c>
      <c r="C17" s="31" t="n">
        <v>41</v>
      </c>
      <c r="D17" s="31" t="n">
        <v>36660</v>
      </c>
      <c r="E17" s="31" t="n">
        <v>37444</v>
      </c>
      <c r="F17" s="31" t="n">
        <v>816</v>
      </c>
      <c r="G17" s="57" t="n">
        <v>95475.35000000001</v>
      </c>
      <c r="H17" s="31" t="n">
        <v>12172</v>
      </c>
      <c r="I17" s="31" t="n">
        <v>12307</v>
      </c>
      <c r="J17" s="58">
        <f>IF(AND(OR('Панель BI'!$C$6="Все","апрель 2026"='Панель BI'!$C$6),OR('Панель BI'!$L$6="Все",$B17='Панель BI'!$L$6)),1,0)</f>
        <v/>
      </c>
      <c r="K17" s="58">
        <f>IF(OR('Панель BI'!$L$6="Все",$B17='Панель BI'!$L$6),1,0)</f>
        <v/>
      </c>
    </row>
    <row r="18">
      <c r="A18" s="25" t="inlineStr">
        <is>
          <t>2026-05</t>
        </is>
      </c>
      <c r="B18" s="25" t="inlineStr">
        <is>
          <t>DOMESTIC</t>
        </is>
      </c>
      <c r="C18" s="31" t="n">
        <v>209</v>
      </c>
      <c r="D18" s="31" t="n">
        <v>62272</v>
      </c>
      <c r="E18" s="31" t="n">
        <v>63377</v>
      </c>
      <c r="F18" s="31" t="n">
        <v>1208</v>
      </c>
      <c r="G18" s="57" t="n">
        <v>291568.73</v>
      </c>
      <c r="H18" s="31" t="n">
        <v>20530</v>
      </c>
      <c r="I18" s="31" t="n">
        <v>20668</v>
      </c>
      <c r="J18" s="58">
        <f>IF(AND(OR('Панель BI'!$C$6="Все","май 2026"='Панель BI'!$C$6),OR('Панель BI'!$L$6="Все",$B18='Панель BI'!$L$6)),1,0)</f>
        <v/>
      </c>
      <c r="K18" s="58">
        <f>IF(OR('Панель BI'!$L$6="Все",$B18='Панель BI'!$L$6),1,0)</f>
        <v/>
      </c>
    </row>
    <row r="19">
      <c r="A19" s="25" t="inlineStr">
        <is>
          <t>2026-05</t>
        </is>
      </c>
      <c r="B19" s="25" t="inlineStr">
        <is>
          <t>IMPORT</t>
        </is>
      </c>
      <c r="C19" s="31" t="n">
        <v>57</v>
      </c>
      <c r="D19" s="31" t="n">
        <v>50133</v>
      </c>
      <c r="E19" s="31" t="n">
        <v>51350</v>
      </c>
      <c r="F19" s="31" t="n">
        <v>1273</v>
      </c>
      <c r="G19" s="57" t="n">
        <v>137866.31</v>
      </c>
      <c r="H19" s="31" t="n">
        <v>16541</v>
      </c>
      <c r="I19" s="31" t="n">
        <v>16538</v>
      </c>
      <c r="J19" s="58">
        <f>IF(AND(OR('Панель BI'!$C$6="Все","май 2026"='Панель BI'!$C$6),OR('Панель BI'!$L$6="Все",$B19='Панель BI'!$L$6)),1,0)</f>
        <v/>
      </c>
      <c r="K19" s="58">
        <f>IF(OR('Панель BI'!$L$6="Все",$B19='Панель BI'!$L$6),1,0)</f>
        <v/>
      </c>
    </row>
    <row r="20">
      <c r="A20" s="25" t="inlineStr">
        <is>
          <t>2026-06</t>
        </is>
      </c>
      <c r="B20" s="25" t="inlineStr">
        <is>
          <t>DOMESTIC</t>
        </is>
      </c>
      <c r="C20" s="31" t="n">
        <v>227</v>
      </c>
      <c r="D20" s="31" t="n">
        <v>68082</v>
      </c>
      <c r="E20" s="31" t="n">
        <v>69566</v>
      </c>
      <c r="F20" s="31" t="n">
        <v>1577</v>
      </c>
      <c r="G20" s="57" t="n">
        <v>322970.91</v>
      </c>
      <c r="H20" s="31" t="n">
        <v>22570</v>
      </c>
      <c r="I20" s="31" t="n">
        <v>22715</v>
      </c>
      <c r="J20" s="58">
        <f>IF(AND(OR('Панель BI'!$C$6="Все","июнь 2026"='Панель BI'!$C$6),OR('Панель BI'!$L$6="Все",$B20='Панель BI'!$L$6)),1,0)</f>
        <v/>
      </c>
      <c r="K20" s="58">
        <f>IF(OR('Панель BI'!$L$6="Все",$B20='Панель BI'!$L$6),1,0)</f>
        <v/>
      </c>
    </row>
    <row r="21">
      <c r="A21" s="25" t="inlineStr">
        <is>
          <t>2026-06</t>
        </is>
      </c>
      <c r="B21" s="25" t="inlineStr">
        <is>
          <t>IMPORT</t>
        </is>
      </c>
      <c r="C21" s="31" t="n">
        <v>39</v>
      </c>
      <c r="D21" s="31" t="n">
        <v>35958</v>
      </c>
      <c r="E21" s="31" t="n">
        <v>36619</v>
      </c>
      <c r="F21" s="31" t="n">
        <v>737</v>
      </c>
      <c r="G21" s="57" t="n">
        <v>98884.50999999999</v>
      </c>
      <c r="H21" s="31" t="n">
        <v>11748</v>
      </c>
      <c r="I21" s="31" t="n">
        <v>11927</v>
      </c>
      <c r="J21" s="58">
        <f>IF(AND(OR('Панель BI'!$C$6="Все","июнь 2026"='Панель BI'!$C$6),OR('Панель BI'!$L$6="Все",$B21='Панель BI'!$L$6)),1,0)</f>
        <v/>
      </c>
      <c r="K21" s="58">
        <f>IF(OR('Панель BI'!$L$6="Все",$B21='Панель BI'!$L$6),1,0)</f>
        <v/>
      </c>
    </row>
    <row r="22">
      <c r="A22" s="25" t="inlineStr">
        <is>
          <t>2026-07</t>
        </is>
      </c>
      <c r="B22" s="25" t="inlineStr">
        <is>
          <t>DOMESTIC</t>
        </is>
      </c>
      <c r="C22" s="31" t="n">
        <v>239</v>
      </c>
      <c r="D22" s="31" t="n">
        <v>71628</v>
      </c>
      <c r="E22" s="31" t="n">
        <v>73130</v>
      </c>
      <c r="F22" s="31" t="n">
        <v>1634</v>
      </c>
      <c r="G22" s="57" t="n">
        <v>340377.47</v>
      </c>
      <c r="H22" s="31" t="n">
        <v>23663</v>
      </c>
      <c r="I22" s="31" t="n">
        <v>23729</v>
      </c>
      <c r="J22" s="58">
        <f>IF(AND(OR('Панель BI'!$C$6="Все","июль 2026"='Панель BI'!$C$6),OR('Панель BI'!$L$6="Все",$B22='Панель BI'!$L$6)),1,0)</f>
        <v/>
      </c>
      <c r="K22" s="58">
        <f>IF(OR('Панель BI'!$L$6="Все",$B22='Панель BI'!$L$6),1,0)</f>
        <v/>
      </c>
    </row>
    <row r="23">
      <c r="A23" s="25" t="inlineStr">
        <is>
          <t>2026-07</t>
        </is>
      </c>
      <c r="B23" s="25" t="inlineStr">
        <is>
          <t>IMPORT</t>
        </is>
      </c>
      <c r="C23" s="31" t="n">
        <v>48</v>
      </c>
      <c r="D23" s="31" t="n">
        <v>41721</v>
      </c>
      <c r="E23" s="31" t="n">
        <v>42647</v>
      </c>
      <c r="F23" s="31" t="n">
        <v>1029</v>
      </c>
      <c r="G23" s="57" t="n">
        <v>114732.75</v>
      </c>
      <c r="H23" s="31" t="n">
        <v>13820</v>
      </c>
      <c r="I23" s="31" t="n">
        <v>13865</v>
      </c>
      <c r="J23" s="58">
        <f>IF(AND(OR('Панель BI'!$C$6="Все","июль 2026"='Панель BI'!$C$6),OR('Панель BI'!$L$6="Все",$B23='Панель BI'!$L$6)),1,0)</f>
        <v/>
      </c>
      <c r="K23" s="58">
        <f>IF(OR('Панель BI'!$L$6="Все",$B23='Панель BI'!$L$6),1,0)</f>
        <v/>
      </c>
    </row>
    <row r="24">
      <c r="A24" s="25" t="inlineStr">
        <is>
          <t>2026-08</t>
        </is>
      </c>
      <c r="B24" s="25" t="inlineStr">
        <is>
          <t>DOMESTIC</t>
        </is>
      </c>
      <c r="C24" s="31" t="n">
        <v>232</v>
      </c>
      <c r="D24" s="31" t="n">
        <v>69275</v>
      </c>
      <c r="E24" s="31" t="n">
        <v>70446</v>
      </c>
      <c r="F24" s="31" t="n">
        <v>1310</v>
      </c>
      <c r="G24" s="57" t="n">
        <v>329957.05</v>
      </c>
      <c r="H24" s="31" t="n">
        <v>22919</v>
      </c>
      <c r="I24" s="31" t="n">
        <v>23082</v>
      </c>
      <c r="J24" s="58">
        <f>IF(AND(OR('Панель BI'!$C$6="Все","август 2026"='Панель BI'!$C$6),OR('Панель BI'!$L$6="Все",$B24='Панель BI'!$L$6)),1,0)</f>
        <v/>
      </c>
      <c r="K24" s="58">
        <f>IF(OR('Панель BI'!$L$6="Все",$B24='Панель BI'!$L$6),1,0)</f>
        <v/>
      </c>
    </row>
    <row r="25">
      <c r="A25" s="25" t="inlineStr">
        <is>
          <t>2026-08</t>
        </is>
      </c>
      <c r="B25" s="25" t="inlineStr">
        <is>
          <t>IMPORT</t>
        </is>
      </c>
      <c r="C25" s="31" t="n">
        <v>42</v>
      </c>
      <c r="D25" s="31" t="n">
        <v>35666</v>
      </c>
      <c r="E25" s="31" t="n">
        <v>36542</v>
      </c>
      <c r="F25" s="31" t="n">
        <v>907</v>
      </c>
      <c r="G25" s="57" t="n">
        <v>98081.2</v>
      </c>
      <c r="H25" s="31" t="n">
        <v>11883</v>
      </c>
      <c r="I25" s="31" t="n">
        <v>12094</v>
      </c>
      <c r="J25" s="58">
        <f>IF(AND(OR('Панель BI'!$C$6="Все","август 2026"='Панель BI'!$C$6),OR('Панель BI'!$L$6="Все",$B25='Панель BI'!$L$6)),1,0)</f>
        <v/>
      </c>
      <c r="K25" s="58">
        <f>IF(OR('Панель BI'!$L$6="Все",$B25='Панель BI'!$L$6),1,0)</f>
        <v/>
      </c>
    </row>
    <row r="26">
      <c r="A26" s="25" t="inlineStr">
        <is>
          <t>2026-09</t>
        </is>
      </c>
      <c r="B26" s="25" t="inlineStr">
        <is>
          <t>DOMESTIC</t>
        </is>
      </c>
      <c r="C26" s="31" t="n">
        <v>223</v>
      </c>
      <c r="D26" s="31" t="n">
        <v>69304</v>
      </c>
      <c r="E26" s="31" t="n">
        <v>71028</v>
      </c>
      <c r="F26" s="31" t="n">
        <v>1845</v>
      </c>
      <c r="G26" s="57" t="n">
        <v>242747.63</v>
      </c>
      <c r="H26" s="31" t="n">
        <v>22842</v>
      </c>
      <c r="I26" s="31" t="n">
        <v>22968</v>
      </c>
      <c r="J26" s="58">
        <f>IF(AND(OR('Панель BI'!$C$6="Все","сентябрь 2026"='Панель BI'!$C$6),OR('Панель BI'!$L$6="Все",$B26='Панель BI'!$L$6)),1,0)</f>
        <v/>
      </c>
      <c r="K26" s="58">
        <f>IF(OR('Панель BI'!$L$6="Все",$B26='Панель BI'!$L$6),1,0)</f>
        <v/>
      </c>
    </row>
    <row r="27">
      <c r="A27" s="25" t="inlineStr">
        <is>
          <t>2026-09</t>
        </is>
      </c>
      <c r="B27" s="25" t="inlineStr">
        <is>
          <t>IMPORT</t>
        </is>
      </c>
      <c r="C27" s="31" t="n">
        <v>43</v>
      </c>
      <c r="D27" s="31" t="n">
        <v>38057</v>
      </c>
      <c r="E27" s="31" t="n">
        <v>38720</v>
      </c>
      <c r="F27" s="31" t="n">
        <v>713</v>
      </c>
      <c r="G27" s="57" t="n">
        <v>130827.9</v>
      </c>
      <c r="H27" s="31" t="n">
        <v>12659</v>
      </c>
      <c r="I27" s="31" t="n">
        <v>12825</v>
      </c>
      <c r="J27" s="58">
        <f>IF(AND(OR('Панель BI'!$C$6="Все","сентябрь 2026"='Панель BI'!$C$6),OR('Панель BI'!$L$6="Все",$B27='Панель BI'!$L$6)),1,0)</f>
        <v/>
      </c>
      <c r="K27" s="58">
        <f>IF(OR('Панель BI'!$L$6="Все",$B27='Панель BI'!$L$6),1,0)</f>
        <v/>
      </c>
    </row>
  </sheetData>
  <autoFilter ref="A1:K27"/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F25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2" ht="34" customHeight="1">
      <c r="A2" s="13" t="inlineStr">
        <is>
          <t>Самопроверка методики</t>
        </is>
      </c>
    </row>
    <row r="3" ht="20" customHeight="1">
      <c r="A3" s="14" t="inlineStr">
        <is>
          <t>Лист существует только для сгенерированного набора: в него намеренно заложено известное число дефектов каждого вида.</t>
        </is>
      </c>
    </row>
    <row r="5">
      <c r="A5" s="11" t="inlineStr">
        <is>
          <t>Зачем это нужно</t>
        </is>
      </c>
    </row>
    <row r="6" ht="24" customHeight="1">
      <c r="A6" s="12" t="inlineStr">
        <is>
          <t>•  Проверка, которой нечего находить, ничего не доказывает: она одинаково молчит и когда всё чисто, и когда сама сломана.</t>
        </is>
      </c>
    </row>
    <row r="7" ht="36" customHeight="1">
      <c r="A7" s="12" t="inlineStr">
        <is>
          <t>•  Поэтому набор данных генерируется с известным числом нарушений каждого вида, а проверка прогоняется вслепую. Совпадение «подложено» и «найдено» по всем процедурам — доказательство, что методика ловит то, что должна, и не выдумывает лишнего.</t>
        </is>
      </c>
    </row>
    <row r="8" ht="24" customHeight="1">
      <c r="A8" s="12" t="inlineStr">
        <is>
          <t>•  Расхождение в любую сторону — отказ: «найдено меньше» означает пропуск, «найдено больше» — ложные срабатывания, и то и другое делает вывод непригодным.</t>
        </is>
      </c>
    </row>
    <row r="10" ht="30" customHeight="1">
      <c r="A10" s="33" t="inlineStr">
        <is>
          <t>Код</t>
        </is>
      </c>
      <c r="B10" s="33" t="inlineStr">
        <is>
          <t>Процедура</t>
        </is>
      </c>
      <c r="C10" s="33" t="inlineStr">
        <is>
          <t>Подложено дефектов</t>
        </is>
      </c>
      <c r="D10" s="33" t="inlineStr">
        <is>
          <t>Найдено</t>
        </is>
      </c>
      <c r="E10" s="33" t="inlineStr">
        <is>
          <t>Разница</t>
        </is>
      </c>
      <c r="F10" s="33" t="inlineStr">
        <is>
          <t>Итог</t>
        </is>
      </c>
    </row>
    <row r="11">
      <c r="A11" s="34" t="inlineStr">
        <is>
          <t>T-01</t>
        </is>
      </c>
      <c r="B11" s="34" t="inlineStr">
        <is>
          <t>Пересчёт заработной платы водителей</t>
        </is>
      </c>
      <c r="C11" s="38" t="n">
        <v>18</v>
      </c>
      <c r="D11" s="38" t="n">
        <v>18</v>
      </c>
      <c r="E11" s="38" t="n">
        <v>0</v>
      </c>
      <c r="F11" s="36" t="inlineStr">
        <is>
          <t>Совпало</t>
        </is>
      </c>
    </row>
    <row r="12">
      <c r="A12" s="40" t="inlineStr">
        <is>
          <t>T-02</t>
        </is>
      </c>
      <c r="B12" s="40" t="inlineStr">
        <is>
          <t>Целостность периодов действия ставки</t>
        </is>
      </c>
      <c r="C12" s="42" t="n">
        <v>0</v>
      </c>
      <c r="D12" s="42" t="n">
        <v>0</v>
      </c>
      <c r="E12" s="42" t="n">
        <v>0</v>
      </c>
      <c r="F12" s="36" t="inlineStr">
        <is>
          <t>Совпало</t>
        </is>
      </c>
    </row>
    <row r="13">
      <c r="A13" s="34" t="inlineStr">
        <is>
          <t>T-03</t>
        </is>
      </c>
      <c r="B13" s="34" t="inlineStr">
        <is>
          <t>Слив отсеками целиком</t>
        </is>
      </c>
      <c r="C13" s="38" t="n">
        <v>10</v>
      </c>
      <c r="D13" s="38" t="n">
        <v>10</v>
      </c>
      <c r="E13" s="38" t="n">
        <v>0</v>
      </c>
      <c r="F13" s="36" t="inlineStr">
        <is>
          <t>Совпало</t>
        </is>
      </c>
    </row>
    <row r="14">
      <c r="A14" s="40" t="inlineStr">
        <is>
          <t>T-04</t>
        </is>
      </c>
      <c r="B14" s="40" t="inlineStr">
        <is>
          <t>Контроль переполнения резервуара</t>
        </is>
      </c>
      <c r="C14" s="42" t="n">
        <v>5</v>
      </c>
      <c r="D14" s="42" t="n">
        <v>5</v>
      </c>
      <c r="E14" s="42" t="n">
        <v>0</v>
      </c>
      <c r="F14" s="36" t="inlineStr">
        <is>
          <t>Совпало</t>
        </is>
      </c>
    </row>
    <row r="15">
      <c r="A15" s="34" t="inlineStr">
        <is>
          <t>T-05</t>
        </is>
      </c>
      <c r="B15" s="34" t="inlineStr">
        <is>
          <t>Сверка отгрузки и приёмки</t>
        </is>
      </c>
      <c r="C15" s="38" t="n">
        <v>197</v>
      </c>
      <c r="D15" s="38" t="n">
        <v>197</v>
      </c>
      <c r="E15" s="38" t="n">
        <v>0</v>
      </c>
      <c r="F15" s="36" t="inlineStr">
        <is>
          <t>Совпало</t>
        </is>
      </c>
    </row>
    <row r="16">
      <c r="A16" s="40" t="inlineStr">
        <is>
          <t>T-06</t>
        </is>
      </c>
      <c r="B16" s="40" t="inlineStr">
        <is>
          <t>Необоснованный пробег</t>
        </is>
      </c>
      <c r="C16" s="42" t="n">
        <v>151</v>
      </c>
      <c r="D16" s="42" t="n">
        <v>151</v>
      </c>
      <c r="E16" s="42" t="n">
        <v>0</v>
      </c>
      <c r="F16" s="36" t="inlineStr">
        <is>
          <t>Совпало</t>
        </is>
      </c>
    </row>
    <row r="17">
      <c r="A17" s="34" t="inlineStr">
        <is>
          <t>T-07</t>
        </is>
      </c>
      <c r="B17" s="34" t="inlineStr">
        <is>
          <t>Перерасход топлива бензовозом</t>
        </is>
      </c>
      <c r="C17" s="38" t="n">
        <v>96</v>
      </c>
      <c r="D17" s="38" t="n">
        <v>96</v>
      </c>
      <c r="E17" s="38" t="n">
        <v>0</v>
      </c>
      <c r="F17" s="36" t="inlineStr">
        <is>
          <t>Совпало</t>
        </is>
      </c>
    </row>
    <row r="18">
      <c r="A18" s="40" t="inlineStr">
        <is>
          <t>T-08</t>
        </is>
      </c>
      <c r="B18" s="40" t="inlineStr">
        <is>
          <t>Полнота учёта рейса</t>
        </is>
      </c>
      <c r="C18" s="42" t="n">
        <v>19</v>
      </c>
      <c r="D18" s="42" t="n">
        <v>19</v>
      </c>
      <c r="E18" s="42" t="n">
        <v>0</v>
      </c>
      <c r="F18" s="36" t="inlineStr">
        <is>
          <t>Совпало</t>
        </is>
      </c>
    </row>
    <row r="19">
      <c r="A19" s="34" t="inlineStr">
        <is>
          <t>T-09</t>
        </is>
      </c>
      <c r="B19" s="34" t="inlineStr">
        <is>
          <t>Хронология исполнения рейса</t>
        </is>
      </c>
      <c r="C19" s="38" t="n">
        <v>35</v>
      </c>
      <c r="D19" s="38" t="n">
        <v>35</v>
      </c>
      <c r="E19" s="38" t="n">
        <v>0</v>
      </c>
      <c r="F19" s="36" t="inlineStr">
        <is>
          <t>Совпало</t>
        </is>
      </c>
    </row>
    <row r="20">
      <c r="A20" s="40" t="inlineStr">
        <is>
          <t>T-10</t>
        </is>
      </c>
      <c r="B20" s="40" t="inlineStr">
        <is>
          <t>Разделение полномочий</t>
        </is>
      </c>
      <c r="C20" s="42" t="n">
        <v>74</v>
      </c>
      <c r="D20" s="42" t="n">
        <v>74</v>
      </c>
      <c r="E20" s="42" t="n">
        <v>0</v>
      </c>
      <c r="F20" s="36" t="inlineStr">
        <is>
          <t>Совпало</t>
        </is>
      </c>
    </row>
    <row r="21">
      <c r="A21" s="34" t="inlineStr">
        <is>
          <t>T-11</t>
        </is>
      </c>
      <c r="B21" s="34" t="inlineStr">
        <is>
          <t>Дублирование документов</t>
        </is>
      </c>
      <c r="C21" s="38" t="n">
        <v>3</v>
      </c>
      <c r="D21" s="38" t="n">
        <v>3</v>
      </c>
      <c r="E21" s="38" t="n">
        <v>0</v>
      </c>
      <c r="F21" s="36" t="inlineStr">
        <is>
          <t>Совпало</t>
        </is>
      </c>
    </row>
    <row r="22">
      <c r="A22" s="40" t="inlineStr">
        <is>
          <t>T-12</t>
        </is>
      </c>
      <c r="B22" s="40" t="inlineStr">
        <is>
          <t>Непротиворечивость справочников</t>
        </is>
      </c>
      <c r="C22" s="42" t="n">
        <v>2</v>
      </c>
      <c r="D22" s="42" t="n">
        <v>2</v>
      </c>
      <c r="E22" s="42" t="n">
        <v>0</v>
      </c>
      <c r="F22" s="36" t="inlineStr">
        <is>
          <t>Совпало</t>
        </is>
      </c>
    </row>
    <row r="23">
      <c r="A23" s="34" t="inlineStr">
        <is>
          <t>T-13</t>
        </is>
      </c>
      <c r="B23" s="34" t="inlineStr">
        <is>
          <t>Покрытие страхового запаса</t>
        </is>
      </c>
      <c r="C23" s="38" t="n">
        <v>6</v>
      </c>
      <c r="D23" s="38" t="n">
        <v>6</v>
      </c>
      <c r="E23" s="38" t="n">
        <v>0</v>
      </c>
      <c r="F23" s="36" t="inlineStr">
        <is>
          <t>Совпало</t>
        </is>
      </c>
    </row>
    <row r="25" ht="30" customHeight="1">
      <c r="A25" s="59" t="inlineStr">
        <is>
          <t>ИТОГ: методика воспроизвела все заложенные дефекты и не дала ложных срабатываний.</t>
        </is>
      </c>
    </row>
  </sheetData>
  <mergeCells count="7">
    <mergeCell ref="A2:F2"/>
    <mergeCell ref="A5:F5"/>
    <mergeCell ref="A8:F8"/>
    <mergeCell ref="A6:F6"/>
    <mergeCell ref="A3:F3"/>
    <mergeCell ref="A7:F7"/>
    <mergeCell ref="A25:F25"/>
  </mergeCells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C39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4" customHeight="1">
      <c r="A2" s="13" t="inlineStr">
        <is>
          <t>Методика, шкалы и определения</t>
        </is>
      </c>
    </row>
    <row r="4">
      <c r="A4" s="11" t="inlineStr">
        <is>
          <t>Подход</t>
        </is>
      </c>
    </row>
    <row r="5" ht="24" customHeight="1">
      <c r="A5" s="12" t="inlineStr">
        <is>
          <t>1. Тестирование полной популяции (data &amp; analytics): каждый документ периода пересчитан независимо, выборочный метод применён только там, где контроль не отражён в данных.</t>
        </is>
      </c>
    </row>
    <row r="6" ht="24" customHeight="1">
      <c r="A6" s="12" t="inlineStr">
        <is>
          <t>2. Пересчёт выполнен отдельной реализацией формул (modules/autopark/audit.py), не использующей проверяемый код расчёта, — совпадение результата не может быть следствием общей ошибки.</t>
        </is>
      </c>
    </row>
    <row r="7" ht="24" customHeight="1">
      <c r="A7" s="12" t="inlineStr">
        <is>
          <t>3. Оценка контроля даётся по двум измерениям: дизайн (предотвращает ли правило ошибку в принципе) и операционная эффективность (срабатывало ли оно на данных периода).</t>
        </is>
      </c>
    </row>
    <row r="8" ht="24" customHeight="1">
      <c r="A8" s="12" t="inlineStr">
        <is>
          <t>4. Контроль с дефектом дизайна не получает оценку выше «требует улучшения», даже если отклонений в периоде не обнаружено.</t>
        </is>
      </c>
    </row>
    <row r="9" ht="14" customHeight="1">
      <c r="A9" s="12" t="inlineStr">
        <is>
          <t>5. Значимость находки определяется долей отклонений и денежной оценкой, а не экспертным суждением.</t>
        </is>
      </c>
    </row>
    <row r="11">
      <c r="A11" s="11" t="inlineStr">
        <is>
          <t>Предмет проверки</t>
        </is>
      </c>
    </row>
    <row r="12" ht="24" customHeight="1">
      <c r="A12" s="12" t="inlineStr">
        <is>
          <t>1. Расчёт заработной платы водителей бензовозов по нормативному пробегу (ТЗ «Автоматизация расчёта расходов автопарка» от 18.09.2026).</t>
        </is>
      </c>
    </row>
    <row r="13" ht="24" customHeight="1">
      <c r="A13" s="12" t="inlineStr">
        <is>
          <t>2. Планирование потребности АЗС в топливе, формирование и исполнение рейсов (ТЗ «Автоматизация распределения топлива» от 18.09.2026).</t>
        </is>
      </c>
    </row>
    <row r="14" ht="14" customHeight="1">
      <c r="A14" s="12" t="inlineStr">
        <is>
          <t>3. Контроль фактического пробега и расхода дизельного топлива бензовозами.</t>
        </is>
      </c>
    </row>
    <row r="15" ht="24" customHeight="1">
      <c r="A15" s="12" t="inlineStr">
        <is>
          <t>4. Настройки контура, действующие по периодам: ставка за километр, лимиты резервуаров, состав отсеков и групп АЗС.</t>
        </is>
      </c>
    </row>
    <row r="17">
      <c r="A17" s="11" t="inlineStr">
        <is>
          <t>Ограничения</t>
        </is>
      </c>
    </row>
    <row r="18" ht="36" customHeight="1">
      <c r="A18" s="12" t="inlineStr">
        <is>
          <t>1. Аудит проверяет внутреннюю непротиворечивость системы и соответствие её собственным правилам. Он не подтверждает достоверность исходных данных: что бензовоз физически проехал маршрут, а в резервуар фактически поступили литры.</t>
        </is>
      </c>
    </row>
    <row r="19" ht="24" customHeight="1">
      <c r="A19" s="12" t="inlineStr">
        <is>
          <t>2. Фактический пробег и расход топлива принимаются в том виде, в каком их передаёт GPS-прослойка; независимая сверка с показаниями провайдера в объём работы не входила.</t>
        </is>
      </c>
    </row>
    <row r="20" ht="24" customHeight="1">
      <c r="A20" s="12" t="inlineStr">
        <is>
          <t>3. Остатки в резервуарах приняты по данным контура. Сверка с Petrol Expert и инвентаризацией не проводилась — интеграция не подключена.</t>
        </is>
      </c>
    </row>
    <row r="21" ht="24" customHeight="1">
      <c r="A21" s="12" t="inlineStr">
        <is>
          <t>4. Заключение относится к периоду и набору данных, указанным на титульном листе, и не распространяется на последующие изменения конфигурации.</t>
        </is>
      </c>
    </row>
    <row r="23">
      <c r="A23" s="11" t="inlineStr">
        <is>
          <t>Определения</t>
        </is>
      </c>
    </row>
    <row r="24" ht="24" customHeight="1">
      <c r="A24" s="12" t="inlineStr">
        <is>
          <t>•  Контроль — правило, которое должно не допустить ошибку. Оценивается по двум измерениям: дизайн и операционная эффективность.</t>
        </is>
      </c>
    </row>
    <row r="25" ht="14" customHeight="1">
      <c r="A25" s="12" t="inlineStr">
        <is>
          <t>•  Тест по существу — независимый пересчёт величины аудитором и сравнение с тем, что в системе.</t>
        </is>
      </c>
    </row>
    <row r="26" ht="14" customHeight="1">
      <c r="A26" s="12" t="inlineStr">
        <is>
          <t>•  Полная популяция — проверены все документы периода, а не выборка. Возможно там, где данные машинные.</t>
        </is>
      </c>
    </row>
    <row r="27" ht="14" customHeight="1">
      <c r="A27" s="12" t="inlineStr">
        <is>
          <t>•  Отклонение — единичное несовпадение. Находка — вывод, к которому приводит совокупность отклонений.</t>
        </is>
      </c>
    </row>
    <row r="28" ht="14" customHeight="1">
      <c r="A28" s="12" t="inlineStr">
        <is>
          <t>•  Значимость находки выводится из доли отклонений и денежной оценки, а не назначается экспертно.</t>
        </is>
      </c>
    </row>
    <row r="30">
      <c r="A30" s="11" t="inlineStr">
        <is>
          <t>Шкала оценки контроля</t>
        </is>
      </c>
    </row>
    <row r="31" ht="14" customHeight="1">
      <c r="A31" s="12" t="inlineStr">
        <is>
          <t>•  Эффективен — отклонений не выявлено и дизайн контроля не имеет дефектов.</t>
        </is>
      </c>
    </row>
    <row r="32" ht="14" customHeight="1">
      <c r="A32" s="12" t="inlineStr">
        <is>
          <t>•  Требует улучшения — отклонения выявлены в пределах 5 % популяции, либо дизайн контроля позволяет его обойти.</t>
        </is>
      </c>
    </row>
    <row r="33" ht="14" customHeight="1">
      <c r="A33" s="12" t="inlineStr">
        <is>
          <t>•  Неэффективен — отклонения более чем в 5 % проверенных объектов.</t>
        </is>
      </c>
    </row>
    <row r="34" ht="24" customHeight="1">
      <c r="A34" s="12" t="inlineStr">
        <is>
          <t>•  Не тестировался — в данных нет реквизита для проверки. Это отсутствие доказательства, а не подтверждение исправности.</t>
        </is>
      </c>
    </row>
    <row r="36">
      <c r="A36" s="11" t="inlineStr">
        <is>
          <t>Источники данных</t>
        </is>
      </c>
    </row>
    <row r="37" ht="24" customHeight="1">
      <c r="A37" s="12" t="inlineStr">
        <is>
          <t>•  Oracle-объекты контура с префиксом FLT_ (рейсы, позиции груза, резервуары, бензовозы, водители, периоды ставок, цены ANRE).</t>
        </is>
      </c>
    </row>
    <row r="38" ht="14" customHeight="1">
      <c r="A38" s="12" t="inlineStr">
        <is>
          <t>•  Фактический пробег и расход топлива — из GPS-прослойки контура в том виде, в каком их передал провайдер.</t>
        </is>
      </c>
    </row>
    <row r="39" ht="14" customHeight="1">
      <c r="A39" s="12" t="inlineStr">
        <is>
          <t>•  Цены продуктов — последнее решение ANRE на дату окончания периода.</t>
        </is>
      </c>
    </row>
  </sheetData>
  <mergeCells count="32">
    <mergeCell ref="A25:C25"/>
    <mergeCell ref="A37:C37"/>
    <mergeCell ref="A18:C18"/>
    <mergeCell ref="A27:C27"/>
    <mergeCell ref="A21:C21"/>
    <mergeCell ref="A12:C12"/>
    <mergeCell ref="A26:C26"/>
    <mergeCell ref="A2:C2"/>
    <mergeCell ref="A33:C33"/>
    <mergeCell ref="A5:C5"/>
    <mergeCell ref="A23:C23"/>
    <mergeCell ref="A32:C32"/>
    <mergeCell ref="A8:C8"/>
    <mergeCell ref="A14:C14"/>
    <mergeCell ref="A17:C17"/>
    <mergeCell ref="A4:C4"/>
    <mergeCell ref="A20:C20"/>
    <mergeCell ref="A38:C38"/>
    <mergeCell ref="A28:C28"/>
    <mergeCell ref="A13:C13"/>
    <mergeCell ref="A19:C19"/>
    <mergeCell ref="A31:C31"/>
    <mergeCell ref="A9:C9"/>
    <mergeCell ref="A30:C30"/>
    <mergeCell ref="A39:C39"/>
    <mergeCell ref="A34:C34"/>
    <mergeCell ref="A15:C15"/>
    <mergeCell ref="A24:C24"/>
    <mergeCell ref="A36:C36"/>
    <mergeCell ref="A11:C11"/>
    <mergeCell ref="A6:C6"/>
    <mergeCell ref="A7:C7"/>
  </mergeCells>
  <printOptions horizontalCentered="1"/>
  <pageMargins left="0.3" right="0.3" top="0.4" bottom="0.4" header="0.5" footer="0.5"/>
  <pageSetup orientation="landscape" paperSize="9" fitToHeight="0" fitToWidth="1"/>
  <headerFooter>
    <oddHeader/>
    <oddFooter>&amp;L&amp;8 Аудиторский отчёт — контур «Автопарк»&amp;R&amp;8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Группа сопровождения контура «Автопарк»</dc:creator>
  <dc:title>Аудиторский отчёт — контур «Автопарк»</dc:title>
  <dc:subject>BEMOL — сеть АЗС и автопарк бензовозов</dc:subject>
  <dcterms:created xsi:type="dcterms:W3CDTF">2026-09-19T18:27:08Z</dcterms:created>
  <dcterms:modified xsi:type="dcterms:W3CDTF">2026-09-19T18:27:09Z</dcterms:modified>
</cp:coreProperties>
</file>