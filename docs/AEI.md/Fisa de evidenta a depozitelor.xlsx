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Users/pt/Projects.AI/Artgranit/AEI.md/"/>
    </mc:Choice>
  </mc:AlternateContent>
  <xr:revisionPtr revIDLastSave="0" documentId="8_{99B79A2A-3516-7049-93DC-8206EFBB9AEB}" xr6:coauthVersionLast="47" xr6:coauthVersionMax="47" xr10:uidLastSave="{00000000-0000-0000-0000-000000000000}"/>
  <bookViews>
    <workbookView xWindow="0" yWindow="660" windowWidth="30240" windowHeight="18020" xr2:uid="{A11EA2A2-328E-4CEF-B41C-D08A71CD1FDB}"/>
  </bookViews>
  <sheets>
    <sheet name="Conditii" sheetId="3" r:id="rId1"/>
    <sheet name="Simulare depunere_fin" sheetId="7" r:id="rId2"/>
    <sheet name="Inregistrari DE" sheetId="8" r:id="rId3"/>
    <sheet name="Conturi contabile DE" sheetId="9"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38" i="7" l="1"/>
  <c r="E180" i="8"/>
  <c r="I179" i="8"/>
  <c r="E179" i="8"/>
  <c r="I177" i="8"/>
  <c r="I176" i="8"/>
  <c r="I175" i="8"/>
  <c r="I174" i="8"/>
  <c r="I172" i="8"/>
  <c r="I171" i="8"/>
  <c r="I169" i="8"/>
  <c r="I168" i="8"/>
  <c r="I167" i="8"/>
  <c r="I166" i="8"/>
  <c r="I165" i="8"/>
  <c r="I164" i="8"/>
  <c r="I163" i="8"/>
  <c r="I162" i="8"/>
  <c r="I159" i="8"/>
  <c r="I158" i="8"/>
  <c r="I156" i="8"/>
  <c r="I155" i="8"/>
  <c r="I154" i="8"/>
  <c r="I153" i="8"/>
  <c r="I152" i="8"/>
  <c r="I151" i="8"/>
  <c r="I150" i="8"/>
  <c r="I149" i="8"/>
  <c r="I146" i="8"/>
  <c r="I145" i="8"/>
  <c r="I144" i="8"/>
  <c r="I143" i="8"/>
  <c r="I139" i="8"/>
  <c r="I138" i="8"/>
  <c r="I137" i="8"/>
  <c r="I136" i="8"/>
  <c r="I135" i="8"/>
  <c r="I134" i="8"/>
  <c r="I132" i="8"/>
  <c r="I131" i="8"/>
  <c r="I128" i="8"/>
  <c r="I127" i="8"/>
  <c r="I125" i="8"/>
  <c r="I124" i="8"/>
  <c r="I123" i="8"/>
  <c r="I122" i="8"/>
  <c r="I121" i="8"/>
  <c r="I120" i="8"/>
  <c r="I119" i="8"/>
  <c r="I118" i="8"/>
  <c r="I115" i="8"/>
  <c r="I114" i="8"/>
  <c r="I112" i="8"/>
  <c r="I111" i="8"/>
  <c r="I110" i="8"/>
  <c r="I109" i="8"/>
  <c r="I108" i="8"/>
  <c r="I107" i="8"/>
  <c r="I106" i="8"/>
  <c r="I105" i="8"/>
  <c r="I102" i="8"/>
  <c r="I101" i="8"/>
  <c r="I100" i="8"/>
  <c r="I99" i="8"/>
  <c r="I95" i="8"/>
  <c r="I94" i="8"/>
  <c r="I93" i="8"/>
  <c r="I92" i="8"/>
  <c r="I91" i="8"/>
  <c r="I90" i="8"/>
  <c r="I88" i="8"/>
  <c r="I87" i="8"/>
  <c r="I84" i="8"/>
  <c r="I83" i="8"/>
  <c r="I81" i="8"/>
  <c r="I80" i="8"/>
  <c r="I79" i="8"/>
  <c r="I78" i="8"/>
  <c r="I77" i="8"/>
  <c r="I76" i="8"/>
  <c r="I75" i="8"/>
  <c r="I74" i="8"/>
  <c r="I71" i="8"/>
  <c r="I70" i="8"/>
  <c r="I68" i="8"/>
  <c r="I67" i="8"/>
  <c r="I66" i="8"/>
  <c r="I65" i="8"/>
  <c r="I64" i="8"/>
  <c r="I63" i="8"/>
  <c r="I62" i="8"/>
  <c r="I61" i="8"/>
  <c r="I58" i="8"/>
  <c r="I57" i="8"/>
  <c r="I56" i="8"/>
  <c r="I55" i="8"/>
  <c r="I52" i="8"/>
  <c r="I51" i="8"/>
  <c r="I50" i="8"/>
  <c r="I49" i="8"/>
  <c r="I48" i="8"/>
  <c r="I47" i="8"/>
  <c r="I45" i="8"/>
  <c r="I44" i="8"/>
  <c r="I41" i="8"/>
  <c r="I40" i="8"/>
  <c r="I39" i="8"/>
  <c r="I38" i="8"/>
  <c r="I37" i="8"/>
  <c r="I36" i="8"/>
  <c r="I35" i="8"/>
  <c r="I34" i="8"/>
  <c r="I33" i="8"/>
  <c r="I32" i="8"/>
  <c r="I30" i="8"/>
  <c r="I29" i="8"/>
  <c r="I27" i="8"/>
  <c r="I26" i="8"/>
  <c r="I25" i="8"/>
  <c r="I24" i="8"/>
  <c r="I23" i="8"/>
  <c r="I21" i="8"/>
  <c r="I20" i="8"/>
  <c r="I19" i="8"/>
  <c r="I17" i="8"/>
  <c r="I16" i="8"/>
  <c r="I12" i="8"/>
  <c r="I11" i="8"/>
  <c r="I10" i="8"/>
  <c r="I8" i="8"/>
  <c r="I5" i="8"/>
  <c r="AB352" i="7"/>
  <c r="AB321" i="7"/>
  <c r="AB290" i="7"/>
  <c r="AB260" i="7"/>
  <c r="AB229" i="7"/>
  <c r="AB199" i="7"/>
  <c r="AB168" i="7"/>
  <c r="AB137" i="7"/>
  <c r="AB107" i="7"/>
  <c r="AB76" i="7"/>
  <c r="AB33" i="7"/>
  <c r="AB34" i="7"/>
  <c r="AB35" i="7"/>
  <c r="AB36" i="7"/>
  <c r="AB37" i="7"/>
  <c r="AB38" i="7"/>
  <c r="AB39" i="7"/>
  <c r="AB40" i="7"/>
  <c r="AB41" i="7"/>
  <c r="AB42" i="7"/>
  <c r="AB43" i="7"/>
  <c r="AB44" i="7"/>
  <c r="AB45" i="7"/>
  <c r="AB46" i="7"/>
  <c r="AB47" i="7"/>
  <c r="AB48" i="7"/>
  <c r="AB49" i="7"/>
  <c r="AB50" i="7"/>
  <c r="AB51" i="7"/>
  <c r="AB52" i="7"/>
  <c r="AB53" i="7"/>
  <c r="AB54" i="7"/>
  <c r="AB55" i="7"/>
  <c r="AB56" i="7"/>
  <c r="AB57" i="7"/>
  <c r="AB58" i="7"/>
  <c r="AB59" i="7"/>
  <c r="AB60" i="7"/>
  <c r="AB61" i="7"/>
  <c r="AB63" i="7"/>
  <c r="AB64" i="7"/>
  <c r="AB65" i="7"/>
  <c r="AB66" i="7"/>
  <c r="AB67" i="7"/>
  <c r="AB68" i="7"/>
  <c r="AB69" i="7"/>
  <c r="AB70" i="7"/>
  <c r="AB71" i="7"/>
  <c r="AB72" i="7"/>
  <c r="AB73" i="7"/>
  <c r="AB74" i="7"/>
  <c r="AB75" i="7"/>
  <c r="AB77" i="7"/>
  <c r="AB78" i="7"/>
  <c r="AB79" i="7"/>
  <c r="AB80" i="7"/>
  <c r="AB81" i="7"/>
  <c r="AB82" i="7"/>
  <c r="AB83" i="7"/>
  <c r="AB84" i="7"/>
  <c r="AB85" i="7"/>
  <c r="AB86" i="7"/>
  <c r="AB87" i="7"/>
  <c r="AB88" i="7"/>
  <c r="AB89" i="7"/>
  <c r="AB90" i="7"/>
  <c r="AB91" i="7"/>
  <c r="AB92" i="7"/>
  <c r="AB94" i="7"/>
  <c r="AB95" i="7"/>
  <c r="AB96" i="7"/>
  <c r="AB97" i="7"/>
  <c r="AB98" i="7"/>
  <c r="AB99" i="7"/>
  <c r="AB100" i="7"/>
  <c r="AB101" i="7"/>
  <c r="AB102" i="7"/>
  <c r="AB103" i="7"/>
  <c r="AB104" i="7"/>
  <c r="AB105" i="7"/>
  <c r="AB106" i="7"/>
  <c r="AB108" i="7"/>
  <c r="AB109" i="7"/>
  <c r="AB110" i="7"/>
  <c r="AB111" i="7"/>
  <c r="AB112" i="7"/>
  <c r="AB113" i="7"/>
  <c r="AB114" i="7"/>
  <c r="AB115" i="7"/>
  <c r="AB116" i="7"/>
  <c r="AB117" i="7"/>
  <c r="AB118" i="7"/>
  <c r="AB119" i="7"/>
  <c r="AB120" i="7"/>
  <c r="AB121" i="7"/>
  <c r="AB122" i="7"/>
  <c r="AB124" i="7"/>
  <c r="AB125" i="7"/>
  <c r="AB126" i="7"/>
  <c r="AB127" i="7"/>
  <c r="AB128" i="7"/>
  <c r="AB129" i="7"/>
  <c r="AB130" i="7"/>
  <c r="AB131" i="7"/>
  <c r="AB132" i="7"/>
  <c r="AB133" i="7"/>
  <c r="AB134" i="7"/>
  <c r="AB135" i="7"/>
  <c r="AB136" i="7"/>
  <c r="AB138" i="7"/>
  <c r="AB139" i="7"/>
  <c r="AB140" i="7"/>
  <c r="AB141" i="7"/>
  <c r="AB142" i="7"/>
  <c r="AB143" i="7"/>
  <c r="AB144" i="7"/>
  <c r="AB145" i="7"/>
  <c r="AB146" i="7"/>
  <c r="AB147" i="7"/>
  <c r="AB148" i="7"/>
  <c r="AB149" i="7"/>
  <c r="AB150" i="7"/>
  <c r="AB151" i="7"/>
  <c r="AB152" i="7"/>
  <c r="AB153" i="7"/>
  <c r="AB155" i="7"/>
  <c r="AB156" i="7"/>
  <c r="AB157" i="7"/>
  <c r="AB158" i="7"/>
  <c r="AB159" i="7"/>
  <c r="AB160" i="7"/>
  <c r="AB161" i="7"/>
  <c r="AB162" i="7"/>
  <c r="AB163" i="7"/>
  <c r="AB164" i="7"/>
  <c r="AB165" i="7"/>
  <c r="AB166" i="7"/>
  <c r="AB167" i="7"/>
  <c r="AB169" i="7"/>
  <c r="AB170" i="7"/>
  <c r="AB171" i="7"/>
  <c r="AB172" i="7"/>
  <c r="AB173" i="7"/>
  <c r="AB174" i="7"/>
  <c r="AB175" i="7"/>
  <c r="AB176" i="7"/>
  <c r="AB177" i="7"/>
  <c r="AB178" i="7"/>
  <c r="AB179" i="7"/>
  <c r="AB180" i="7"/>
  <c r="AB181" i="7"/>
  <c r="AB182" i="7"/>
  <c r="AB183" i="7"/>
  <c r="AB184" i="7"/>
  <c r="AB186" i="7"/>
  <c r="AB187" i="7"/>
  <c r="AB188" i="7"/>
  <c r="AB189" i="7"/>
  <c r="AB190" i="7"/>
  <c r="AB191" i="7"/>
  <c r="AB192" i="7"/>
  <c r="AB193" i="7"/>
  <c r="AB194" i="7"/>
  <c r="AB195" i="7"/>
  <c r="AB196" i="7"/>
  <c r="AB197" i="7"/>
  <c r="AB198" i="7"/>
  <c r="AB200" i="7"/>
  <c r="AB201" i="7"/>
  <c r="AB202" i="7"/>
  <c r="AB203" i="7"/>
  <c r="AB204" i="7"/>
  <c r="AB205" i="7"/>
  <c r="AB206" i="7"/>
  <c r="AB207" i="7"/>
  <c r="AB208" i="7"/>
  <c r="AB209" i="7"/>
  <c r="AB210" i="7"/>
  <c r="AB211" i="7"/>
  <c r="AB212" i="7"/>
  <c r="AB213" i="7"/>
  <c r="AB214" i="7"/>
  <c r="AB216" i="7"/>
  <c r="AB217" i="7"/>
  <c r="AB218" i="7"/>
  <c r="AB219" i="7"/>
  <c r="AB220" i="7"/>
  <c r="AB221" i="7"/>
  <c r="AB222" i="7"/>
  <c r="AB223" i="7"/>
  <c r="AB224" i="7"/>
  <c r="AB225" i="7"/>
  <c r="AB226" i="7"/>
  <c r="AB227" i="7"/>
  <c r="AB228" i="7"/>
  <c r="AB230" i="7"/>
  <c r="AB231" i="7"/>
  <c r="AB232" i="7"/>
  <c r="AB233" i="7"/>
  <c r="AB234" i="7"/>
  <c r="AB235" i="7"/>
  <c r="AB236" i="7"/>
  <c r="AB237" i="7"/>
  <c r="AB238" i="7"/>
  <c r="AB239" i="7"/>
  <c r="AB240" i="7"/>
  <c r="AB241" i="7"/>
  <c r="AB242" i="7"/>
  <c r="AB243" i="7"/>
  <c r="AB244" i="7"/>
  <c r="AB245" i="7"/>
  <c r="AB247" i="7"/>
  <c r="AB248" i="7"/>
  <c r="AB249" i="7"/>
  <c r="AB250" i="7"/>
  <c r="AB251" i="7"/>
  <c r="AB252" i="7"/>
  <c r="AB253" i="7"/>
  <c r="AB254" i="7"/>
  <c r="AB255" i="7"/>
  <c r="AB256" i="7"/>
  <c r="AB257" i="7"/>
  <c r="AB258" i="7"/>
  <c r="AB259" i="7"/>
  <c r="AB261" i="7"/>
  <c r="AB262" i="7"/>
  <c r="AB263" i="7"/>
  <c r="AB264" i="7"/>
  <c r="AB265" i="7"/>
  <c r="AB266" i="7"/>
  <c r="AB267" i="7"/>
  <c r="AB268" i="7"/>
  <c r="AB269" i="7"/>
  <c r="AB270" i="7"/>
  <c r="AB271" i="7"/>
  <c r="AB272" i="7"/>
  <c r="AB273" i="7"/>
  <c r="AB274" i="7"/>
  <c r="AB275" i="7"/>
  <c r="AB277" i="7"/>
  <c r="AB278" i="7"/>
  <c r="AB279" i="7"/>
  <c r="AB280" i="7"/>
  <c r="AB281" i="7"/>
  <c r="AB282" i="7"/>
  <c r="AB283" i="7"/>
  <c r="AB284" i="7"/>
  <c r="AB285" i="7"/>
  <c r="AB286" i="7"/>
  <c r="AB287" i="7"/>
  <c r="AB288" i="7"/>
  <c r="AB289" i="7"/>
  <c r="AB291" i="7"/>
  <c r="AB292" i="7"/>
  <c r="AB293" i="7"/>
  <c r="AB294" i="7"/>
  <c r="AB295" i="7"/>
  <c r="AB296" i="7"/>
  <c r="AB297" i="7"/>
  <c r="AB298" i="7"/>
  <c r="AB299" i="7"/>
  <c r="AB300" i="7"/>
  <c r="AB301" i="7"/>
  <c r="AB302" i="7"/>
  <c r="AB303" i="7"/>
  <c r="AB304" i="7"/>
  <c r="AB305" i="7"/>
  <c r="AB306" i="7"/>
  <c r="AB308" i="7"/>
  <c r="AB309" i="7"/>
  <c r="AB310" i="7"/>
  <c r="AB311" i="7"/>
  <c r="AB312" i="7"/>
  <c r="AB313" i="7"/>
  <c r="AB314" i="7"/>
  <c r="AB315" i="7"/>
  <c r="AB316" i="7"/>
  <c r="AB317" i="7"/>
  <c r="AB318" i="7"/>
  <c r="AB319" i="7"/>
  <c r="AB320" i="7"/>
  <c r="AB322" i="7"/>
  <c r="AB323" i="7"/>
  <c r="AB324" i="7"/>
  <c r="AB325" i="7"/>
  <c r="AB326" i="7"/>
  <c r="AB327" i="7"/>
  <c r="AB328" i="7"/>
  <c r="AB329" i="7"/>
  <c r="AB330" i="7"/>
  <c r="AB331" i="7"/>
  <c r="AB332" i="7"/>
  <c r="AB333" i="7"/>
  <c r="AB334" i="7"/>
  <c r="AB335" i="7"/>
  <c r="AB336" i="7"/>
  <c r="AB337" i="7"/>
  <c r="AB339" i="7"/>
  <c r="AB340" i="7"/>
  <c r="AB341" i="7"/>
  <c r="AB342" i="7"/>
  <c r="AB343" i="7"/>
  <c r="AB344" i="7"/>
  <c r="AB345" i="7"/>
  <c r="AB346" i="7"/>
  <c r="AB347" i="7"/>
  <c r="AB348" i="7"/>
  <c r="AB349" i="7"/>
  <c r="AB350" i="7"/>
  <c r="AB351" i="7"/>
  <c r="AB353" i="7"/>
  <c r="AB354" i="7"/>
  <c r="AB355" i="7"/>
  <c r="AB356" i="7"/>
  <c r="AB357" i="7"/>
  <c r="AB358" i="7"/>
  <c r="AB359" i="7"/>
  <c r="AB360" i="7"/>
  <c r="AB361" i="7"/>
  <c r="AB362" i="7"/>
  <c r="AB363" i="7"/>
  <c r="AB364" i="7"/>
  <c r="AB365" i="7"/>
  <c r="AB367" i="7"/>
  <c r="AB368" i="7"/>
  <c r="AB369" i="7"/>
  <c r="AB371" i="7"/>
  <c r="AB372" i="7"/>
  <c r="AB5" i="7"/>
  <c r="AB6" i="7"/>
  <c r="AB7" i="7"/>
  <c r="AB8" i="7"/>
  <c r="AB9" i="7"/>
  <c r="AB10" i="7"/>
  <c r="AB11" i="7"/>
  <c r="AB12" i="7"/>
  <c r="AB13" i="7"/>
  <c r="AB14" i="7"/>
  <c r="AB15" i="7"/>
  <c r="AB16" i="7"/>
  <c r="AB17" i="7"/>
  <c r="AB18" i="7"/>
  <c r="AB19" i="7"/>
  <c r="AB20" i="7"/>
  <c r="AB21" i="7"/>
  <c r="AB22" i="7"/>
  <c r="AB23" i="7"/>
  <c r="AB24" i="7"/>
  <c r="AB25" i="7"/>
  <c r="AB26" i="7"/>
  <c r="AB27" i="7"/>
  <c r="AB28" i="7"/>
  <c r="AB29" i="7"/>
  <c r="AB30" i="7"/>
  <c r="AB31" i="7"/>
  <c r="AB4" i="7"/>
  <c r="P373" i="7"/>
  <c r="S370" i="7"/>
  <c r="M370" i="7" s="1"/>
  <c r="D370" i="7"/>
  <c r="N369" i="7"/>
  <c r="M369" i="7"/>
  <c r="D369" i="7"/>
  <c r="N368" i="7"/>
  <c r="M368" i="7"/>
  <c r="D368" i="7"/>
  <c r="N367" i="7"/>
  <c r="M367" i="7"/>
  <c r="D367" i="7"/>
  <c r="M366" i="7"/>
  <c r="D366" i="7"/>
  <c r="N365" i="7"/>
  <c r="M365" i="7"/>
  <c r="D365" i="7"/>
  <c r="N364" i="7"/>
  <c r="M364" i="7"/>
  <c r="D364" i="7"/>
  <c r="N363" i="7"/>
  <c r="M363" i="7"/>
  <c r="D363" i="7"/>
  <c r="N362" i="7"/>
  <c r="M362" i="7"/>
  <c r="D362" i="7"/>
  <c r="N361" i="7"/>
  <c r="M361" i="7"/>
  <c r="D361" i="7"/>
  <c r="N360" i="7"/>
  <c r="M360" i="7"/>
  <c r="D360" i="7"/>
  <c r="N359" i="7"/>
  <c r="M359" i="7"/>
  <c r="D359" i="7"/>
  <c r="N358" i="7"/>
  <c r="M358" i="7"/>
  <c r="D358" i="7"/>
  <c r="N357" i="7"/>
  <c r="M357" i="7"/>
  <c r="D357" i="7"/>
  <c r="N356" i="7"/>
  <c r="M356" i="7"/>
  <c r="D356" i="7"/>
  <c r="N355" i="7"/>
  <c r="M355" i="7"/>
  <c r="D355" i="7"/>
  <c r="N354" i="7"/>
  <c r="M354" i="7"/>
  <c r="D354" i="7"/>
  <c r="N353" i="7"/>
  <c r="M353" i="7"/>
  <c r="D353" i="7"/>
  <c r="N352" i="7"/>
  <c r="M352" i="7"/>
  <c r="D352" i="7"/>
  <c r="N351" i="7"/>
  <c r="M351" i="7"/>
  <c r="D351" i="7"/>
  <c r="N350" i="7"/>
  <c r="M350" i="7"/>
  <c r="D350" i="7"/>
  <c r="N349" i="7"/>
  <c r="M349" i="7"/>
  <c r="D349" i="7"/>
  <c r="N348" i="7"/>
  <c r="M348" i="7"/>
  <c r="D348" i="7"/>
  <c r="N347" i="7"/>
  <c r="M347" i="7"/>
  <c r="D347" i="7"/>
  <c r="N346" i="7"/>
  <c r="M346" i="7"/>
  <c r="D346" i="7"/>
  <c r="N345" i="7"/>
  <c r="M345" i="7"/>
  <c r="D345" i="7"/>
  <c r="N344" i="7"/>
  <c r="M344" i="7"/>
  <c r="D344" i="7"/>
  <c r="N343" i="7"/>
  <c r="M343" i="7"/>
  <c r="D343" i="7"/>
  <c r="N342" i="7"/>
  <c r="M342" i="7"/>
  <c r="D342" i="7"/>
  <c r="N341" i="7"/>
  <c r="M341" i="7"/>
  <c r="D341" i="7"/>
  <c r="N340" i="7"/>
  <c r="M340" i="7"/>
  <c r="D340" i="7"/>
  <c r="N339" i="7"/>
  <c r="M339" i="7"/>
  <c r="D339" i="7"/>
  <c r="M338" i="7"/>
  <c r="D338" i="7"/>
  <c r="N337" i="7"/>
  <c r="M337" i="7"/>
  <c r="D337" i="7"/>
  <c r="N336" i="7"/>
  <c r="M336" i="7"/>
  <c r="D336" i="7"/>
  <c r="N335" i="7"/>
  <c r="M335" i="7"/>
  <c r="D335" i="7"/>
  <c r="N334" i="7"/>
  <c r="M334" i="7"/>
  <c r="D334" i="7"/>
  <c r="N333" i="7"/>
  <c r="M333" i="7"/>
  <c r="D333" i="7"/>
  <c r="N332" i="7"/>
  <c r="M332" i="7"/>
  <c r="D332" i="7"/>
  <c r="N331" i="7"/>
  <c r="M331" i="7"/>
  <c r="D331" i="7"/>
  <c r="N330" i="7"/>
  <c r="M330" i="7"/>
  <c r="D330" i="7"/>
  <c r="N329" i="7"/>
  <c r="M329" i="7"/>
  <c r="D329" i="7"/>
  <c r="N328" i="7"/>
  <c r="M328" i="7"/>
  <c r="D328" i="7"/>
  <c r="N327" i="7"/>
  <c r="M327" i="7"/>
  <c r="D327" i="7"/>
  <c r="N326" i="7"/>
  <c r="M326" i="7"/>
  <c r="D326" i="7"/>
  <c r="N325" i="7"/>
  <c r="M325" i="7"/>
  <c r="D325" i="7"/>
  <c r="N324" i="7"/>
  <c r="M324" i="7"/>
  <c r="D324" i="7"/>
  <c r="N323" i="7"/>
  <c r="M323" i="7"/>
  <c r="D323" i="7"/>
  <c r="N322" i="7"/>
  <c r="M322" i="7"/>
  <c r="D322" i="7"/>
  <c r="N321" i="7"/>
  <c r="M321" i="7"/>
  <c r="D321" i="7"/>
  <c r="N320" i="7"/>
  <c r="M320" i="7"/>
  <c r="D320" i="7"/>
  <c r="N319" i="7"/>
  <c r="M319" i="7"/>
  <c r="D319" i="7"/>
  <c r="N318" i="7"/>
  <c r="M318" i="7"/>
  <c r="D318" i="7"/>
  <c r="N317" i="7"/>
  <c r="M317" i="7"/>
  <c r="D317" i="7"/>
  <c r="N316" i="7"/>
  <c r="M316" i="7"/>
  <c r="D316" i="7"/>
  <c r="N315" i="7"/>
  <c r="M315" i="7"/>
  <c r="D315" i="7"/>
  <c r="N314" i="7"/>
  <c r="M314" i="7"/>
  <c r="D314" i="7"/>
  <c r="N313" i="7"/>
  <c r="M313" i="7"/>
  <c r="D313" i="7"/>
  <c r="N312" i="7"/>
  <c r="M312" i="7"/>
  <c r="D312" i="7"/>
  <c r="N311" i="7"/>
  <c r="M311" i="7"/>
  <c r="D311" i="7"/>
  <c r="N310" i="7"/>
  <c r="M310" i="7"/>
  <c r="D310" i="7"/>
  <c r="N309" i="7"/>
  <c r="M309" i="7"/>
  <c r="D309" i="7"/>
  <c r="N308" i="7"/>
  <c r="D308" i="7"/>
  <c r="Q307" i="7"/>
  <c r="M307" i="7"/>
  <c r="D307" i="7"/>
  <c r="N306" i="7"/>
  <c r="M306" i="7"/>
  <c r="D306" i="7"/>
  <c r="N305" i="7"/>
  <c r="M305" i="7"/>
  <c r="D305" i="7"/>
  <c r="N304" i="7"/>
  <c r="M304" i="7"/>
  <c r="D304" i="7"/>
  <c r="N303" i="7"/>
  <c r="M303" i="7"/>
  <c r="D303" i="7"/>
  <c r="N302" i="7"/>
  <c r="M302" i="7"/>
  <c r="D302" i="7"/>
  <c r="N301" i="7"/>
  <c r="M301" i="7"/>
  <c r="D301" i="7"/>
  <c r="N300" i="7"/>
  <c r="M300" i="7"/>
  <c r="D300" i="7"/>
  <c r="N299" i="7"/>
  <c r="M299" i="7"/>
  <c r="D299" i="7"/>
  <c r="N298" i="7"/>
  <c r="M298" i="7"/>
  <c r="D298" i="7"/>
  <c r="N297" i="7"/>
  <c r="M297" i="7"/>
  <c r="D297" i="7"/>
  <c r="N296" i="7"/>
  <c r="M296" i="7"/>
  <c r="D296" i="7"/>
  <c r="N295" i="7"/>
  <c r="M295" i="7"/>
  <c r="D295" i="7"/>
  <c r="N294" i="7"/>
  <c r="M294" i="7"/>
  <c r="D294" i="7"/>
  <c r="N293" i="7"/>
  <c r="M293" i="7"/>
  <c r="D293" i="7"/>
  <c r="N292" i="7"/>
  <c r="M292" i="7"/>
  <c r="D292" i="7"/>
  <c r="N291" i="7"/>
  <c r="M291" i="7"/>
  <c r="D291" i="7"/>
  <c r="N290" i="7"/>
  <c r="M290" i="7"/>
  <c r="D290" i="7"/>
  <c r="N289" i="7"/>
  <c r="M289" i="7"/>
  <c r="D289" i="7"/>
  <c r="N288" i="7"/>
  <c r="M288" i="7"/>
  <c r="D288" i="7"/>
  <c r="N287" i="7"/>
  <c r="M287" i="7"/>
  <c r="D287" i="7"/>
  <c r="N286" i="7"/>
  <c r="M286" i="7"/>
  <c r="D286" i="7"/>
  <c r="N285" i="7"/>
  <c r="M285" i="7"/>
  <c r="D285" i="7"/>
  <c r="N284" i="7"/>
  <c r="M284" i="7"/>
  <c r="D284" i="7"/>
  <c r="N283" i="7"/>
  <c r="M283" i="7"/>
  <c r="D283" i="7"/>
  <c r="N282" i="7"/>
  <c r="M282" i="7"/>
  <c r="D282" i="7"/>
  <c r="N281" i="7"/>
  <c r="M281" i="7"/>
  <c r="D281" i="7"/>
  <c r="N280" i="7"/>
  <c r="M280" i="7"/>
  <c r="D280" i="7"/>
  <c r="N279" i="7"/>
  <c r="M279" i="7"/>
  <c r="D279" i="7"/>
  <c r="N278" i="7"/>
  <c r="M278" i="7"/>
  <c r="D278" i="7"/>
  <c r="N277" i="7"/>
  <c r="M277" i="7"/>
  <c r="D277" i="7"/>
  <c r="M276" i="7"/>
  <c r="D276" i="7"/>
  <c r="N275" i="7"/>
  <c r="M275" i="7"/>
  <c r="D275" i="7"/>
  <c r="N274" i="7"/>
  <c r="M274" i="7"/>
  <c r="D274" i="7"/>
  <c r="N273" i="7"/>
  <c r="M273" i="7"/>
  <c r="D273" i="7"/>
  <c r="N272" i="7"/>
  <c r="M272" i="7"/>
  <c r="D272" i="7"/>
  <c r="N271" i="7"/>
  <c r="M271" i="7"/>
  <c r="D271" i="7"/>
  <c r="N270" i="7"/>
  <c r="M270" i="7"/>
  <c r="D270" i="7"/>
  <c r="N269" i="7"/>
  <c r="M269" i="7"/>
  <c r="D269" i="7"/>
  <c r="N268" i="7"/>
  <c r="M268" i="7"/>
  <c r="D268" i="7"/>
  <c r="N267" i="7"/>
  <c r="M267" i="7"/>
  <c r="D267" i="7"/>
  <c r="N266" i="7"/>
  <c r="M266" i="7"/>
  <c r="D266" i="7"/>
  <c r="N265" i="7"/>
  <c r="M265" i="7"/>
  <c r="D265" i="7"/>
  <c r="N264" i="7"/>
  <c r="M264" i="7"/>
  <c r="D264" i="7"/>
  <c r="N263" i="7"/>
  <c r="M263" i="7"/>
  <c r="D263" i="7"/>
  <c r="N262" i="7"/>
  <c r="M262" i="7"/>
  <c r="D262" i="7"/>
  <c r="N261" i="7"/>
  <c r="M261" i="7"/>
  <c r="D261" i="7"/>
  <c r="N260" i="7"/>
  <c r="M260" i="7"/>
  <c r="D260" i="7"/>
  <c r="N259" i="7"/>
  <c r="M259" i="7"/>
  <c r="D259" i="7"/>
  <c r="N258" i="7"/>
  <c r="M258" i="7"/>
  <c r="D258" i="7"/>
  <c r="N257" i="7"/>
  <c r="M257" i="7"/>
  <c r="D257" i="7"/>
  <c r="N256" i="7"/>
  <c r="M256" i="7"/>
  <c r="D256" i="7"/>
  <c r="N255" i="7"/>
  <c r="M255" i="7"/>
  <c r="D255" i="7"/>
  <c r="N254" i="7"/>
  <c r="M254" i="7"/>
  <c r="D254" i="7"/>
  <c r="N253" i="7"/>
  <c r="M253" i="7"/>
  <c r="D253" i="7"/>
  <c r="N252" i="7"/>
  <c r="M252" i="7"/>
  <c r="D252" i="7"/>
  <c r="N251" i="7"/>
  <c r="M251" i="7"/>
  <c r="D251" i="7"/>
  <c r="N250" i="7"/>
  <c r="M250" i="7"/>
  <c r="D250" i="7"/>
  <c r="N249" i="7"/>
  <c r="M249" i="7"/>
  <c r="D249" i="7"/>
  <c r="N248" i="7"/>
  <c r="M248" i="7"/>
  <c r="D248" i="7"/>
  <c r="N247" i="7"/>
  <c r="M247" i="7"/>
  <c r="D247" i="7"/>
  <c r="M246" i="7"/>
  <c r="D246" i="7"/>
  <c r="N245" i="7"/>
  <c r="M245" i="7"/>
  <c r="D245" i="7"/>
  <c r="N244" i="7"/>
  <c r="M244" i="7"/>
  <c r="D244" i="7"/>
  <c r="N243" i="7"/>
  <c r="M243" i="7"/>
  <c r="D243" i="7"/>
  <c r="N242" i="7"/>
  <c r="M242" i="7"/>
  <c r="D242" i="7"/>
  <c r="N241" i="7"/>
  <c r="M241" i="7"/>
  <c r="D241" i="7"/>
  <c r="N240" i="7"/>
  <c r="M240" i="7"/>
  <c r="D240" i="7"/>
  <c r="N239" i="7"/>
  <c r="M239" i="7"/>
  <c r="D239" i="7"/>
  <c r="N238" i="7"/>
  <c r="M238" i="7"/>
  <c r="D238" i="7"/>
  <c r="N237" i="7"/>
  <c r="M237" i="7"/>
  <c r="D237" i="7"/>
  <c r="N236" i="7"/>
  <c r="M236" i="7"/>
  <c r="D236" i="7"/>
  <c r="N235" i="7"/>
  <c r="M235" i="7"/>
  <c r="D235" i="7"/>
  <c r="N234" i="7"/>
  <c r="M234" i="7"/>
  <c r="D234" i="7"/>
  <c r="N233" i="7"/>
  <c r="M233" i="7"/>
  <c r="D233" i="7"/>
  <c r="N232" i="7"/>
  <c r="M232" i="7"/>
  <c r="D232" i="7"/>
  <c r="N231" i="7"/>
  <c r="M231" i="7"/>
  <c r="D231" i="7"/>
  <c r="N230" i="7"/>
  <c r="M230" i="7"/>
  <c r="D230" i="7"/>
  <c r="N229" i="7"/>
  <c r="M229" i="7"/>
  <c r="D229" i="7"/>
  <c r="N228" i="7"/>
  <c r="M228" i="7"/>
  <c r="D228" i="7"/>
  <c r="N227" i="7"/>
  <c r="M227" i="7"/>
  <c r="D227" i="7"/>
  <c r="N226" i="7"/>
  <c r="M226" i="7"/>
  <c r="D226" i="7"/>
  <c r="N225" i="7"/>
  <c r="M225" i="7"/>
  <c r="D225" i="7"/>
  <c r="N224" i="7"/>
  <c r="M224" i="7"/>
  <c r="D224" i="7"/>
  <c r="N223" i="7"/>
  <c r="M223" i="7"/>
  <c r="D223" i="7"/>
  <c r="N222" i="7"/>
  <c r="M222" i="7"/>
  <c r="D222" i="7"/>
  <c r="N221" i="7"/>
  <c r="M221" i="7"/>
  <c r="D221" i="7"/>
  <c r="N220" i="7"/>
  <c r="M220" i="7"/>
  <c r="D220" i="7"/>
  <c r="N219" i="7"/>
  <c r="M219" i="7"/>
  <c r="D219" i="7"/>
  <c r="N218" i="7"/>
  <c r="M218" i="7"/>
  <c r="D218" i="7"/>
  <c r="N217" i="7"/>
  <c r="M217" i="7"/>
  <c r="D217" i="7"/>
  <c r="N216" i="7"/>
  <c r="D216" i="7"/>
  <c r="Q215" i="7"/>
  <c r="M215" i="7"/>
  <c r="D215" i="7"/>
  <c r="N214" i="7"/>
  <c r="M214" i="7"/>
  <c r="D214" i="7"/>
  <c r="N213" i="7"/>
  <c r="M213" i="7"/>
  <c r="D213" i="7"/>
  <c r="N212" i="7"/>
  <c r="M212" i="7"/>
  <c r="D212" i="7"/>
  <c r="N211" i="7"/>
  <c r="M211" i="7"/>
  <c r="D211" i="7"/>
  <c r="N210" i="7"/>
  <c r="M210" i="7"/>
  <c r="D210" i="7"/>
  <c r="N209" i="7"/>
  <c r="M209" i="7"/>
  <c r="D209" i="7"/>
  <c r="N208" i="7"/>
  <c r="M208" i="7"/>
  <c r="D208" i="7"/>
  <c r="N207" i="7"/>
  <c r="M207" i="7"/>
  <c r="D207" i="7"/>
  <c r="N206" i="7"/>
  <c r="M206" i="7"/>
  <c r="D206" i="7"/>
  <c r="N205" i="7"/>
  <c r="M205" i="7"/>
  <c r="D205" i="7"/>
  <c r="N204" i="7"/>
  <c r="M204" i="7"/>
  <c r="D204" i="7"/>
  <c r="N203" i="7"/>
  <c r="M203" i="7"/>
  <c r="D203" i="7"/>
  <c r="N202" i="7"/>
  <c r="M202" i="7"/>
  <c r="D202" i="7"/>
  <c r="N201" i="7"/>
  <c r="M201" i="7"/>
  <c r="D201" i="7"/>
  <c r="N200" i="7"/>
  <c r="M200" i="7"/>
  <c r="D200" i="7"/>
  <c r="N199" i="7"/>
  <c r="M199" i="7"/>
  <c r="D199" i="7"/>
  <c r="N198" i="7"/>
  <c r="M198" i="7"/>
  <c r="D198" i="7"/>
  <c r="N197" i="7"/>
  <c r="M197" i="7"/>
  <c r="D197" i="7"/>
  <c r="N196" i="7"/>
  <c r="M196" i="7"/>
  <c r="D196" i="7"/>
  <c r="N195" i="7"/>
  <c r="M195" i="7"/>
  <c r="D195" i="7"/>
  <c r="N194" i="7"/>
  <c r="M194" i="7"/>
  <c r="D194" i="7"/>
  <c r="N193" i="7"/>
  <c r="M193" i="7"/>
  <c r="D193" i="7"/>
  <c r="N192" i="7"/>
  <c r="M192" i="7"/>
  <c r="D192" i="7"/>
  <c r="N191" i="7"/>
  <c r="M191" i="7"/>
  <c r="D191" i="7"/>
  <c r="N190" i="7"/>
  <c r="M190" i="7"/>
  <c r="D190" i="7"/>
  <c r="N189" i="7"/>
  <c r="M189" i="7"/>
  <c r="D189" i="7"/>
  <c r="N188" i="7"/>
  <c r="M188" i="7"/>
  <c r="D188" i="7"/>
  <c r="N187" i="7"/>
  <c r="M187" i="7"/>
  <c r="D187" i="7"/>
  <c r="N186" i="7"/>
  <c r="M186" i="7"/>
  <c r="D186" i="7"/>
  <c r="M185" i="7"/>
  <c r="D185" i="7"/>
  <c r="N184" i="7"/>
  <c r="M184" i="7"/>
  <c r="D184" i="7"/>
  <c r="N183" i="7"/>
  <c r="M183" i="7"/>
  <c r="D183" i="7"/>
  <c r="N182" i="7"/>
  <c r="M182" i="7"/>
  <c r="D182" i="7"/>
  <c r="N181" i="7"/>
  <c r="M181" i="7"/>
  <c r="D181" i="7"/>
  <c r="N180" i="7"/>
  <c r="M180" i="7"/>
  <c r="D180" i="7"/>
  <c r="N179" i="7"/>
  <c r="M179" i="7"/>
  <c r="D179" i="7"/>
  <c r="N178" i="7"/>
  <c r="M178" i="7"/>
  <c r="D178" i="7"/>
  <c r="N177" i="7"/>
  <c r="M177" i="7"/>
  <c r="D177" i="7"/>
  <c r="N176" i="7"/>
  <c r="M176" i="7"/>
  <c r="D176" i="7"/>
  <c r="N175" i="7"/>
  <c r="M175" i="7"/>
  <c r="D175" i="7"/>
  <c r="N174" i="7"/>
  <c r="M174" i="7"/>
  <c r="D174" i="7"/>
  <c r="N173" i="7"/>
  <c r="M173" i="7"/>
  <c r="D173" i="7"/>
  <c r="N172" i="7"/>
  <c r="M172" i="7"/>
  <c r="D172" i="7"/>
  <c r="N171" i="7"/>
  <c r="M171" i="7"/>
  <c r="D171" i="7"/>
  <c r="N170" i="7"/>
  <c r="M170" i="7"/>
  <c r="D170" i="7"/>
  <c r="N169" i="7"/>
  <c r="M169" i="7"/>
  <c r="D169" i="7"/>
  <c r="N168" i="7"/>
  <c r="M168" i="7"/>
  <c r="D168" i="7"/>
  <c r="N167" i="7"/>
  <c r="M167" i="7"/>
  <c r="D167" i="7"/>
  <c r="N166" i="7"/>
  <c r="M166" i="7"/>
  <c r="D166" i="7"/>
  <c r="N165" i="7"/>
  <c r="M165" i="7"/>
  <c r="D165" i="7"/>
  <c r="N164" i="7"/>
  <c r="M164" i="7"/>
  <c r="D164" i="7"/>
  <c r="N163" i="7"/>
  <c r="M163" i="7"/>
  <c r="D163" i="7"/>
  <c r="N162" i="7"/>
  <c r="M162" i="7"/>
  <c r="D162" i="7"/>
  <c r="N161" i="7"/>
  <c r="M161" i="7"/>
  <c r="D161" i="7"/>
  <c r="N160" i="7"/>
  <c r="M160" i="7"/>
  <c r="D160" i="7"/>
  <c r="N159" i="7"/>
  <c r="M159" i="7"/>
  <c r="D159" i="7"/>
  <c r="N158" i="7"/>
  <c r="M158" i="7"/>
  <c r="D158" i="7"/>
  <c r="N157" i="7"/>
  <c r="M157" i="7"/>
  <c r="D157" i="7"/>
  <c r="N156" i="7"/>
  <c r="M156" i="7"/>
  <c r="D156" i="7"/>
  <c r="N155" i="7"/>
  <c r="M155" i="7"/>
  <c r="D155" i="7"/>
  <c r="M154" i="7"/>
  <c r="D154" i="7"/>
  <c r="N153" i="7"/>
  <c r="M153" i="7"/>
  <c r="D153" i="7"/>
  <c r="N152" i="7"/>
  <c r="M152" i="7"/>
  <c r="D152" i="7"/>
  <c r="N151" i="7"/>
  <c r="M151" i="7"/>
  <c r="D151" i="7"/>
  <c r="N150" i="7"/>
  <c r="M150" i="7"/>
  <c r="D150" i="7"/>
  <c r="N149" i="7"/>
  <c r="M149" i="7"/>
  <c r="D149" i="7"/>
  <c r="N148" i="7"/>
  <c r="M148" i="7"/>
  <c r="D148" i="7"/>
  <c r="N147" i="7"/>
  <c r="M147" i="7"/>
  <c r="D147" i="7"/>
  <c r="N146" i="7"/>
  <c r="M146" i="7"/>
  <c r="D146" i="7"/>
  <c r="N145" i="7"/>
  <c r="M145" i="7"/>
  <c r="D145" i="7"/>
  <c r="N144" i="7"/>
  <c r="M144" i="7"/>
  <c r="D144" i="7"/>
  <c r="N143" i="7"/>
  <c r="M143" i="7"/>
  <c r="D143" i="7"/>
  <c r="N142" i="7"/>
  <c r="M142" i="7"/>
  <c r="D142" i="7"/>
  <c r="N141" i="7"/>
  <c r="M141" i="7"/>
  <c r="D141" i="7"/>
  <c r="N140" i="7"/>
  <c r="M140" i="7"/>
  <c r="D140" i="7"/>
  <c r="N139" i="7"/>
  <c r="M139" i="7"/>
  <c r="D139" i="7"/>
  <c r="N138" i="7"/>
  <c r="M138" i="7"/>
  <c r="D138" i="7"/>
  <c r="N137" i="7"/>
  <c r="M137" i="7"/>
  <c r="D137" i="7"/>
  <c r="N136" i="7"/>
  <c r="M136" i="7"/>
  <c r="D136" i="7"/>
  <c r="N135" i="7"/>
  <c r="M135" i="7"/>
  <c r="D135" i="7"/>
  <c r="N134" i="7"/>
  <c r="M134" i="7"/>
  <c r="D134" i="7"/>
  <c r="N133" i="7"/>
  <c r="M133" i="7"/>
  <c r="D133" i="7"/>
  <c r="N132" i="7"/>
  <c r="M132" i="7"/>
  <c r="D132" i="7"/>
  <c r="N131" i="7"/>
  <c r="M131" i="7"/>
  <c r="D131" i="7"/>
  <c r="N130" i="7"/>
  <c r="M130" i="7"/>
  <c r="D130" i="7"/>
  <c r="N129" i="7"/>
  <c r="M129" i="7"/>
  <c r="D129" i="7"/>
  <c r="N128" i="7"/>
  <c r="M128" i="7"/>
  <c r="D128" i="7"/>
  <c r="N127" i="7"/>
  <c r="M127" i="7"/>
  <c r="D127" i="7"/>
  <c r="N126" i="7"/>
  <c r="M126" i="7"/>
  <c r="D126" i="7"/>
  <c r="N125" i="7"/>
  <c r="M125" i="7"/>
  <c r="D125" i="7"/>
  <c r="N124" i="7"/>
  <c r="D124" i="7"/>
  <c r="Q123" i="7"/>
  <c r="M123" i="7"/>
  <c r="D123" i="7"/>
  <c r="N122" i="7"/>
  <c r="M122" i="7"/>
  <c r="D122" i="7"/>
  <c r="N121" i="7"/>
  <c r="M121" i="7"/>
  <c r="D121" i="7"/>
  <c r="N120" i="7"/>
  <c r="M120" i="7"/>
  <c r="D120" i="7"/>
  <c r="N119" i="7"/>
  <c r="M119" i="7"/>
  <c r="D119" i="7"/>
  <c r="N118" i="7"/>
  <c r="M118" i="7"/>
  <c r="D118" i="7"/>
  <c r="N117" i="7"/>
  <c r="M117" i="7"/>
  <c r="D117" i="7"/>
  <c r="N116" i="7"/>
  <c r="M116" i="7"/>
  <c r="D116" i="7"/>
  <c r="N115" i="7"/>
  <c r="M115" i="7"/>
  <c r="D115" i="7"/>
  <c r="N114" i="7"/>
  <c r="M114" i="7"/>
  <c r="D114" i="7"/>
  <c r="N113" i="7"/>
  <c r="M113" i="7"/>
  <c r="D113" i="7"/>
  <c r="N112" i="7"/>
  <c r="M112" i="7"/>
  <c r="D112" i="7"/>
  <c r="N111" i="7"/>
  <c r="M111" i="7"/>
  <c r="D111" i="7"/>
  <c r="N110" i="7"/>
  <c r="M110" i="7"/>
  <c r="D110" i="7"/>
  <c r="N109" i="7"/>
  <c r="M109" i="7"/>
  <c r="D109" i="7"/>
  <c r="N108" i="7"/>
  <c r="M108" i="7"/>
  <c r="D108" i="7"/>
  <c r="N107" i="7"/>
  <c r="M107" i="7"/>
  <c r="D107" i="7"/>
  <c r="N106" i="7"/>
  <c r="M106" i="7"/>
  <c r="D106" i="7"/>
  <c r="N105" i="7"/>
  <c r="M105" i="7"/>
  <c r="D105" i="7"/>
  <c r="N104" i="7"/>
  <c r="M104" i="7"/>
  <c r="D104" i="7"/>
  <c r="N103" i="7"/>
  <c r="M103" i="7"/>
  <c r="D103" i="7"/>
  <c r="N102" i="7"/>
  <c r="M102" i="7"/>
  <c r="D102" i="7"/>
  <c r="N101" i="7"/>
  <c r="M101" i="7"/>
  <c r="D101" i="7"/>
  <c r="N100" i="7"/>
  <c r="M100" i="7"/>
  <c r="D100" i="7"/>
  <c r="N99" i="7"/>
  <c r="M99" i="7"/>
  <c r="D99" i="7"/>
  <c r="N98" i="7"/>
  <c r="M98" i="7"/>
  <c r="D98" i="7"/>
  <c r="N97" i="7"/>
  <c r="M97" i="7"/>
  <c r="D97" i="7"/>
  <c r="N96" i="7"/>
  <c r="M96" i="7"/>
  <c r="D96" i="7"/>
  <c r="N95" i="7"/>
  <c r="M95" i="7"/>
  <c r="D95" i="7"/>
  <c r="N94" i="7"/>
  <c r="M94" i="7"/>
  <c r="D94" i="7"/>
  <c r="M93" i="7"/>
  <c r="D93" i="7"/>
  <c r="N92" i="7"/>
  <c r="M92" i="7"/>
  <c r="D92" i="7"/>
  <c r="N91" i="7"/>
  <c r="M91" i="7"/>
  <c r="D91" i="7"/>
  <c r="N90" i="7"/>
  <c r="M90" i="7"/>
  <c r="D90" i="7"/>
  <c r="N89" i="7"/>
  <c r="M89" i="7"/>
  <c r="D89" i="7"/>
  <c r="N88" i="7"/>
  <c r="M88" i="7"/>
  <c r="D88" i="7"/>
  <c r="N87" i="7"/>
  <c r="M87" i="7"/>
  <c r="D87" i="7"/>
  <c r="N86" i="7"/>
  <c r="M86" i="7"/>
  <c r="D86" i="7"/>
  <c r="N85" i="7"/>
  <c r="M85" i="7"/>
  <c r="D85" i="7"/>
  <c r="N84" i="7"/>
  <c r="M84" i="7"/>
  <c r="D84" i="7"/>
  <c r="N83" i="7"/>
  <c r="M83" i="7"/>
  <c r="D83" i="7"/>
  <c r="N82" i="7"/>
  <c r="M82" i="7"/>
  <c r="D82" i="7"/>
  <c r="N81" i="7"/>
  <c r="M81" i="7"/>
  <c r="D81" i="7"/>
  <c r="N80" i="7"/>
  <c r="M80" i="7"/>
  <c r="D80" i="7"/>
  <c r="N79" i="7"/>
  <c r="M79" i="7"/>
  <c r="D79" i="7"/>
  <c r="N78" i="7"/>
  <c r="M78" i="7"/>
  <c r="D78" i="7"/>
  <c r="N77" i="7"/>
  <c r="M77" i="7"/>
  <c r="D77" i="7"/>
  <c r="N76" i="7"/>
  <c r="M76" i="7"/>
  <c r="D76" i="7"/>
  <c r="N75" i="7"/>
  <c r="M75" i="7"/>
  <c r="D75" i="7"/>
  <c r="N74" i="7"/>
  <c r="M74" i="7"/>
  <c r="D74" i="7"/>
  <c r="N73" i="7"/>
  <c r="M73" i="7"/>
  <c r="D73" i="7"/>
  <c r="N72" i="7"/>
  <c r="M72" i="7"/>
  <c r="D72" i="7"/>
  <c r="N71" i="7"/>
  <c r="M71" i="7"/>
  <c r="D71" i="7"/>
  <c r="N70" i="7"/>
  <c r="M70" i="7"/>
  <c r="D70" i="7"/>
  <c r="N69" i="7"/>
  <c r="M69" i="7"/>
  <c r="D69" i="7"/>
  <c r="N68" i="7"/>
  <c r="M68" i="7"/>
  <c r="D68" i="7"/>
  <c r="N67" i="7"/>
  <c r="M67" i="7"/>
  <c r="D67" i="7"/>
  <c r="N66" i="7"/>
  <c r="M66" i="7"/>
  <c r="D66" i="7"/>
  <c r="N65" i="7"/>
  <c r="M65" i="7"/>
  <c r="D65" i="7"/>
  <c r="N64" i="7"/>
  <c r="M64" i="7"/>
  <c r="D64" i="7"/>
  <c r="N63" i="7"/>
  <c r="M63" i="7"/>
  <c r="D63" i="7"/>
  <c r="M62" i="7"/>
  <c r="D62" i="7"/>
  <c r="N61" i="7"/>
  <c r="M61" i="7"/>
  <c r="D61" i="7"/>
  <c r="N60" i="7"/>
  <c r="M60" i="7"/>
  <c r="D60" i="7"/>
  <c r="N59" i="7"/>
  <c r="M59" i="7"/>
  <c r="D59" i="7"/>
  <c r="N58" i="7"/>
  <c r="M58" i="7"/>
  <c r="D58" i="7"/>
  <c r="N57" i="7"/>
  <c r="M57" i="7"/>
  <c r="D57" i="7"/>
  <c r="N56" i="7"/>
  <c r="M56" i="7"/>
  <c r="D56" i="7"/>
  <c r="N55" i="7"/>
  <c r="M55" i="7"/>
  <c r="D55" i="7"/>
  <c r="N54" i="7"/>
  <c r="M54" i="7"/>
  <c r="D54" i="7"/>
  <c r="N53" i="7"/>
  <c r="M53" i="7"/>
  <c r="D53" i="7"/>
  <c r="N52" i="7"/>
  <c r="M52" i="7"/>
  <c r="D52" i="7"/>
  <c r="N51" i="7"/>
  <c r="M51" i="7"/>
  <c r="D51" i="7"/>
  <c r="N50" i="7"/>
  <c r="M50" i="7"/>
  <c r="D50" i="7"/>
  <c r="N49" i="7"/>
  <c r="M49" i="7"/>
  <c r="D49" i="7"/>
  <c r="N48" i="7"/>
  <c r="M48" i="7"/>
  <c r="D48" i="7"/>
  <c r="N47" i="7"/>
  <c r="M47" i="7"/>
  <c r="D47" i="7"/>
  <c r="N46" i="7"/>
  <c r="M46" i="7"/>
  <c r="D46" i="7"/>
  <c r="N45" i="7"/>
  <c r="M45" i="7"/>
  <c r="D45" i="7"/>
  <c r="N44" i="7"/>
  <c r="M44" i="7"/>
  <c r="D44" i="7"/>
  <c r="N43" i="7"/>
  <c r="M43" i="7"/>
  <c r="D43" i="7"/>
  <c r="N42" i="7"/>
  <c r="M42" i="7"/>
  <c r="D42" i="7"/>
  <c r="N41" i="7"/>
  <c r="M41" i="7"/>
  <c r="D41" i="7"/>
  <c r="N40" i="7"/>
  <c r="M40" i="7"/>
  <c r="D40" i="7"/>
  <c r="N39" i="7"/>
  <c r="M39" i="7"/>
  <c r="D39" i="7"/>
  <c r="N38" i="7"/>
  <c r="M38" i="7"/>
  <c r="D38" i="7"/>
  <c r="N37" i="7"/>
  <c r="M37" i="7"/>
  <c r="D37" i="7"/>
  <c r="N36" i="7"/>
  <c r="M36" i="7"/>
  <c r="D36" i="7"/>
  <c r="N35" i="7"/>
  <c r="M35" i="7"/>
  <c r="D35" i="7"/>
  <c r="N34" i="7"/>
  <c r="M34" i="7"/>
  <c r="D34" i="7"/>
  <c r="N33" i="7"/>
  <c r="M33" i="7"/>
  <c r="D33" i="7"/>
  <c r="M32" i="7"/>
  <c r="D32" i="7"/>
  <c r="N31" i="7"/>
  <c r="M31" i="7"/>
  <c r="D31" i="7"/>
  <c r="N30" i="7"/>
  <c r="M30" i="7"/>
  <c r="D30" i="7"/>
  <c r="N29" i="7"/>
  <c r="M29" i="7"/>
  <c r="D29" i="7"/>
  <c r="N28" i="7"/>
  <c r="M28" i="7"/>
  <c r="D28" i="7"/>
  <c r="N27" i="7"/>
  <c r="M27" i="7"/>
  <c r="D27" i="7"/>
  <c r="N26" i="7"/>
  <c r="M26" i="7"/>
  <c r="D26" i="7"/>
  <c r="N25" i="7"/>
  <c r="M25" i="7"/>
  <c r="D25" i="7"/>
  <c r="N24" i="7"/>
  <c r="M24" i="7"/>
  <c r="D24" i="7"/>
  <c r="N23" i="7"/>
  <c r="M23" i="7"/>
  <c r="D23" i="7"/>
  <c r="N22" i="7"/>
  <c r="M22" i="7"/>
  <c r="D22" i="7"/>
  <c r="N21" i="7"/>
  <c r="M21" i="7"/>
  <c r="D21" i="7"/>
  <c r="N20" i="7"/>
  <c r="M20" i="7"/>
  <c r="D20" i="7"/>
  <c r="N19" i="7"/>
  <c r="M19" i="7"/>
  <c r="D19" i="7"/>
  <c r="N18" i="7"/>
  <c r="M18" i="7"/>
  <c r="D18" i="7"/>
  <c r="N17" i="7"/>
  <c r="M17" i="7"/>
  <c r="D17" i="7"/>
  <c r="N16" i="7"/>
  <c r="M16" i="7"/>
  <c r="D16" i="7"/>
  <c r="N15" i="7"/>
  <c r="M15" i="7"/>
  <c r="D15" i="7"/>
  <c r="N14" i="7"/>
  <c r="M14" i="7"/>
  <c r="D14" i="7"/>
  <c r="N13" i="7"/>
  <c r="M13" i="7"/>
  <c r="D13" i="7"/>
  <c r="N12" i="7"/>
  <c r="M12" i="7"/>
  <c r="D12" i="7"/>
  <c r="N11" i="7"/>
  <c r="M11" i="7"/>
  <c r="D11" i="7"/>
  <c r="N10" i="7"/>
  <c r="M10" i="7"/>
  <c r="D10" i="7"/>
  <c r="N9" i="7"/>
  <c r="M9" i="7"/>
  <c r="D9" i="7"/>
  <c r="N8" i="7"/>
  <c r="M8" i="7"/>
  <c r="D8" i="7"/>
  <c r="N7" i="7"/>
  <c r="M7" i="7"/>
  <c r="D7" i="7"/>
  <c r="N6" i="7"/>
  <c r="M6" i="7"/>
  <c r="D6" i="7"/>
  <c r="N5" i="7"/>
  <c r="M5" i="7"/>
  <c r="D5" i="7"/>
  <c r="U4" i="7"/>
  <c r="U5" i="7" s="1"/>
  <c r="U6" i="7" s="1"/>
  <c r="U7" i="7" s="1"/>
  <c r="U8" i="7" s="1"/>
  <c r="U9" i="7" s="1"/>
  <c r="U10" i="7" s="1"/>
  <c r="U11" i="7" s="1"/>
  <c r="U12" i="7" s="1"/>
  <c r="U13" i="7" s="1"/>
  <c r="U14" i="7" s="1"/>
  <c r="U15" i="7" s="1"/>
  <c r="U16" i="7" s="1"/>
  <c r="U17" i="7" s="1"/>
  <c r="U18" i="7" s="1"/>
  <c r="U19" i="7" s="1"/>
  <c r="U20" i="7" s="1"/>
  <c r="U21" i="7" s="1"/>
  <c r="U22" i="7" s="1"/>
  <c r="U23" i="7" s="1"/>
  <c r="U24" i="7" s="1"/>
  <c r="U25" i="7" s="1"/>
  <c r="U26" i="7" s="1"/>
  <c r="U27" i="7" s="1"/>
  <c r="U28" i="7" s="1"/>
  <c r="U29" i="7" s="1"/>
  <c r="U30" i="7" s="1"/>
  <c r="U31" i="7" s="1"/>
  <c r="R4" i="7"/>
  <c r="R5" i="7" s="1"/>
  <c r="R6" i="7" s="1"/>
  <c r="R7" i="7" s="1"/>
  <c r="R8" i="7" s="1"/>
  <c r="R9" i="7" s="1"/>
  <c r="R10" i="7" s="1"/>
  <c r="R11" i="7" s="1"/>
  <c r="R12" i="7" s="1"/>
  <c r="R13" i="7" s="1"/>
  <c r="R14" i="7" s="1"/>
  <c r="R15" i="7" s="1"/>
  <c r="R16" i="7" s="1"/>
  <c r="R17" i="7" s="1"/>
  <c r="R18" i="7" s="1"/>
  <c r="R19" i="7" s="1"/>
  <c r="R20" i="7" s="1"/>
  <c r="R21" i="7" s="1"/>
  <c r="R22" i="7" s="1"/>
  <c r="R23" i="7" s="1"/>
  <c r="R24" i="7" s="1"/>
  <c r="R25" i="7" s="1"/>
  <c r="R26" i="7" s="1"/>
  <c r="R27" i="7" s="1"/>
  <c r="R28" i="7" s="1"/>
  <c r="R29" i="7" s="1"/>
  <c r="R30" i="7" s="1"/>
  <c r="R31" i="7" s="1"/>
  <c r="R32" i="7" s="1"/>
  <c r="R33" i="7" s="1"/>
  <c r="R34" i="7" s="1"/>
  <c r="R35" i="7" s="1"/>
  <c r="R36" i="7" s="1"/>
  <c r="R37" i="7" s="1"/>
  <c r="R38" i="7" s="1"/>
  <c r="R39" i="7" s="1"/>
  <c r="R40" i="7" s="1"/>
  <c r="R41" i="7" s="1"/>
  <c r="R42" i="7" s="1"/>
  <c r="R43" i="7" s="1"/>
  <c r="R44" i="7" s="1"/>
  <c r="R45" i="7" s="1"/>
  <c r="R46" i="7" s="1"/>
  <c r="R47" i="7" s="1"/>
  <c r="R48" i="7" s="1"/>
  <c r="R49" i="7" s="1"/>
  <c r="R50" i="7" s="1"/>
  <c r="R51" i="7" s="1"/>
  <c r="R52" i="7" s="1"/>
  <c r="R53" i="7" s="1"/>
  <c r="R54" i="7" s="1"/>
  <c r="R55" i="7" s="1"/>
  <c r="R56" i="7" s="1"/>
  <c r="R57" i="7" s="1"/>
  <c r="R58" i="7" s="1"/>
  <c r="R59" i="7" s="1"/>
  <c r="R60" i="7" s="1"/>
  <c r="R61" i="7" s="1"/>
  <c r="R62" i="7" s="1"/>
  <c r="R63" i="7" s="1"/>
  <c r="R64" i="7" s="1"/>
  <c r="R65" i="7" s="1"/>
  <c r="R66" i="7" s="1"/>
  <c r="R67" i="7" s="1"/>
  <c r="R68" i="7" s="1"/>
  <c r="R69" i="7" s="1"/>
  <c r="R70" i="7" s="1"/>
  <c r="R71" i="7" s="1"/>
  <c r="R72" i="7" s="1"/>
  <c r="R73" i="7" s="1"/>
  <c r="R74" i="7" s="1"/>
  <c r="R75" i="7" s="1"/>
  <c r="R76" i="7" s="1"/>
  <c r="R77" i="7" s="1"/>
  <c r="R78" i="7" s="1"/>
  <c r="R79" i="7" s="1"/>
  <c r="R80" i="7" s="1"/>
  <c r="R81" i="7" s="1"/>
  <c r="R82" i="7" s="1"/>
  <c r="R83" i="7" s="1"/>
  <c r="R84" i="7" s="1"/>
  <c r="R85" i="7" s="1"/>
  <c r="R86" i="7" s="1"/>
  <c r="R87" i="7" s="1"/>
  <c r="R88" i="7" s="1"/>
  <c r="R89" i="7" s="1"/>
  <c r="R90" i="7" s="1"/>
  <c r="R91" i="7" s="1"/>
  <c r="R92" i="7" s="1"/>
  <c r="R93" i="7" s="1"/>
  <c r="R94" i="7" s="1"/>
  <c r="R95" i="7" s="1"/>
  <c r="R96" i="7" s="1"/>
  <c r="R97" i="7" s="1"/>
  <c r="R98" i="7" s="1"/>
  <c r="R99" i="7" s="1"/>
  <c r="R100" i="7" s="1"/>
  <c r="R101" i="7" s="1"/>
  <c r="R102" i="7" s="1"/>
  <c r="R103" i="7" s="1"/>
  <c r="R104" i="7" s="1"/>
  <c r="R105" i="7" s="1"/>
  <c r="R106" i="7" s="1"/>
  <c r="R107" i="7" s="1"/>
  <c r="R108" i="7" s="1"/>
  <c r="R109" i="7" s="1"/>
  <c r="R110" i="7" s="1"/>
  <c r="R111" i="7" s="1"/>
  <c r="R112" i="7" s="1"/>
  <c r="R113" i="7" s="1"/>
  <c r="R114" i="7" s="1"/>
  <c r="R115" i="7" s="1"/>
  <c r="R116" i="7" s="1"/>
  <c r="R117" i="7" s="1"/>
  <c r="R118" i="7" s="1"/>
  <c r="R119" i="7" s="1"/>
  <c r="R120" i="7" s="1"/>
  <c r="R121" i="7" s="1"/>
  <c r="R122" i="7" s="1"/>
  <c r="N4" i="7"/>
  <c r="M4" i="7"/>
  <c r="G4" i="7"/>
  <c r="G5" i="7" s="1"/>
  <c r="D4" i="7"/>
  <c r="AC4" i="7" l="1"/>
  <c r="AC5" i="7" s="1"/>
  <c r="AC6" i="7" s="1"/>
  <c r="AC7" i="7" s="1"/>
  <c r="AC8" i="7" s="1"/>
  <c r="AC9" i="7" s="1"/>
  <c r="AC10" i="7" s="1"/>
  <c r="AC11" i="7" s="1"/>
  <c r="AC12" i="7" s="1"/>
  <c r="AC13" i="7" s="1"/>
  <c r="AC14" i="7" s="1"/>
  <c r="AC15" i="7" s="1"/>
  <c r="AC16" i="7" s="1"/>
  <c r="AC17" i="7" s="1"/>
  <c r="AC18" i="7" s="1"/>
  <c r="AC19" i="7" s="1"/>
  <c r="AC20" i="7" s="1"/>
  <c r="AC21" i="7" s="1"/>
  <c r="AC22" i="7" s="1"/>
  <c r="AC23" i="7" s="1"/>
  <c r="R123" i="7"/>
  <c r="R124" i="7" s="1"/>
  <c r="R125" i="7" s="1"/>
  <c r="R126" i="7" s="1"/>
  <c r="R127" i="7" s="1"/>
  <c r="R128" i="7" s="1"/>
  <c r="R129" i="7" s="1"/>
  <c r="R130" i="7" s="1"/>
  <c r="R131" i="7" s="1"/>
  <c r="R132" i="7" s="1"/>
  <c r="R133" i="7" s="1"/>
  <c r="R134" i="7" s="1"/>
  <c r="R135" i="7" s="1"/>
  <c r="R136" i="7" s="1"/>
  <c r="R137" i="7" s="1"/>
  <c r="R138" i="7" s="1"/>
  <c r="R139" i="7" s="1"/>
  <c r="R140" i="7" s="1"/>
  <c r="R141" i="7" s="1"/>
  <c r="R142" i="7" s="1"/>
  <c r="R143" i="7" s="1"/>
  <c r="R144" i="7" s="1"/>
  <c r="R145" i="7" s="1"/>
  <c r="R146" i="7" s="1"/>
  <c r="R147" i="7" s="1"/>
  <c r="R148" i="7" s="1"/>
  <c r="R149" i="7" s="1"/>
  <c r="R150" i="7" s="1"/>
  <c r="R151" i="7" s="1"/>
  <c r="R152" i="7" s="1"/>
  <c r="R153" i="7" s="1"/>
  <c r="R154" i="7" s="1"/>
  <c r="R155" i="7" s="1"/>
  <c r="R156" i="7" s="1"/>
  <c r="R157" i="7" s="1"/>
  <c r="R158" i="7" s="1"/>
  <c r="R159" i="7" s="1"/>
  <c r="R160" i="7" s="1"/>
  <c r="R161" i="7" s="1"/>
  <c r="R162" i="7" s="1"/>
  <c r="R163" i="7" s="1"/>
  <c r="R164" i="7" s="1"/>
  <c r="R165" i="7" s="1"/>
  <c r="R166" i="7" s="1"/>
  <c r="R167" i="7" s="1"/>
  <c r="R168" i="7" s="1"/>
  <c r="R169" i="7" s="1"/>
  <c r="R170" i="7" s="1"/>
  <c r="R171" i="7" s="1"/>
  <c r="R172" i="7" s="1"/>
  <c r="R173" i="7" s="1"/>
  <c r="R174" i="7" s="1"/>
  <c r="R175" i="7" s="1"/>
  <c r="R176" i="7" s="1"/>
  <c r="R177" i="7" s="1"/>
  <c r="R178" i="7" s="1"/>
  <c r="R179" i="7" s="1"/>
  <c r="R180" i="7" s="1"/>
  <c r="R181" i="7" s="1"/>
  <c r="R182" i="7" s="1"/>
  <c r="R183" i="7" s="1"/>
  <c r="R184" i="7" s="1"/>
  <c r="R185" i="7" s="1"/>
  <c r="R186" i="7" s="1"/>
  <c r="R187" i="7" s="1"/>
  <c r="R188" i="7" s="1"/>
  <c r="R189" i="7" s="1"/>
  <c r="R190" i="7" s="1"/>
  <c r="R191" i="7" s="1"/>
  <c r="R192" i="7" s="1"/>
  <c r="R193" i="7" s="1"/>
  <c r="R194" i="7" s="1"/>
  <c r="R195" i="7" s="1"/>
  <c r="R196" i="7" s="1"/>
  <c r="R197" i="7" s="1"/>
  <c r="R198" i="7" s="1"/>
  <c r="R199" i="7" s="1"/>
  <c r="R200" i="7" s="1"/>
  <c r="R201" i="7" s="1"/>
  <c r="R202" i="7" s="1"/>
  <c r="R203" i="7" s="1"/>
  <c r="R204" i="7" s="1"/>
  <c r="R205" i="7" s="1"/>
  <c r="R206" i="7" s="1"/>
  <c r="R207" i="7" s="1"/>
  <c r="R208" i="7" s="1"/>
  <c r="R209" i="7" s="1"/>
  <c r="R210" i="7" s="1"/>
  <c r="R211" i="7" s="1"/>
  <c r="R212" i="7" s="1"/>
  <c r="R213" i="7" s="1"/>
  <c r="R214" i="7" s="1"/>
  <c r="R215" i="7" s="1"/>
  <c r="R216" i="7" s="1"/>
  <c r="R217" i="7" s="1"/>
  <c r="R218" i="7" s="1"/>
  <c r="R219" i="7" s="1"/>
  <c r="R220" i="7" s="1"/>
  <c r="R221" i="7" s="1"/>
  <c r="R222" i="7" s="1"/>
  <c r="R223" i="7" s="1"/>
  <c r="R224" i="7" s="1"/>
  <c r="R225" i="7" s="1"/>
  <c r="R226" i="7" s="1"/>
  <c r="R227" i="7" s="1"/>
  <c r="R228" i="7" s="1"/>
  <c r="R229" i="7" s="1"/>
  <c r="R230" i="7" s="1"/>
  <c r="R231" i="7" s="1"/>
  <c r="R232" i="7" s="1"/>
  <c r="R233" i="7" s="1"/>
  <c r="R234" i="7" s="1"/>
  <c r="R235" i="7" s="1"/>
  <c r="R236" i="7" s="1"/>
  <c r="R237" i="7" s="1"/>
  <c r="R238" i="7" s="1"/>
  <c r="R239" i="7" s="1"/>
  <c r="R240" i="7" s="1"/>
  <c r="R241" i="7" s="1"/>
  <c r="R242" i="7" s="1"/>
  <c r="R243" i="7" s="1"/>
  <c r="R244" i="7" s="1"/>
  <c r="R245" i="7" s="1"/>
  <c r="R246" i="7" s="1"/>
  <c r="R247" i="7" s="1"/>
  <c r="R248" i="7" s="1"/>
  <c r="R249" i="7" s="1"/>
  <c r="R250" i="7" s="1"/>
  <c r="R251" i="7" s="1"/>
  <c r="R252" i="7" s="1"/>
  <c r="R253" i="7" s="1"/>
  <c r="R254" i="7" s="1"/>
  <c r="R255" i="7" s="1"/>
  <c r="R256" i="7" s="1"/>
  <c r="R257" i="7" s="1"/>
  <c r="R258" i="7" s="1"/>
  <c r="R259" i="7" s="1"/>
  <c r="R260" i="7" s="1"/>
  <c r="R261" i="7" s="1"/>
  <c r="R262" i="7" s="1"/>
  <c r="R263" i="7" s="1"/>
  <c r="R264" i="7" s="1"/>
  <c r="R265" i="7" s="1"/>
  <c r="R266" i="7" s="1"/>
  <c r="R267" i="7" s="1"/>
  <c r="R268" i="7" s="1"/>
  <c r="R269" i="7" s="1"/>
  <c r="R270" i="7" s="1"/>
  <c r="R271" i="7" s="1"/>
  <c r="R272" i="7" s="1"/>
  <c r="R273" i="7" s="1"/>
  <c r="R274" i="7" s="1"/>
  <c r="R275" i="7" s="1"/>
  <c r="R276" i="7" s="1"/>
  <c r="R277" i="7" s="1"/>
  <c r="R278" i="7" s="1"/>
  <c r="R279" i="7" s="1"/>
  <c r="R280" i="7" s="1"/>
  <c r="R281" i="7" s="1"/>
  <c r="R282" i="7" s="1"/>
  <c r="R283" i="7" s="1"/>
  <c r="R284" i="7" s="1"/>
  <c r="R285" i="7" s="1"/>
  <c r="R286" i="7" s="1"/>
  <c r="R287" i="7" s="1"/>
  <c r="R288" i="7" s="1"/>
  <c r="R289" i="7" s="1"/>
  <c r="R290" i="7" s="1"/>
  <c r="R291" i="7" s="1"/>
  <c r="R292" i="7" s="1"/>
  <c r="R293" i="7" s="1"/>
  <c r="R294" i="7" s="1"/>
  <c r="R295" i="7" s="1"/>
  <c r="R296" i="7" s="1"/>
  <c r="R297" i="7" s="1"/>
  <c r="R298" i="7" s="1"/>
  <c r="R299" i="7" s="1"/>
  <c r="R300" i="7" s="1"/>
  <c r="R301" i="7" s="1"/>
  <c r="R302" i="7" s="1"/>
  <c r="R303" i="7" s="1"/>
  <c r="R304" i="7" s="1"/>
  <c r="R305" i="7" s="1"/>
  <c r="R306" i="7" s="1"/>
  <c r="R307" i="7" s="1"/>
  <c r="R308" i="7" s="1"/>
  <c r="R309" i="7" s="1"/>
  <c r="R310" i="7" s="1"/>
  <c r="R311" i="7" s="1"/>
  <c r="R312" i="7" s="1"/>
  <c r="R313" i="7" s="1"/>
  <c r="R314" i="7" s="1"/>
  <c r="R315" i="7" s="1"/>
  <c r="R316" i="7" s="1"/>
  <c r="R317" i="7" s="1"/>
  <c r="R318" i="7" s="1"/>
  <c r="R319" i="7" s="1"/>
  <c r="R320" i="7" s="1"/>
  <c r="R321" i="7" s="1"/>
  <c r="R322" i="7" s="1"/>
  <c r="R323" i="7" s="1"/>
  <c r="R324" i="7" s="1"/>
  <c r="R325" i="7" s="1"/>
  <c r="R326" i="7" s="1"/>
  <c r="R327" i="7" s="1"/>
  <c r="R328" i="7" s="1"/>
  <c r="R329" i="7" s="1"/>
  <c r="R330" i="7" s="1"/>
  <c r="R331" i="7" s="1"/>
  <c r="R332" i="7" s="1"/>
  <c r="R333" i="7" s="1"/>
  <c r="R334" i="7" s="1"/>
  <c r="R335" i="7" s="1"/>
  <c r="R336" i="7" s="1"/>
  <c r="R337" i="7" s="1"/>
  <c r="R338" i="7" s="1"/>
  <c r="R339" i="7" s="1"/>
  <c r="R340" i="7" s="1"/>
  <c r="R341" i="7" s="1"/>
  <c r="R342" i="7" s="1"/>
  <c r="R343" i="7" s="1"/>
  <c r="R344" i="7" s="1"/>
  <c r="R345" i="7" s="1"/>
  <c r="R346" i="7" s="1"/>
  <c r="R347" i="7" s="1"/>
  <c r="R348" i="7" s="1"/>
  <c r="R349" i="7" s="1"/>
  <c r="R350" i="7" s="1"/>
  <c r="R351" i="7" s="1"/>
  <c r="R352" i="7" s="1"/>
  <c r="R353" i="7" s="1"/>
  <c r="R354" i="7" s="1"/>
  <c r="R355" i="7" s="1"/>
  <c r="R356" i="7" s="1"/>
  <c r="R357" i="7" s="1"/>
  <c r="R358" i="7" s="1"/>
  <c r="R359" i="7" s="1"/>
  <c r="R360" i="7" s="1"/>
  <c r="R361" i="7" s="1"/>
  <c r="R362" i="7" s="1"/>
  <c r="R363" i="7" s="1"/>
  <c r="R364" i="7" s="1"/>
  <c r="R365" i="7" s="1"/>
  <c r="R366" i="7" s="1"/>
  <c r="R367" i="7" s="1"/>
  <c r="R368" i="7" s="1"/>
  <c r="R369" i="7" s="1"/>
  <c r="G6" i="7"/>
  <c r="J5" i="7"/>
  <c r="O4" i="7"/>
  <c r="J4" i="7"/>
  <c r="D373" i="7"/>
  <c r="AC24" i="7" l="1"/>
  <c r="O5" i="7"/>
  <c r="X4" i="7"/>
  <c r="K4" i="7"/>
  <c r="K5" i="7" s="1"/>
  <c r="G7" i="7"/>
  <c r="J6" i="7"/>
  <c r="AC25" i="7" l="1"/>
  <c r="G8" i="7"/>
  <c r="J7" i="7"/>
  <c r="K6" i="7"/>
  <c r="Y4" i="7"/>
  <c r="X5" i="7"/>
  <c r="O6" i="7"/>
  <c r="AC26" i="7" l="1"/>
  <c r="Y5" i="7"/>
  <c r="O7" i="7"/>
  <c r="X6" i="7"/>
  <c r="K7" i="7"/>
  <c r="G9" i="7"/>
  <c r="J8" i="7"/>
  <c r="AC27" i="7" l="1"/>
  <c r="Y6" i="7"/>
  <c r="G10" i="7"/>
  <c r="J9" i="7"/>
  <c r="K8" i="7"/>
  <c r="O8" i="7"/>
  <c r="X7" i="7"/>
  <c r="AC28" i="7" l="1"/>
  <c r="K9" i="7"/>
  <c r="Y7" i="7"/>
  <c r="X8" i="7"/>
  <c r="O9" i="7"/>
  <c r="G11" i="7"/>
  <c r="J10" i="7"/>
  <c r="Y8" i="7" l="1"/>
  <c r="K10" i="7"/>
  <c r="AC29" i="7"/>
  <c r="J11" i="7"/>
  <c r="G12" i="7"/>
  <c r="O10" i="7"/>
  <c r="X9" i="7"/>
  <c r="Y9" i="7" l="1"/>
  <c r="K11" i="7"/>
  <c r="AC30" i="7"/>
  <c r="O11" i="7"/>
  <c r="X10" i="7"/>
  <c r="Y10" i="7" s="1"/>
  <c r="J12" i="7"/>
  <c r="K12" i="7" s="1"/>
  <c r="G13" i="7"/>
  <c r="AC31" i="7" l="1"/>
  <c r="J13" i="7"/>
  <c r="K13" i="7" s="1"/>
  <c r="G14" i="7"/>
  <c r="X11" i="7"/>
  <c r="Y11" i="7" s="1"/>
  <c r="O12" i="7"/>
  <c r="O13" i="7" l="1"/>
  <c r="X12" i="7"/>
  <c r="Y12" i="7" s="1"/>
  <c r="G15" i="7"/>
  <c r="J14" i="7"/>
  <c r="K14" i="7" s="1"/>
  <c r="J15" i="7" l="1"/>
  <c r="K15" i="7" s="1"/>
  <c r="G16" i="7"/>
  <c r="X13" i="7"/>
  <c r="Y13" i="7" s="1"/>
  <c r="O14" i="7"/>
  <c r="G17" i="7" l="1"/>
  <c r="J16" i="7"/>
  <c r="K16" i="7" s="1"/>
  <c r="X14" i="7"/>
  <c r="Y14" i="7" s="1"/>
  <c r="O15" i="7"/>
  <c r="O16" i="7" l="1"/>
  <c r="X15" i="7"/>
  <c r="Y15" i="7" s="1"/>
  <c r="G18" i="7"/>
  <c r="J17" i="7"/>
  <c r="K17" i="7" s="1"/>
  <c r="J18" i="7" l="1"/>
  <c r="K18" i="7" s="1"/>
  <c r="G19" i="7"/>
  <c r="X16" i="7"/>
  <c r="Y16" i="7" s="1"/>
  <c r="O17" i="7"/>
  <c r="J19" i="7" l="1"/>
  <c r="K19" i="7" s="1"/>
  <c r="G20" i="7"/>
  <c r="X17" i="7"/>
  <c r="Y17" i="7" s="1"/>
  <c r="O18" i="7"/>
  <c r="J20" i="7" l="1"/>
  <c r="K20" i="7" s="1"/>
  <c r="G21" i="7"/>
  <c r="X18" i="7"/>
  <c r="Y18" i="7" s="1"/>
  <c r="O19" i="7"/>
  <c r="G22" i="7" l="1"/>
  <c r="J21" i="7"/>
  <c r="K21" i="7" s="1"/>
  <c r="O20" i="7"/>
  <c r="X19" i="7"/>
  <c r="Y19" i="7" s="1"/>
  <c r="O21" i="7" l="1"/>
  <c r="X20" i="7"/>
  <c r="Y20" i="7" s="1"/>
  <c r="G23" i="7"/>
  <c r="J22" i="7"/>
  <c r="K22" i="7" s="1"/>
  <c r="J23" i="7" l="1"/>
  <c r="K23" i="7" s="1"/>
  <c r="G24" i="7"/>
  <c r="X21" i="7"/>
  <c r="Y21" i="7" s="1"/>
  <c r="O22" i="7"/>
  <c r="O23" i="7" l="1"/>
  <c r="X22" i="7"/>
  <c r="Y22" i="7" s="1"/>
  <c r="G25" i="7"/>
  <c r="J24" i="7"/>
  <c r="K24" i="7" s="1"/>
  <c r="G26" i="7" l="1"/>
  <c r="J25" i="7"/>
  <c r="K25" i="7" s="1"/>
  <c r="X23" i="7"/>
  <c r="Y23" i="7" s="1"/>
  <c r="O24" i="7"/>
  <c r="X24" i="7" l="1"/>
  <c r="Y24" i="7" s="1"/>
  <c r="O25" i="7"/>
  <c r="G27" i="7"/>
  <c r="J26" i="7"/>
  <c r="K26" i="7" s="1"/>
  <c r="J27" i="7" l="1"/>
  <c r="K27" i="7" s="1"/>
  <c r="G28" i="7"/>
  <c r="X25" i="7"/>
  <c r="O26" i="7"/>
  <c r="Y25" i="7"/>
  <c r="O27" i="7" l="1"/>
  <c r="X26" i="7"/>
  <c r="Y26" i="7" s="1"/>
  <c r="J28" i="7"/>
  <c r="K28" i="7" s="1"/>
  <c r="G29" i="7"/>
  <c r="G30" i="7" l="1"/>
  <c r="J29" i="7"/>
  <c r="K29" i="7" s="1"/>
  <c r="O28" i="7"/>
  <c r="X27" i="7"/>
  <c r="Y27" i="7" s="1"/>
  <c r="O29" i="7" l="1"/>
  <c r="X28" i="7"/>
  <c r="Y28" i="7" s="1"/>
  <c r="J30" i="7"/>
  <c r="K30" i="7" s="1"/>
  <c r="G31" i="7"/>
  <c r="J31" i="7" l="1"/>
  <c r="K31" i="7" s="1"/>
  <c r="G32" i="7"/>
  <c r="O30" i="7"/>
  <c r="X29" i="7"/>
  <c r="Y29" i="7" s="1"/>
  <c r="I32" i="7" l="1"/>
  <c r="X30" i="7"/>
  <c r="Y30" i="7" s="1"/>
  <c r="O31" i="7"/>
  <c r="J32" i="7"/>
  <c r="G33" i="7"/>
  <c r="K32" i="7" l="1"/>
  <c r="J33" i="7"/>
  <c r="G34" i="7"/>
  <c r="X31" i="7"/>
  <c r="Y31" i="7" s="1"/>
  <c r="K33" i="7" l="1"/>
  <c r="W32" i="7"/>
  <c r="AB32" i="7" s="1"/>
  <c r="G35" i="7"/>
  <c r="J34" i="7"/>
  <c r="K34" i="7" s="1"/>
  <c r="AC32" i="7" l="1"/>
  <c r="AC33" i="7" s="1"/>
  <c r="AC34" i="7" s="1"/>
  <c r="AC35" i="7" s="1"/>
  <c r="AC36" i="7" s="1"/>
  <c r="AC37" i="7" s="1"/>
  <c r="AC38" i="7" s="1"/>
  <c r="AC39" i="7" s="1"/>
  <c r="AC40" i="7" s="1"/>
  <c r="AC41" i="7" s="1"/>
  <c r="AC42" i="7" s="1"/>
  <c r="AC43" i="7" s="1"/>
  <c r="AC44" i="7" s="1"/>
  <c r="AC45" i="7" s="1"/>
  <c r="J35" i="7"/>
  <c r="K35" i="7" s="1"/>
  <c r="G36" i="7"/>
  <c r="T32" i="7"/>
  <c r="AA46" i="7" l="1"/>
  <c r="AC46" i="7"/>
  <c r="AC47" i="7" s="1"/>
  <c r="AC48" i="7" s="1"/>
  <c r="AC49" i="7" s="1"/>
  <c r="AC50" i="7" s="1"/>
  <c r="AC51" i="7" s="1"/>
  <c r="AC52" i="7" s="1"/>
  <c r="AC53" i="7" s="1"/>
  <c r="AC54" i="7" s="1"/>
  <c r="AC55" i="7" s="1"/>
  <c r="AC56" i="7" s="1"/>
  <c r="AC57" i="7" s="1"/>
  <c r="AC58" i="7" s="1"/>
  <c r="AC59" i="7" s="1"/>
  <c r="AC60" i="7" s="1"/>
  <c r="AC61" i="7" s="1"/>
  <c r="N32" i="7"/>
  <c r="U32" i="7"/>
  <c r="U33" i="7" s="1"/>
  <c r="U34" i="7" s="1"/>
  <c r="U35" i="7" s="1"/>
  <c r="U36" i="7" s="1"/>
  <c r="U37" i="7" s="1"/>
  <c r="U38" i="7" s="1"/>
  <c r="U39" i="7" s="1"/>
  <c r="U40" i="7" s="1"/>
  <c r="U41" i="7" s="1"/>
  <c r="U42" i="7" s="1"/>
  <c r="U43" i="7" s="1"/>
  <c r="U44" i="7" s="1"/>
  <c r="U45" i="7" s="1"/>
  <c r="U46" i="7" s="1"/>
  <c r="U47" i="7" s="1"/>
  <c r="U48" i="7" s="1"/>
  <c r="U49" i="7" s="1"/>
  <c r="U50" i="7" s="1"/>
  <c r="U51" i="7" s="1"/>
  <c r="U52" i="7" s="1"/>
  <c r="U53" i="7" s="1"/>
  <c r="U54" i="7" s="1"/>
  <c r="U55" i="7" s="1"/>
  <c r="U56" i="7" s="1"/>
  <c r="U57" i="7" s="1"/>
  <c r="U58" i="7" s="1"/>
  <c r="U59" i="7" s="1"/>
  <c r="U60" i="7" s="1"/>
  <c r="U61" i="7" s="1"/>
  <c r="J36" i="7"/>
  <c r="K36" i="7" s="1"/>
  <c r="G37" i="7"/>
  <c r="G38" i="7" l="1"/>
  <c r="J37" i="7"/>
  <c r="K37" i="7" s="1"/>
  <c r="O32" i="7"/>
  <c r="X32" i="7" l="1"/>
  <c r="O33" i="7"/>
  <c r="J38" i="7"/>
  <c r="K38" i="7" s="1"/>
  <c r="G39" i="7"/>
  <c r="Y32" i="7" l="1"/>
  <c r="J39" i="7"/>
  <c r="K39" i="7" s="1"/>
  <c r="G40" i="7"/>
  <c r="X33" i="7"/>
  <c r="Y33" i="7" s="1"/>
  <c r="O34" i="7"/>
  <c r="X34" i="7" l="1"/>
  <c r="Y34" i="7" s="1"/>
  <c r="O35" i="7"/>
  <c r="J40" i="7"/>
  <c r="K40" i="7" s="1"/>
  <c r="G41" i="7"/>
  <c r="G42" i="7" l="1"/>
  <c r="J41" i="7"/>
  <c r="K41" i="7" s="1"/>
  <c r="O36" i="7"/>
  <c r="X35" i="7"/>
  <c r="Y35" i="7" s="1"/>
  <c r="X36" i="7" l="1"/>
  <c r="Y36" i="7" s="1"/>
  <c r="O37" i="7"/>
  <c r="G43" i="7"/>
  <c r="J42" i="7"/>
  <c r="K42" i="7" s="1"/>
  <c r="X37" i="7" l="1"/>
  <c r="Y37" i="7" s="1"/>
  <c r="O38" i="7"/>
  <c r="J43" i="7"/>
  <c r="K43" i="7" s="1"/>
  <c r="G44" i="7"/>
  <c r="G45" i="7" l="1"/>
  <c r="J44" i="7"/>
  <c r="K44" i="7" s="1"/>
  <c r="X38" i="7"/>
  <c r="Y38" i="7" s="1"/>
  <c r="O39" i="7"/>
  <c r="X39" i="7" l="1"/>
  <c r="Y39" i="7" s="1"/>
  <c r="O40" i="7"/>
  <c r="G46" i="7"/>
  <c r="J45" i="7"/>
  <c r="K45" i="7" s="1"/>
  <c r="O41" i="7" l="1"/>
  <c r="X40" i="7"/>
  <c r="Y40" i="7" s="1"/>
  <c r="G47" i="7"/>
  <c r="J46" i="7"/>
  <c r="K46" i="7" s="1"/>
  <c r="J47" i="7" l="1"/>
  <c r="K47" i="7" s="1"/>
  <c r="G48" i="7"/>
  <c r="O42" i="7"/>
  <c r="X41" i="7"/>
  <c r="Y41" i="7" s="1"/>
  <c r="G49" i="7" l="1"/>
  <c r="J48" i="7"/>
  <c r="K48" i="7" s="1"/>
  <c r="X42" i="7"/>
  <c r="Y42" i="7" s="1"/>
  <c r="O43" i="7"/>
  <c r="O44" i="7" l="1"/>
  <c r="X43" i="7"/>
  <c r="Y43" i="7" s="1"/>
  <c r="G50" i="7"/>
  <c r="J49" i="7"/>
  <c r="K49" i="7" s="1"/>
  <c r="G51" i="7" l="1"/>
  <c r="J50" i="7"/>
  <c r="K50" i="7" s="1"/>
  <c r="X44" i="7"/>
  <c r="Y44" i="7" s="1"/>
  <c r="O45" i="7"/>
  <c r="O46" i="7" l="1"/>
  <c r="X45" i="7"/>
  <c r="Y45" i="7" s="1"/>
  <c r="G52" i="7"/>
  <c r="J51" i="7"/>
  <c r="K51" i="7" s="1"/>
  <c r="G53" i="7" l="1"/>
  <c r="J52" i="7"/>
  <c r="K52" i="7" s="1"/>
  <c r="O47" i="7"/>
  <c r="X46" i="7"/>
  <c r="Y46" i="7" s="1"/>
  <c r="O48" i="7" l="1"/>
  <c r="X47" i="7"/>
  <c r="Y47" i="7" s="1"/>
  <c r="J53" i="7"/>
  <c r="K53" i="7" s="1"/>
  <c r="G54" i="7"/>
  <c r="G55" i="7" l="1"/>
  <c r="J54" i="7"/>
  <c r="K54" i="7" s="1"/>
  <c r="X48" i="7"/>
  <c r="Y48" i="7" s="1"/>
  <c r="O49" i="7"/>
  <c r="O50" i="7" l="1"/>
  <c r="X49" i="7"/>
  <c r="Y49" i="7" s="1"/>
  <c r="J55" i="7"/>
  <c r="K55" i="7" s="1"/>
  <c r="G56" i="7"/>
  <c r="J56" i="7" l="1"/>
  <c r="K56" i="7" s="1"/>
  <c r="G57" i="7"/>
  <c r="O51" i="7"/>
  <c r="X50" i="7"/>
  <c r="Y50" i="7" s="1"/>
  <c r="J57" i="7" l="1"/>
  <c r="K57" i="7" s="1"/>
  <c r="G58" i="7"/>
  <c r="O52" i="7"/>
  <c r="X51" i="7"/>
  <c r="Y51" i="7" s="1"/>
  <c r="J58" i="7" l="1"/>
  <c r="K58" i="7" s="1"/>
  <c r="G59" i="7"/>
  <c r="O53" i="7"/>
  <c r="X52" i="7"/>
  <c r="Y52" i="7" s="1"/>
  <c r="O54" i="7" l="1"/>
  <c r="X53" i="7"/>
  <c r="Y53" i="7" s="1"/>
  <c r="J59" i="7"/>
  <c r="K59" i="7" s="1"/>
  <c r="G60" i="7"/>
  <c r="J60" i="7" l="1"/>
  <c r="K60" i="7" s="1"/>
  <c r="G61" i="7"/>
  <c r="X54" i="7"/>
  <c r="Y54" i="7" s="1"/>
  <c r="O55" i="7"/>
  <c r="O56" i="7" l="1"/>
  <c r="X55" i="7"/>
  <c r="Y55" i="7" s="1"/>
  <c r="G62" i="7"/>
  <c r="J61" i="7"/>
  <c r="K61" i="7" s="1"/>
  <c r="I62" i="7" l="1"/>
  <c r="G63" i="7"/>
  <c r="J62" i="7"/>
  <c r="X56" i="7"/>
  <c r="Y56" i="7" s="1"/>
  <c r="O57" i="7"/>
  <c r="K62" i="7" l="1"/>
  <c r="O58" i="7"/>
  <c r="X57" i="7"/>
  <c r="Y57" i="7" s="1"/>
  <c r="J63" i="7"/>
  <c r="K63" i="7" s="1"/>
  <c r="G64" i="7"/>
  <c r="G65" i="7" l="1"/>
  <c r="J64" i="7"/>
  <c r="K64" i="7" s="1"/>
  <c r="X58" i="7"/>
  <c r="Y58" i="7" s="1"/>
  <c r="O59" i="7"/>
  <c r="X59" i="7" l="1"/>
  <c r="Y59" i="7" s="1"/>
  <c r="O60" i="7"/>
  <c r="G66" i="7"/>
  <c r="J65" i="7"/>
  <c r="K65" i="7" s="1"/>
  <c r="O61" i="7" l="1"/>
  <c r="X60" i="7"/>
  <c r="Y60" i="7" s="1"/>
  <c r="G67" i="7"/>
  <c r="J66" i="7"/>
  <c r="K66" i="7" s="1"/>
  <c r="J67" i="7" l="1"/>
  <c r="K67" i="7" s="1"/>
  <c r="G68" i="7"/>
  <c r="X61" i="7"/>
  <c r="Y61" i="7" s="1"/>
  <c r="W62" i="7" l="1"/>
  <c r="AB62" i="7" s="1"/>
  <c r="J68" i="7"/>
  <c r="K68" i="7" s="1"/>
  <c r="G69" i="7"/>
  <c r="AC62" i="7" l="1"/>
  <c r="AC63" i="7" s="1"/>
  <c r="AC64" i="7" s="1"/>
  <c r="AC65" i="7" s="1"/>
  <c r="AC66" i="7" s="1"/>
  <c r="AC67" i="7" s="1"/>
  <c r="AC68" i="7" s="1"/>
  <c r="AC69" i="7" s="1"/>
  <c r="AC70" i="7" s="1"/>
  <c r="AC71" i="7" s="1"/>
  <c r="AC72" i="7" s="1"/>
  <c r="AC73" i="7" s="1"/>
  <c r="AC74" i="7" s="1"/>
  <c r="AC75" i="7" s="1"/>
  <c r="G70" i="7"/>
  <c r="J69" i="7"/>
  <c r="K69" i="7" s="1"/>
  <c r="T62" i="7"/>
  <c r="AA76" i="7" l="1"/>
  <c r="AC76" i="7" s="1"/>
  <c r="AC77" i="7" s="1"/>
  <c r="AC78" i="7" s="1"/>
  <c r="AC79" i="7" s="1"/>
  <c r="AC80" i="7" s="1"/>
  <c r="AC81" i="7" s="1"/>
  <c r="AC82" i="7" s="1"/>
  <c r="AC83" i="7" s="1"/>
  <c r="AC84" i="7" s="1"/>
  <c r="AC85" i="7" s="1"/>
  <c r="AC86" i="7" s="1"/>
  <c r="AC87" i="7" s="1"/>
  <c r="AC88" i="7" s="1"/>
  <c r="AC89" i="7" s="1"/>
  <c r="AC90" i="7" s="1"/>
  <c r="AC91" i="7" s="1"/>
  <c r="AC92" i="7" s="1"/>
  <c r="N62" i="7"/>
  <c r="U62" i="7"/>
  <c r="U63" i="7" s="1"/>
  <c r="U64" i="7" s="1"/>
  <c r="U65" i="7" s="1"/>
  <c r="U66" i="7" s="1"/>
  <c r="U67" i="7" s="1"/>
  <c r="U68" i="7" s="1"/>
  <c r="U69" i="7" s="1"/>
  <c r="U70" i="7" s="1"/>
  <c r="U71" i="7" s="1"/>
  <c r="U72" i="7" s="1"/>
  <c r="U73" i="7" s="1"/>
  <c r="U74" i="7" s="1"/>
  <c r="U75" i="7" s="1"/>
  <c r="U76" i="7" s="1"/>
  <c r="U77" i="7" s="1"/>
  <c r="U78" i="7" s="1"/>
  <c r="U79" i="7" s="1"/>
  <c r="U80" i="7" s="1"/>
  <c r="U81" i="7" s="1"/>
  <c r="U82" i="7" s="1"/>
  <c r="U83" i="7" s="1"/>
  <c r="U84" i="7" s="1"/>
  <c r="U85" i="7" s="1"/>
  <c r="U86" i="7" s="1"/>
  <c r="U87" i="7" s="1"/>
  <c r="U88" i="7" s="1"/>
  <c r="U89" i="7" s="1"/>
  <c r="U90" i="7" s="1"/>
  <c r="U91" i="7" s="1"/>
  <c r="U92" i="7" s="1"/>
  <c r="G71" i="7"/>
  <c r="J70" i="7"/>
  <c r="K70" i="7" s="1"/>
  <c r="J71" i="7" l="1"/>
  <c r="K71" i="7" s="1"/>
  <c r="G72" i="7"/>
  <c r="O62" i="7"/>
  <c r="X62" i="7" l="1"/>
  <c r="O63" i="7"/>
  <c r="J72" i="7"/>
  <c r="K72" i="7" s="1"/>
  <c r="G73" i="7"/>
  <c r="Y62" i="7" l="1"/>
  <c r="X63" i="7"/>
  <c r="O64" i="7"/>
  <c r="J73" i="7"/>
  <c r="K73" i="7" s="1"/>
  <c r="G74" i="7"/>
  <c r="Y63" i="7"/>
  <c r="O65" i="7" l="1"/>
  <c r="X64" i="7"/>
  <c r="Y64" i="7" s="1"/>
  <c r="J74" i="7"/>
  <c r="K74" i="7" s="1"/>
  <c r="G75" i="7"/>
  <c r="J75" i="7" l="1"/>
  <c r="K75" i="7" s="1"/>
  <c r="G76" i="7"/>
  <c r="O66" i="7"/>
  <c r="X65" i="7"/>
  <c r="Y65" i="7" s="1"/>
  <c r="J76" i="7" l="1"/>
  <c r="K76" i="7" s="1"/>
  <c r="G77" i="7"/>
  <c r="O67" i="7"/>
  <c r="X66" i="7"/>
  <c r="Y66" i="7" s="1"/>
  <c r="J77" i="7" l="1"/>
  <c r="K77" i="7" s="1"/>
  <c r="G78" i="7"/>
  <c r="X67" i="7"/>
  <c r="Y67" i="7" s="1"/>
  <c r="O68" i="7"/>
  <c r="J78" i="7" l="1"/>
  <c r="K78" i="7" s="1"/>
  <c r="G79" i="7"/>
  <c r="X68" i="7"/>
  <c r="Y68" i="7" s="1"/>
  <c r="O69" i="7"/>
  <c r="X69" i="7" l="1"/>
  <c r="Y69" i="7" s="1"/>
  <c r="O70" i="7"/>
  <c r="J79" i="7"/>
  <c r="K79" i="7" s="1"/>
  <c r="G80" i="7"/>
  <c r="G81" i="7" l="1"/>
  <c r="J80" i="7"/>
  <c r="K80" i="7" s="1"/>
  <c r="X70" i="7"/>
  <c r="Y70" i="7" s="1"/>
  <c r="O71" i="7"/>
  <c r="O72" i="7" l="1"/>
  <c r="X71" i="7"/>
  <c r="Y71" i="7" s="1"/>
  <c r="G82" i="7"/>
  <c r="J81" i="7"/>
  <c r="K81" i="7" s="1"/>
  <c r="G83" i="7" l="1"/>
  <c r="J82" i="7"/>
  <c r="K82" i="7" s="1"/>
  <c r="O73" i="7"/>
  <c r="X72" i="7"/>
  <c r="Y72" i="7" s="1"/>
  <c r="X73" i="7" l="1"/>
  <c r="Y73" i="7" s="1"/>
  <c r="O74" i="7"/>
  <c r="G84" i="7"/>
  <c r="J83" i="7"/>
  <c r="K83" i="7" s="1"/>
  <c r="X74" i="7" l="1"/>
  <c r="Y74" i="7" s="1"/>
  <c r="O75" i="7"/>
  <c r="J84" i="7"/>
  <c r="K84" i="7" s="1"/>
  <c r="G85" i="7"/>
  <c r="J85" i="7" l="1"/>
  <c r="K85" i="7" s="1"/>
  <c r="G86" i="7"/>
  <c r="X75" i="7"/>
  <c r="Y75" i="7" s="1"/>
  <c r="O76" i="7"/>
  <c r="O77" i="7" l="1"/>
  <c r="X76" i="7"/>
  <c r="Y76" i="7" s="1"/>
  <c r="G87" i="7"/>
  <c r="J86" i="7"/>
  <c r="K86" i="7" s="1"/>
  <c r="J87" i="7" l="1"/>
  <c r="K87" i="7" s="1"/>
  <c r="G88" i="7"/>
  <c r="X77" i="7"/>
  <c r="Y77" i="7" s="1"/>
  <c r="O78" i="7"/>
  <c r="O79" i="7" l="1"/>
  <c r="X78" i="7"/>
  <c r="Y78" i="7" s="1"/>
  <c r="J88" i="7"/>
  <c r="K88" i="7" s="1"/>
  <c r="G89" i="7"/>
  <c r="J89" i="7" l="1"/>
  <c r="K89" i="7" s="1"/>
  <c r="G90" i="7"/>
  <c r="X79" i="7"/>
  <c r="Y79" i="7" s="1"/>
  <c r="O80" i="7"/>
  <c r="X80" i="7" l="1"/>
  <c r="Y80" i="7" s="1"/>
  <c r="O81" i="7"/>
  <c r="G91" i="7"/>
  <c r="J90" i="7"/>
  <c r="K90" i="7" s="1"/>
  <c r="J91" i="7" l="1"/>
  <c r="K91" i="7" s="1"/>
  <c r="G92" i="7"/>
  <c r="O82" i="7"/>
  <c r="X81" i="7"/>
  <c r="Y81" i="7" s="1"/>
  <c r="J92" i="7" l="1"/>
  <c r="K92" i="7" s="1"/>
  <c r="G93" i="7"/>
  <c r="O83" i="7"/>
  <c r="X82" i="7"/>
  <c r="Y82" i="7" s="1"/>
  <c r="I93" i="7" l="1"/>
  <c r="J93" i="7"/>
  <c r="G94" i="7"/>
  <c r="O84" i="7"/>
  <c r="X83" i="7"/>
  <c r="Y83" i="7" s="1"/>
  <c r="K93" i="7" l="1"/>
  <c r="G95" i="7"/>
  <c r="J94" i="7"/>
  <c r="K94" i="7" s="1"/>
  <c r="X84" i="7"/>
  <c r="Y84" i="7" s="1"/>
  <c r="O85" i="7"/>
  <c r="X85" i="7" l="1"/>
  <c r="Y85" i="7" s="1"/>
  <c r="O86" i="7"/>
  <c r="J95" i="7"/>
  <c r="K95" i="7" s="1"/>
  <c r="G96" i="7"/>
  <c r="G97" i="7" l="1"/>
  <c r="J96" i="7"/>
  <c r="K96" i="7" s="1"/>
  <c r="X86" i="7"/>
  <c r="Y86" i="7" s="1"/>
  <c r="O87" i="7"/>
  <c r="O88" i="7" l="1"/>
  <c r="X87" i="7"/>
  <c r="Y87" i="7" s="1"/>
  <c r="G98" i="7"/>
  <c r="J97" i="7"/>
  <c r="K97" i="7" s="1"/>
  <c r="G99" i="7" l="1"/>
  <c r="J98" i="7"/>
  <c r="K98" i="7" s="1"/>
  <c r="O89" i="7"/>
  <c r="X88" i="7"/>
  <c r="Y88" i="7" s="1"/>
  <c r="X89" i="7" l="1"/>
  <c r="Y89" i="7" s="1"/>
  <c r="O90" i="7"/>
  <c r="J99" i="7"/>
  <c r="K99" i="7" s="1"/>
  <c r="G100" i="7"/>
  <c r="G101" i="7" l="1"/>
  <c r="J100" i="7"/>
  <c r="K100" i="7" s="1"/>
  <c r="X90" i="7"/>
  <c r="Y90" i="7" s="1"/>
  <c r="O91" i="7"/>
  <c r="X91" i="7" l="1"/>
  <c r="Y91" i="7" s="1"/>
  <c r="O92" i="7"/>
  <c r="G102" i="7"/>
  <c r="J101" i="7"/>
  <c r="K101" i="7" s="1"/>
  <c r="G103" i="7" l="1"/>
  <c r="J102" i="7"/>
  <c r="K102" i="7" s="1"/>
  <c r="X92" i="7"/>
  <c r="Y92" i="7" s="1"/>
  <c r="W93" i="7" l="1"/>
  <c r="AB93" i="7" s="1"/>
  <c r="G104" i="7"/>
  <c r="J103" i="7"/>
  <c r="K103" i="7" s="1"/>
  <c r="AC93" i="7" l="1"/>
  <c r="AC94" i="7" s="1"/>
  <c r="AC95" i="7" s="1"/>
  <c r="AC96" i="7" s="1"/>
  <c r="AC97" i="7" s="1"/>
  <c r="AC98" i="7" s="1"/>
  <c r="AC99" i="7" s="1"/>
  <c r="AC100" i="7" s="1"/>
  <c r="AC101" i="7" s="1"/>
  <c r="AC102" i="7" s="1"/>
  <c r="AC103" i="7" s="1"/>
  <c r="AC104" i="7" s="1"/>
  <c r="AC105" i="7" s="1"/>
  <c r="AC106" i="7" s="1"/>
  <c r="J104" i="7"/>
  <c r="K104" i="7" s="1"/>
  <c r="G105" i="7"/>
  <c r="T93" i="7"/>
  <c r="AA107" i="7" l="1"/>
  <c r="AC107" i="7" s="1"/>
  <c r="AC108" i="7" s="1"/>
  <c r="AC109" i="7" s="1"/>
  <c r="AC110" i="7" s="1"/>
  <c r="AC111" i="7" s="1"/>
  <c r="AC112" i="7" s="1"/>
  <c r="AC113" i="7" s="1"/>
  <c r="AC114" i="7" s="1"/>
  <c r="AC115" i="7" s="1"/>
  <c r="AC116" i="7" s="1"/>
  <c r="AC117" i="7" s="1"/>
  <c r="AC118" i="7" s="1"/>
  <c r="AC119" i="7" s="1"/>
  <c r="AC120" i="7" s="1"/>
  <c r="AC121" i="7" s="1"/>
  <c r="AC122" i="7" s="1"/>
  <c r="N93" i="7"/>
  <c r="U93" i="7"/>
  <c r="U94" i="7" s="1"/>
  <c r="U95" i="7" s="1"/>
  <c r="U96" i="7" s="1"/>
  <c r="U97" i="7" s="1"/>
  <c r="U98" i="7" s="1"/>
  <c r="U99" i="7" s="1"/>
  <c r="U100" i="7" s="1"/>
  <c r="U101" i="7" s="1"/>
  <c r="U102" i="7" s="1"/>
  <c r="U103" i="7" s="1"/>
  <c r="U104" i="7" s="1"/>
  <c r="U105" i="7" s="1"/>
  <c r="U106" i="7" s="1"/>
  <c r="U107" i="7" s="1"/>
  <c r="U108" i="7" s="1"/>
  <c r="U109" i="7" s="1"/>
  <c r="U110" i="7" s="1"/>
  <c r="U111" i="7" s="1"/>
  <c r="U112" i="7" s="1"/>
  <c r="U113" i="7" s="1"/>
  <c r="U114" i="7" s="1"/>
  <c r="U115" i="7" s="1"/>
  <c r="U116" i="7" s="1"/>
  <c r="U117" i="7" s="1"/>
  <c r="U118" i="7" s="1"/>
  <c r="U119" i="7" s="1"/>
  <c r="U120" i="7" s="1"/>
  <c r="U121" i="7" s="1"/>
  <c r="U122" i="7" s="1"/>
  <c r="J105" i="7"/>
  <c r="K105" i="7" s="1"/>
  <c r="G106" i="7"/>
  <c r="G107" i="7" l="1"/>
  <c r="J106" i="7"/>
  <c r="K106" i="7" s="1"/>
  <c r="O93" i="7"/>
  <c r="O94" i="7" l="1"/>
  <c r="X93" i="7"/>
  <c r="J107" i="7"/>
  <c r="K107" i="7" s="1"/>
  <c r="G108" i="7"/>
  <c r="Y93" i="7" l="1"/>
  <c r="G109" i="7"/>
  <c r="J108" i="7"/>
  <c r="K108" i="7" s="1"/>
  <c r="X94" i="7"/>
  <c r="Y94" i="7" s="1"/>
  <c r="O95" i="7"/>
  <c r="O96" i="7" l="1"/>
  <c r="X95" i="7"/>
  <c r="Y95" i="7" s="1"/>
  <c r="J109" i="7"/>
  <c r="K109" i="7" s="1"/>
  <c r="G110" i="7"/>
  <c r="G111" i="7" l="1"/>
  <c r="J110" i="7"/>
  <c r="K110" i="7" s="1"/>
  <c r="O97" i="7"/>
  <c r="X96" i="7"/>
  <c r="Y96" i="7" s="1"/>
  <c r="X97" i="7" l="1"/>
  <c r="Y97" i="7" s="1"/>
  <c r="O98" i="7"/>
  <c r="J111" i="7"/>
  <c r="K111" i="7" s="1"/>
  <c r="G112" i="7"/>
  <c r="G113" i="7" l="1"/>
  <c r="J112" i="7"/>
  <c r="K112" i="7" s="1"/>
  <c r="O99" i="7"/>
  <c r="X98" i="7"/>
  <c r="Y98" i="7" s="1"/>
  <c r="X99" i="7" l="1"/>
  <c r="Y99" i="7" s="1"/>
  <c r="O100" i="7"/>
  <c r="G114" i="7"/>
  <c r="J113" i="7"/>
  <c r="K113" i="7" s="1"/>
  <c r="X100" i="7" l="1"/>
  <c r="Y100" i="7" s="1"/>
  <c r="O101" i="7"/>
  <c r="G115" i="7"/>
  <c r="J114" i="7"/>
  <c r="K114" i="7" s="1"/>
  <c r="X101" i="7" l="1"/>
  <c r="Y101" i="7" s="1"/>
  <c r="O102" i="7"/>
  <c r="J115" i="7"/>
  <c r="K115" i="7" s="1"/>
  <c r="G116" i="7"/>
  <c r="G117" i="7" l="1"/>
  <c r="J116" i="7"/>
  <c r="K116" i="7" s="1"/>
  <c r="O103" i="7"/>
  <c r="X102" i="7"/>
  <c r="Y102" i="7" s="1"/>
  <c r="X103" i="7" l="1"/>
  <c r="Y103" i="7" s="1"/>
  <c r="O104" i="7"/>
  <c r="G118" i="7"/>
  <c r="J117" i="7"/>
  <c r="K117" i="7" s="1"/>
  <c r="G119" i="7" l="1"/>
  <c r="J118" i="7"/>
  <c r="K118" i="7" s="1"/>
  <c r="X104" i="7"/>
  <c r="Y104" i="7" s="1"/>
  <c r="O105" i="7"/>
  <c r="O106" i="7" l="1"/>
  <c r="X105" i="7"/>
  <c r="Y105" i="7" s="1"/>
  <c r="G120" i="7"/>
  <c r="J119" i="7"/>
  <c r="K119" i="7" s="1"/>
  <c r="J120" i="7" l="1"/>
  <c r="K120" i="7" s="1"/>
  <c r="G121" i="7"/>
  <c r="O107" i="7"/>
  <c r="X106" i="7"/>
  <c r="Y106" i="7" s="1"/>
  <c r="J121" i="7" l="1"/>
  <c r="K121" i="7" s="1"/>
  <c r="G122" i="7"/>
  <c r="O108" i="7"/>
  <c r="X107" i="7"/>
  <c r="Y107" i="7" s="1"/>
  <c r="G123" i="7" l="1"/>
  <c r="J122" i="7"/>
  <c r="K122" i="7" s="1"/>
  <c r="O109" i="7"/>
  <c r="X108" i="7"/>
  <c r="Y108" i="7" s="1"/>
  <c r="I123" i="7" l="1"/>
  <c r="O110" i="7"/>
  <c r="X109" i="7"/>
  <c r="Y109" i="7" s="1"/>
  <c r="J123" i="7"/>
  <c r="K123" i="7" l="1"/>
  <c r="X110" i="7"/>
  <c r="Y110" i="7" s="1"/>
  <c r="O111" i="7"/>
  <c r="O112" i="7" l="1"/>
  <c r="X111" i="7"/>
  <c r="Y111" i="7" s="1"/>
  <c r="O113" i="7" l="1"/>
  <c r="X112" i="7"/>
  <c r="Y112" i="7" s="1"/>
  <c r="X113" i="7" l="1"/>
  <c r="Y113" i="7" s="1"/>
  <c r="O114" i="7"/>
  <c r="O115" i="7" l="1"/>
  <c r="X114" i="7"/>
  <c r="Y114" i="7" s="1"/>
  <c r="X115" i="7" l="1"/>
  <c r="Y115" i="7" s="1"/>
  <c r="O116" i="7"/>
  <c r="X116" i="7" l="1"/>
  <c r="Y116" i="7" s="1"/>
  <c r="O117" i="7"/>
  <c r="O118" i="7" l="1"/>
  <c r="X117" i="7"/>
  <c r="Y117" i="7" s="1"/>
  <c r="O119" i="7" l="1"/>
  <c r="X118" i="7"/>
  <c r="Y118" i="7" s="1"/>
  <c r="O120" i="7" l="1"/>
  <c r="X119" i="7"/>
  <c r="Y119" i="7" s="1"/>
  <c r="X120" i="7" l="1"/>
  <c r="Y120" i="7" s="1"/>
  <c r="O121" i="7"/>
  <c r="O122" i="7" l="1"/>
  <c r="X121" i="7"/>
  <c r="Y121" i="7" s="1"/>
  <c r="X122" i="7" l="1"/>
  <c r="Y122" i="7" s="1"/>
  <c r="W123" i="7" l="1"/>
  <c r="AB123" i="7" s="1"/>
  <c r="AC123" i="7" s="1"/>
  <c r="AC124" i="7" s="1"/>
  <c r="AC125" i="7" s="1"/>
  <c r="AC126" i="7" s="1"/>
  <c r="AC127" i="7" s="1"/>
  <c r="AC128" i="7" s="1"/>
  <c r="AC129" i="7" s="1"/>
  <c r="AC130" i="7" s="1"/>
  <c r="AC131" i="7" s="1"/>
  <c r="AC132" i="7" s="1"/>
  <c r="AC133" i="7" s="1"/>
  <c r="AC134" i="7" s="1"/>
  <c r="AC135" i="7" s="1"/>
  <c r="AC136" i="7" s="1"/>
  <c r="AA137" i="7" l="1"/>
  <c r="AC137" i="7"/>
  <c r="AC138" i="7" s="1"/>
  <c r="AC139" i="7" s="1"/>
  <c r="AC140" i="7" s="1"/>
  <c r="AC141" i="7" s="1"/>
  <c r="AC142" i="7" s="1"/>
  <c r="AC143" i="7" s="1"/>
  <c r="AC144" i="7" s="1"/>
  <c r="AC145" i="7" s="1"/>
  <c r="AC146" i="7" s="1"/>
  <c r="AC147" i="7" s="1"/>
  <c r="AC148" i="7" s="1"/>
  <c r="AC149" i="7" s="1"/>
  <c r="AC150" i="7" s="1"/>
  <c r="AC151" i="7" s="1"/>
  <c r="AC152" i="7" s="1"/>
  <c r="AC153" i="7" s="1"/>
  <c r="T123" i="7"/>
  <c r="N123" i="7" l="1"/>
  <c r="O123" i="7" s="1"/>
  <c r="U123" i="7"/>
  <c r="S124" i="7" l="1"/>
  <c r="X123" i="7"/>
  <c r="Y123" i="7" l="1"/>
  <c r="F124" i="7"/>
  <c r="M124" i="7"/>
  <c r="U124" i="7"/>
  <c r="U125" i="7" s="1"/>
  <c r="U126" i="7" s="1"/>
  <c r="U127" i="7" s="1"/>
  <c r="U128" i="7" s="1"/>
  <c r="U129" i="7" s="1"/>
  <c r="U130" i="7" s="1"/>
  <c r="U131" i="7" s="1"/>
  <c r="U132" i="7" s="1"/>
  <c r="U133" i="7" s="1"/>
  <c r="U134" i="7" s="1"/>
  <c r="U135" i="7" s="1"/>
  <c r="U136" i="7" s="1"/>
  <c r="U137" i="7" s="1"/>
  <c r="U138" i="7" s="1"/>
  <c r="U139" i="7" s="1"/>
  <c r="U140" i="7" s="1"/>
  <c r="U141" i="7" s="1"/>
  <c r="U142" i="7" s="1"/>
  <c r="U143" i="7" s="1"/>
  <c r="U144" i="7" s="1"/>
  <c r="U145" i="7" s="1"/>
  <c r="U146" i="7" s="1"/>
  <c r="U147" i="7" s="1"/>
  <c r="U148" i="7" s="1"/>
  <c r="U149" i="7" s="1"/>
  <c r="U150" i="7" s="1"/>
  <c r="U151" i="7" s="1"/>
  <c r="U152" i="7" s="1"/>
  <c r="U153" i="7" s="1"/>
  <c r="O124" i="7" l="1"/>
  <c r="G124" i="7"/>
  <c r="G125" i="7" l="1"/>
  <c r="J124" i="7"/>
  <c r="K124" i="7" s="1"/>
  <c r="X124" i="7"/>
  <c r="Y124" i="7" s="1"/>
  <c r="O125" i="7"/>
  <c r="X125" i="7" l="1"/>
  <c r="Y125" i="7" s="1"/>
  <c r="O126" i="7"/>
  <c r="J125" i="7"/>
  <c r="K125" i="7" s="1"/>
  <c r="G126" i="7"/>
  <c r="J126" i="7" l="1"/>
  <c r="K126" i="7" s="1"/>
  <c r="G127" i="7"/>
  <c r="X126" i="7"/>
  <c r="Y126" i="7" s="1"/>
  <c r="O127" i="7"/>
  <c r="O128" i="7" l="1"/>
  <c r="X127" i="7"/>
  <c r="Y127" i="7" s="1"/>
  <c r="G128" i="7"/>
  <c r="J127" i="7"/>
  <c r="K127" i="7" s="1"/>
  <c r="G129" i="7" l="1"/>
  <c r="J128" i="7"/>
  <c r="K128" i="7" s="1"/>
  <c r="X128" i="7"/>
  <c r="Y128" i="7" s="1"/>
  <c r="O129" i="7"/>
  <c r="O130" i="7" l="1"/>
  <c r="X129" i="7"/>
  <c r="Y129" i="7" s="1"/>
  <c r="J129" i="7"/>
  <c r="K129" i="7" s="1"/>
  <c r="G130" i="7"/>
  <c r="J130" i="7" l="1"/>
  <c r="K130" i="7" s="1"/>
  <c r="G131" i="7"/>
  <c r="X130" i="7"/>
  <c r="Y130" i="7" s="1"/>
  <c r="O131" i="7"/>
  <c r="J131" i="7" l="1"/>
  <c r="K131" i="7" s="1"/>
  <c r="G132" i="7"/>
  <c r="X131" i="7"/>
  <c r="Y131" i="7" s="1"/>
  <c r="O132" i="7"/>
  <c r="X132" i="7" l="1"/>
  <c r="Y132" i="7" s="1"/>
  <c r="O133" i="7"/>
  <c r="G133" i="7"/>
  <c r="J132" i="7"/>
  <c r="K132" i="7" s="1"/>
  <c r="G134" i="7" l="1"/>
  <c r="J133" i="7"/>
  <c r="K133" i="7" s="1"/>
  <c r="O134" i="7"/>
  <c r="X133" i="7"/>
  <c r="Y133" i="7" s="1"/>
  <c r="O135" i="7" l="1"/>
  <c r="X134" i="7"/>
  <c r="Y134" i="7" s="1"/>
  <c r="G135" i="7"/>
  <c r="J134" i="7"/>
  <c r="K134" i="7" s="1"/>
  <c r="G136" i="7" l="1"/>
  <c r="J135" i="7"/>
  <c r="K135" i="7" s="1"/>
  <c r="O136" i="7"/>
  <c r="X135" i="7"/>
  <c r="Y135" i="7" s="1"/>
  <c r="O137" i="7" l="1"/>
  <c r="X136" i="7"/>
  <c r="Y136" i="7" s="1"/>
  <c r="G137" i="7"/>
  <c r="J136" i="7"/>
  <c r="K136" i="7" s="1"/>
  <c r="G138" i="7" l="1"/>
  <c r="J137" i="7"/>
  <c r="K137" i="7" s="1"/>
  <c r="X137" i="7"/>
  <c r="Y137" i="7" s="1"/>
  <c r="O138" i="7"/>
  <c r="X138" i="7" l="1"/>
  <c r="Y138" i="7" s="1"/>
  <c r="O139" i="7"/>
  <c r="G139" i="7"/>
  <c r="J138" i="7"/>
  <c r="K138" i="7" s="1"/>
  <c r="X139" i="7" l="1"/>
  <c r="Y139" i="7" s="1"/>
  <c r="O140" i="7"/>
  <c r="J139" i="7"/>
  <c r="K139" i="7" s="1"/>
  <c r="G140" i="7"/>
  <c r="G141" i="7" l="1"/>
  <c r="J140" i="7"/>
  <c r="K140" i="7" s="1"/>
  <c r="O141" i="7"/>
  <c r="X140" i="7"/>
  <c r="Y140" i="7" s="1"/>
  <c r="O142" i="7" l="1"/>
  <c r="X141" i="7"/>
  <c r="Y141" i="7" s="1"/>
  <c r="J141" i="7"/>
  <c r="K141" i="7" s="1"/>
  <c r="G142" i="7"/>
  <c r="J142" i="7" l="1"/>
  <c r="K142" i="7" s="1"/>
  <c r="G143" i="7"/>
  <c r="X142" i="7"/>
  <c r="Y142" i="7" s="1"/>
  <c r="O143" i="7"/>
  <c r="J143" i="7" l="1"/>
  <c r="K143" i="7" s="1"/>
  <c r="G144" i="7"/>
  <c r="O144" i="7"/>
  <c r="X143" i="7"/>
  <c r="Y143" i="7" s="1"/>
  <c r="J144" i="7" l="1"/>
  <c r="K144" i="7" s="1"/>
  <c r="G145" i="7"/>
  <c r="O145" i="7"/>
  <c r="X144" i="7"/>
  <c r="Y144" i="7" s="1"/>
  <c r="J145" i="7" l="1"/>
  <c r="K145" i="7" s="1"/>
  <c r="G146" i="7"/>
  <c r="X145" i="7"/>
  <c r="Y145" i="7" s="1"/>
  <c r="O146" i="7"/>
  <c r="J146" i="7" l="1"/>
  <c r="K146" i="7" s="1"/>
  <c r="G147" i="7"/>
  <c r="X146" i="7"/>
  <c r="Y146" i="7" s="1"/>
  <c r="O147" i="7"/>
  <c r="J147" i="7" l="1"/>
  <c r="K147" i="7" s="1"/>
  <c r="G148" i="7"/>
  <c r="O148" i="7"/>
  <c r="X147" i="7"/>
  <c r="Y147" i="7" s="1"/>
  <c r="J148" i="7" l="1"/>
  <c r="K148" i="7" s="1"/>
  <c r="G149" i="7"/>
  <c r="X148" i="7"/>
  <c r="Y148" i="7" s="1"/>
  <c r="O149" i="7"/>
  <c r="G150" i="7" l="1"/>
  <c r="J149" i="7"/>
  <c r="K149" i="7" s="1"/>
  <c r="X149" i="7"/>
  <c r="Y149" i="7" s="1"/>
  <c r="O150" i="7"/>
  <c r="O151" i="7" l="1"/>
  <c r="X150" i="7"/>
  <c r="Y150" i="7" s="1"/>
  <c r="J150" i="7"/>
  <c r="K150" i="7" s="1"/>
  <c r="G151" i="7"/>
  <c r="G152" i="7" l="1"/>
  <c r="J151" i="7"/>
  <c r="K151" i="7" s="1"/>
  <c r="X151" i="7"/>
  <c r="Y151" i="7" s="1"/>
  <c r="O152" i="7"/>
  <c r="O153" i="7" l="1"/>
  <c r="X152" i="7"/>
  <c r="Y152" i="7" s="1"/>
  <c r="G153" i="7"/>
  <c r="J152" i="7"/>
  <c r="K152" i="7" s="1"/>
  <c r="G154" i="7" l="1"/>
  <c r="J153" i="7"/>
  <c r="K153" i="7" s="1"/>
  <c r="X153" i="7"/>
  <c r="Y153" i="7" s="1"/>
  <c r="W154" i="7" l="1"/>
  <c r="I154" i="7"/>
  <c r="AB154" i="7" s="1"/>
  <c r="AC154" i="7" s="1"/>
  <c r="AC155" i="7" s="1"/>
  <c r="AC156" i="7" s="1"/>
  <c r="AC157" i="7" s="1"/>
  <c r="AC158" i="7" s="1"/>
  <c r="AC159" i="7" s="1"/>
  <c r="AC160" i="7" s="1"/>
  <c r="AC161" i="7" s="1"/>
  <c r="AC162" i="7" s="1"/>
  <c r="AC163" i="7" s="1"/>
  <c r="AC164" i="7" s="1"/>
  <c r="AC165" i="7" s="1"/>
  <c r="AC166" i="7" s="1"/>
  <c r="AC167" i="7" s="1"/>
  <c r="G155" i="7"/>
  <c r="J154" i="7"/>
  <c r="AA168" i="7" l="1"/>
  <c r="AC168" i="7"/>
  <c r="AC169" i="7" s="1"/>
  <c r="AC170" i="7" s="1"/>
  <c r="AC171" i="7" s="1"/>
  <c r="AC172" i="7" s="1"/>
  <c r="AC173" i="7" s="1"/>
  <c r="AC174" i="7" s="1"/>
  <c r="AC175" i="7" s="1"/>
  <c r="AC176" i="7" s="1"/>
  <c r="AC177" i="7" s="1"/>
  <c r="AC178" i="7" s="1"/>
  <c r="AC179" i="7" s="1"/>
  <c r="AC180" i="7" s="1"/>
  <c r="AC181" i="7" s="1"/>
  <c r="AC182" i="7" s="1"/>
  <c r="AC183" i="7" s="1"/>
  <c r="AC184" i="7" s="1"/>
  <c r="K154" i="7"/>
  <c r="J155" i="7"/>
  <c r="K155" i="7" s="1"/>
  <c r="G156" i="7"/>
  <c r="T154" i="7"/>
  <c r="G157" i="7" l="1"/>
  <c r="J156" i="7"/>
  <c r="K156" i="7" s="1"/>
  <c r="N154" i="7"/>
  <c r="O154" i="7" s="1"/>
  <c r="U154" i="7"/>
  <c r="U155" i="7" s="1"/>
  <c r="U156" i="7" s="1"/>
  <c r="U157" i="7" s="1"/>
  <c r="U158" i="7" s="1"/>
  <c r="U159" i="7" s="1"/>
  <c r="U160" i="7" s="1"/>
  <c r="U161" i="7" s="1"/>
  <c r="U162" i="7" s="1"/>
  <c r="U163" i="7" s="1"/>
  <c r="U164" i="7" s="1"/>
  <c r="U165" i="7" s="1"/>
  <c r="U166" i="7" s="1"/>
  <c r="U167" i="7" s="1"/>
  <c r="U168" i="7" s="1"/>
  <c r="U169" i="7" s="1"/>
  <c r="U170" i="7" s="1"/>
  <c r="U171" i="7" s="1"/>
  <c r="U172" i="7" s="1"/>
  <c r="U173" i="7" s="1"/>
  <c r="U174" i="7" s="1"/>
  <c r="U175" i="7" s="1"/>
  <c r="U176" i="7" s="1"/>
  <c r="U177" i="7" s="1"/>
  <c r="U178" i="7" s="1"/>
  <c r="U179" i="7" s="1"/>
  <c r="U180" i="7" s="1"/>
  <c r="U181" i="7" s="1"/>
  <c r="U182" i="7" s="1"/>
  <c r="U183" i="7" s="1"/>
  <c r="U184" i="7" s="1"/>
  <c r="X154" i="7" l="1"/>
  <c r="O155" i="7"/>
  <c r="J157" i="7"/>
  <c r="K157" i="7" s="1"/>
  <c r="G158" i="7"/>
  <c r="Y154" i="7" l="1"/>
  <c r="X155" i="7"/>
  <c r="O156" i="7"/>
  <c r="G159" i="7"/>
  <c r="J158" i="7"/>
  <c r="K158" i="7" s="1"/>
  <c r="Y155" i="7" l="1"/>
  <c r="O157" i="7"/>
  <c r="X156" i="7"/>
  <c r="G160" i="7"/>
  <c r="J159" i="7"/>
  <c r="K159" i="7" s="1"/>
  <c r="Y156" i="7" l="1"/>
  <c r="G161" i="7"/>
  <c r="J160" i="7"/>
  <c r="K160" i="7" s="1"/>
  <c r="O158" i="7"/>
  <c r="X157" i="7"/>
  <c r="Y157" i="7" l="1"/>
  <c r="X158" i="7"/>
  <c r="O159" i="7"/>
  <c r="G162" i="7"/>
  <c r="J161" i="7"/>
  <c r="K161" i="7" s="1"/>
  <c r="Y158" i="7" l="1"/>
  <c r="O160" i="7"/>
  <c r="X159" i="7"/>
  <c r="J162" i="7"/>
  <c r="K162" i="7" s="1"/>
  <c r="G163" i="7"/>
  <c r="Y159" i="7" l="1"/>
  <c r="G164" i="7"/>
  <c r="J163" i="7"/>
  <c r="K163" i="7" s="1"/>
  <c r="X160" i="7"/>
  <c r="O161" i="7"/>
  <c r="Y160" i="7" l="1"/>
  <c r="O162" i="7"/>
  <c r="X161" i="7"/>
  <c r="J164" i="7"/>
  <c r="K164" i="7" s="1"/>
  <c r="G165" i="7"/>
  <c r="Y161" i="7" l="1"/>
  <c r="J165" i="7"/>
  <c r="K165" i="7" s="1"/>
  <c r="G166" i="7"/>
  <c r="O163" i="7"/>
  <c r="X162" i="7"/>
  <c r="Y162" i="7" l="1"/>
  <c r="X163" i="7"/>
  <c r="O164" i="7"/>
  <c r="G167" i="7"/>
  <c r="J166" i="7"/>
  <c r="K166" i="7" s="1"/>
  <c r="Y163" i="7" l="1"/>
  <c r="O165" i="7"/>
  <c r="X164" i="7"/>
  <c r="G168" i="7"/>
  <c r="J167" i="7"/>
  <c r="K167" i="7" s="1"/>
  <c r="Y164" i="7" l="1"/>
  <c r="J168" i="7"/>
  <c r="K168" i="7" s="1"/>
  <c r="G169" i="7"/>
  <c r="X165" i="7"/>
  <c r="O166" i="7"/>
  <c r="Y165" i="7" l="1"/>
  <c r="G170" i="7"/>
  <c r="J169" i="7"/>
  <c r="K169" i="7" s="1"/>
  <c r="X166" i="7"/>
  <c r="O167" i="7"/>
  <c r="Y166" i="7" l="1"/>
  <c r="O168" i="7"/>
  <c r="X167" i="7"/>
  <c r="J170" i="7"/>
  <c r="K170" i="7" s="1"/>
  <c r="G171" i="7"/>
  <c r="Y167" i="7" l="1"/>
  <c r="G172" i="7"/>
  <c r="J171" i="7"/>
  <c r="K171" i="7" s="1"/>
  <c r="X168" i="7"/>
  <c r="O169" i="7"/>
  <c r="Y168" i="7" l="1"/>
  <c r="X169" i="7"/>
  <c r="O170" i="7"/>
  <c r="G173" i="7"/>
  <c r="J172" i="7"/>
  <c r="K172" i="7" s="1"/>
  <c r="Y169" i="7" l="1"/>
  <c r="X170" i="7"/>
  <c r="O171" i="7"/>
  <c r="J173" i="7"/>
  <c r="K173" i="7" s="1"/>
  <c r="G174" i="7"/>
  <c r="Y170" i="7" l="1"/>
  <c r="G175" i="7"/>
  <c r="J174" i="7"/>
  <c r="K174" i="7" s="1"/>
  <c r="X171" i="7"/>
  <c r="O172" i="7"/>
  <c r="Y171" i="7" l="1"/>
  <c r="O173" i="7"/>
  <c r="X172" i="7"/>
  <c r="J175" i="7"/>
  <c r="K175" i="7" s="1"/>
  <c r="G176" i="7"/>
  <c r="Y172" i="7" l="1"/>
  <c r="J176" i="7"/>
  <c r="K176" i="7" s="1"/>
  <c r="G177" i="7"/>
  <c r="O174" i="7"/>
  <c r="X173" i="7"/>
  <c r="Y173" i="7" l="1"/>
  <c r="G178" i="7"/>
  <c r="J177" i="7"/>
  <c r="K177" i="7" s="1"/>
  <c r="X174" i="7"/>
  <c r="O175" i="7"/>
  <c r="Y174" i="7" l="1"/>
  <c r="X175" i="7"/>
  <c r="O176" i="7"/>
  <c r="J178" i="7"/>
  <c r="K178" i="7" s="1"/>
  <c r="G179" i="7"/>
  <c r="Y175" i="7" l="1"/>
  <c r="G180" i="7"/>
  <c r="J179" i="7"/>
  <c r="K179" i="7" s="1"/>
  <c r="X176" i="7"/>
  <c r="O177" i="7"/>
  <c r="Y176" i="7" l="1"/>
  <c r="X177" i="7"/>
  <c r="O178" i="7"/>
  <c r="J180" i="7"/>
  <c r="K180" i="7" s="1"/>
  <c r="G181" i="7"/>
  <c r="Y177" i="7" l="1"/>
  <c r="J181" i="7"/>
  <c r="K181" i="7" s="1"/>
  <c r="G182" i="7"/>
  <c r="O179" i="7"/>
  <c r="X178" i="7"/>
  <c r="Y178" i="7" l="1"/>
  <c r="G183" i="7"/>
  <c r="J182" i="7"/>
  <c r="K182" i="7" s="1"/>
  <c r="O180" i="7"/>
  <c r="X179" i="7"/>
  <c r="Y179" i="7" l="1"/>
  <c r="O181" i="7"/>
  <c r="X180" i="7"/>
  <c r="G184" i="7"/>
  <c r="J183" i="7"/>
  <c r="K183" i="7" s="1"/>
  <c r="Y180" i="7" l="1"/>
  <c r="G185" i="7"/>
  <c r="J184" i="7"/>
  <c r="K184" i="7" s="1"/>
  <c r="X181" i="7"/>
  <c r="Y181" i="7" s="1"/>
  <c r="O182" i="7"/>
  <c r="I185" i="7" l="1"/>
  <c r="X182" i="7"/>
  <c r="Y182" i="7" s="1"/>
  <c r="O183" i="7"/>
  <c r="G186" i="7"/>
  <c r="J185" i="7"/>
  <c r="K185" i="7" l="1"/>
  <c r="O184" i="7"/>
  <c r="X183" i="7"/>
  <c r="Y183" i="7" s="1"/>
  <c r="G187" i="7"/>
  <c r="J186" i="7"/>
  <c r="K186" i="7" s="1"/>
  <c r="J187" i="7" l="1"/>
  <c r="K187" i="7" s="1"/>
  <c r="G188" i="7"/>
  <c r="X184" i="7"/>
  <c r="Y184" i="7" s="1"/>
  <c r="W185" i="7" l="1"/>
  <c r="AB185" i="7" s="1"/>
  <c r="AC185" i="7" s="1"/>
  <c r="AC186" i="7" s="1"/>
  <c r="AC187" i="7" s="1"/>
  <c r="AC188" i="7" s="1"/>
  <c r="AC189" i="7" s="1"/>
  <c r="AC190" i="7" s="1"/>
  <c r="AC191" i="7" s="1"/>
  <c r="AC192" i="7" s="1"/>
  <c r="AC193" i="7" s="1"/>
  <c r="AC194" i="7" s="1"/>
  <c r="AC195" i="7" s="1"/>
  <c r="AC196" i="7" s="1"/>
  <c r="AC197" i="7" s="1"/>
  <c r="AC198" i="7" s="1"/>
  <c r="G189" i="7"/>
  <c r="J188" i="7"/>
  <c r="K188" i="7" s="1"/>
  <c r="AA199" i="7" l="1"/>
  <c r="AC199" i="7" s="1"/>
  <c r="AC200" i="7" s="1"/>
  <c r="AC201" i="7" s="1"/>
  <c r="AC202" i="7" s="1"/>
  <c r="AC203" i="7" s="1"/>
  <c r="AC204" i="7" s="1"/>
  <c r="AC205" i="7" s="1"/>
  <c r="AC206" i="7" s="1"/>
  <c r="AC207" i="7" s="1"/>
  <c r="AC208" i="7" s="1"/>
  <c r="AC209" i="7" s="1"/>
  <c r="AC210" i="7" s="1"/>
  <c r="AC211" i="7" s="1"/>
  <c r="AC212" i="7" s="1"/>
  <c r="AC213" i="7" s="1"/>
  <c r="AC214" i="7" s="1"/>
  <c r="G190" i="7"/>
  <c r="J189" i="7"/>
  <c r="K189" i="7" s="1"/>
  <c r="T185" i="7"/>
  <c r="N185" i="7" l="1"/>
  <c r="O185" i="7" s="1"/>
  <c r="U185" i="7"/>
  <c r="U186" i="7" s="1"/>
  <c r="U187" i="7" s="1"/>
  <c r="U188" i="7" s="1"/>
  <c r="U189" i="7" s="1"/>
  <c r="U190" i="7" s="1"/>
  <c r="U191" i="7" s="1"/>
  <c r="U192" i="7" s="1"/>
  <c r="U193" i="7" s="1"/>
  <c r="U194" i="7" s="1"/>
  <c r="U195" i="7" s="1"/>
  <c r="U196" i="7" s="1"/>
  <c r="U197" i="7" s="1"/>
  <c r="U198" i="7" s="1"/>
  <c r="U199" i="7" s="1"/>
  <c r="U200" i="7" s="1"/>
  <c r="U201" i="7" s="1"/>
  <c r="U202" i="7" s="1"/>
  <c r="U203" i="7" s="1"/>
  <c r="U204" i="7" s="1"/>
  <c r="U205" i="7" s="1"/>
  <c r="U206" i="7" s="1"/>
  <c r="U207" i="7" s="1"/>
  <c r="U208" i="7" s="1"/>
  <c r="U209" i="7" s="1"/>
  <c r="U210" i="7" s="1"/>
  <c r="U211" i="7" s="1"/>
  <c r="U212" i="7" s="1"/>
  <c r="U213" i="7" s="1"/>
  <c r="U214" i="7" s="1"/>
  <c r="J190" i="7"/>
  <c r="K190" i="7" s="1"/>
  <c r="G191" i="7"/>
  <c r="G192" i="7" l="1"/>
  <c r="J191" i="7"/>
  <c r="K191" i="7" s="1"/>
  <c r="O186" i="7"/>
  <c r="X185" i="7"/>
  <c r="Y185" i="7" l="1"/>
  <c r="O187" i="7"/>
  <c r="X186" i="7"/>
  <c r="G193" i="7"/>
  <c r="J192" i="7"/>
  <c r="K192" i="7" s="1"/>
  <c r="Y186" i="7" l="1"/>
  <c r="G194" i="7"/>
  <c r="J193" i="7"/>
  <c r="K193" i="7" s="1"/>
  <c r="O188" i="7"/>
  <c r="X187" i="7"/>
  <c r="Y187" i="7" s="1"/>
  <c r="O189" i="7" l="1"/>
  <c r="X188" i="7"/>
  <c r="Y188" i="7" s="1"/>
  <c r="G195" i="7"/>
  <c r="J194" i="7"/>
  <c r="K194" i="7" s="1"/>
  <c r="J195" i="7" l="1"/>
  <c r="K195" i="7" s="1"/>
  <c r="G196" i="7"/>
  <c r="X189" i="7"/>
  <c r="Y189" i="7" s="1"/>
  <c r="O190" i="7"/>
  <c r="X190" i="7" l="1"/>
  <c r="Y190" i="7" s="1"/>
  <c r="O191" i="7"/>
  <c r="G197" i="7"/>
  <c r="J196" i="7"/>
  <c r="K196" i="7" s="1"/>
  <c r="X191" i="7" l="1"/>
  <c r="Y191" i="7" s="1"/>
  <c r="O192" i="7"/>
  <c r="G198" i="7"/>
  <c r="J197" i="7"/>
  <c r="K197" i="7" s="1"/>
  <c r="X192" i="7" l="1"/>
  <c r="Y192" i="7" s="1"/>
  <c r="O193" i="7"/>
  <c r="J198" i="7"/>
  <c r="K198" i="7" s="1"/>
  <c r="G199" i="7"/>
  <c r="J199" i="7" l="1"/>
  <c r="K199" i="7" s="1"/>
  <c r="G200" i="7"/>
  <c r="O194" i="7"/>
  <c r="X193" i="7"/>
  <c r="Y193" i="7" s="1"/>
  <c r="G201" i="7" l="1"/>
  <c r="J200" i="7"/>
  <c r="K200" i="7" s="1"/>
  <c r="O195" i="7"/>
  <c r="X194" i="7"/>
  <c r="Y194" i="7" s="1"/>
  <c r="X195" i="7" l="1"/>
  <c r="Y195" i="7" s="1"/>
  <c r="O196" i="7"/>
  <c r="G202" i="7"/>
  <c r="J201" i="7"/>
  <c r="K201" i="7" s="1"/>
  <c r="X196" i="7" l="1"/>
  <c r="Y196" i="7" s="1"/>
  <c r="O197" i="7"/>
  <c r="G203" i="7"/>
  <c r="J202" i="7"/>
  <c r="K202" i="7" s="1"/>
  <c r="J203" i="7" l="1"/>
  <c r="K203" i="7" s="1"/>
  <c r="G204" i="7"/>
  <c r="X197" i="7"/>
  <c r="Y197" i="7" s="1"/>
  <c r="O198" i="7"/>
  <c r="O199" i="7" l="1"/>
  <c r="X198" i="7"/>
  <c r="Y198" i="7" s="1"/>
  <c r="G205" i="7"/>
  <c r="J204" i="7"/>
  <c r="K204" i="7" s="1"/>
  <c r="G206" i="7" l="1"/>
  <c r="J205" i="7"/>
  <c r="K205" i="7" s="1"/>
  <c r="O200" i="7"/>
  <c r="X199" i="7"/>
  <c r="Y199" i="7" s="1"/>
  <c r="O201" i="7" l="1"/>
  <c r="X200" i="7"/>
  <c r="Y200" i="7" s="1"/>
  <c r="J206" i="7"/>
  <c r="K206" i="7" s="1"/>
  <c r="G207" i="7"/>
  <c r="J207" i="7" l="1"/>
  <c r="K207" i="7" s="1"/>
  <c r="G208" i="7"/>
  <c r="X201" i="7"/>
  <c r="Y201" i="7" s="1"/>
  <c r="O202" i="7"/>
  <c r="G209" i="7" l="1"/>
  <c r="J208" i="7"/>
  <c r="K208" i="7" s="1"/>
  <c r="O203" i="7"/>
  <c r="X202" i="7"/>
  <c r="Y202" i="7" s="1"/>
  <c r="O204" i="7" l="1"/>
  <c r="X203" i="7"/>
  <c r="Y203" i="7" s="1"/>
  <c r="G210" i="7"/>
  <c r="J209" i="7"/>
  <c r="K209" i="7" s="1"/>
  <c r="J210" i="7" l="1"/>
  <c r="K210" i="7" s="1"/>
  <c r="G211" i="7"/>
  <c r="O205" i="7"/>
  <c r="X204" i="7"/>
  <c r="Y204" i="7" s="1"/>
  <c r="G212" i="7" l="1"/>
  <c r="J211" i="7"/>
  <c r="K211" i="7" s="1"/>
  <c r="X205" i="7"/>
  <c r="Y205" i="7" s="1"/>
  <c r="O206" i="7"/>
  <c r="X206" i="7" l="1"/>
  <c r="Y206" i="7" s="1"/>
  <c r="O207" i="7"/>
  <c r="J212" i="7"/>
  <c r="K212" i="7" s="1"/>
  <c r="G213" i="7"/>
  <c r="J213" i="7" l="1"/>
  <c r="K213" i="7" s="1"/>
  <c r="G214" i="7"/>
  <c r="X207" i="7"/>
  <c r="Y207" i="7" s="1"/>
  <c r="O208" i="7"/>
  <c r="O209" i="7" l="1"/>
  <c r="X208" i="7"/>
  <c r="Y208" i="7" s="1"/>
  <c r="G215" i="7"/>
  <c r="J214" i="7"/>
  <c r="K214" i="7" s="1"/>
  <c r="I215" i="7" l="1"/>
  <c r="J215" i="7"/>
  <c r="O210" i="7"/>
  <c r="X209" i="7"/>
  <c r="Y209" i="7" s="1"/>
  <c r="K215" i="7" l="1"/>
  <c r="X210" i="7"/>
  <c r="Y210" i="7" s="1"/>
  <c r="O211" i="7"/>
  <c r="X211" i="7" l="1"/>
  <c r="Y211" i="7" s="1"/>
  <c r="O212" i="7"/>
  <c r="O213" i="7" l="1"/>
  <c r="X212" i="7"/>
  <c r="Y212" i="7" s="1"/>
  <c r="X213" i="7" l="1"/>
  <c r="Y213" i="7" s="1"/>
  <c r="O214" i="7"/>
  <c r="X214" i="7" l="1"/>
  <c r="Y214" i="7" s="1"/>
  <c r="W215" i="7" l="1"/>
  <c r="AB215" i="7" s="1"/>
  <c r="AC215" i="7" s="1"/>
  <c r="AC216" i="7" s="1"/>
  <c r="AC217" i="7" s="1"/>
  <c r="AC218" i="7" s="1"/>
  <c r="AC219" i="7" s="1"/>
  <c r="AC220" i="7" s="1"/>
  <c r="AC221" i="7" s="1"/>
  <c r="AC222" i="7" s="1"/>
  <c r="AC223" i="7" s="1"/>
  <c r="AC224" i="7" s="1"/>
  <c r="AC225" i="7" s="1"/>
  <c r="AC226" i="7" s="1"/>
  <c r="AC227" i="7" s="1"/>
  <c r="AC228" i="7" s="1"/>
  <c r="AA229" i="7" l="1"/>
  <c r="AC229" i="7"/>
  <c r="AC230" i="7" s="1"/>
  <c r="AC231" i="7" s="1"/>
  <c r="AC232" i="7" s="1"/>
  <c r="AC233" i="7" s="1"/>
  <c r="AC234" i="7" s="1"/>
  <c r="AC235" i="7" s="1"/>
  <c r="AC236" i="7" s="1"/>
  <c r="AC237" i="7" s="1"/>
  <c r="AC238" i="7" s="1"/>
  <c r="AC239" i="7" s="1"/>
  <c r="AC240" i="7" s="1"/>
  <c r="AC241" i="7" s="1"/>
  <c r="AC242" i="7" s="1"/>
  <c r="AC243" i="7" s="1"/>
  <c r="AC244" i="7" s="1"/>
  <c r="AC245" i="7" s="1"/>
  <c r="T215" i="7"/>
  <c r="N215" i="7" l="1"/>
  <c r="O215" i="7" s="1"/>
  <c r="U215" i="7"/>
  <c r="S216" i="7" l="1"/>
  <c r="X215" i="7"/>
  <c r="Y215" i="7" l="1"/>
  <c r="M216" i="7"/>
  <c r="F216" i="7"/>
  <c r="U216" i="7"/>
  <c r="U217" i="7" s="1"/>
  <c r="U218" i="7" s="1"/>
  <c r="U219" i="7" s="1"/>
  <c r="U220" i="7" s="1"/>
  <c r="U221" i="7" s="1"/>
  <c r="U222" i="7" s="1"/>
  <c r="U223" i="7" s="1"/>
  <c r="U224" i="7" s="1"/>
  <c r="U225" i="7" s="1"/>
  <c r="U226" i="7" s="1"/>
  <c r="U227" i="7" s="1"/>
  <c r="U228" i="7" s="1"/>
  <c r="U229" i="7" s="1"/>
  <c r="U230" i="7" s="1"/>
  <c r="U231" i="7" s="1"/>
  <c r="U232" i="7" s="1"/>
  <c r="U233" i="7" s="1"/>
  <c r="U234" i="7" s="1"/>
  <c r="U235" i="7" s="1"/>
  <c r="U236" i="7" s="1"/>
  <c r="U237" i="7" s="1"/>
  <c r="U238" i="7" s="1"/>
  <c r="U239" i="7" s="1"/>
  <c r="U240" i="7" s="1"/>
  <c r="U241" i="7" s="1"/>
  <c r="U242" i="7" s="1"/>
  <c r="U243" i="7" s="1"/>
  <c r="U244" i="7" s="1"/>
  <c r="U245" i="7" s="1"/>
  <c r="G216" i="7" l="1"/>
  <c r="O216" i="7"/>
  <c r="O217" i="7" l="1"/>
  <c r="X216" i="7"/>
  <c r="Y216" i="7" s="1"/>
  <c r="J216" i="7"/>
  <c r="K216" i="7" s="1"/>
  <c r="G217" i="7"/>
  <c r="G218" i="7" l="1"/>
  <c r="J217" i="7"/>
  <c r="K217" i="7"/>
  <c r="O218" i="7"/>
  <c r="X217" i="7"/>
  <c r="Y217" i="7" s="1"/>
  <c r="X218" i="7" l="1"/>
  <c r="Y218" i="7" s="1"/>
  <c r="O219" i="7"/>
  <c r="G219" i="7"/>
  <c r="J218" i="7"/>
  <c r="K218" i="7" s="1"/>
  <c r="J219" i="7" l="1"/>
  <c r="K219" i="7" s="1"/>
  <c r="G220" i="7"/>
  <c r="O220" i="7"/>
  <c r="X219" i="7"/>
  <c r="Y219" i="7" s="1"/>
  <c r="O221" i="7" l="1"/>
  <c r="X220" i="7"/>
  <c r="Y220" i="7" s="1"/>
  <c r="G221" i="7"/>
  <c r="J220" i="7"/>
  <c r="K220" i="7" s="1"/>
  <c r="G222" i="7" l="1"/>
  <c r="J221" i="7"/>
  <c r="K221" i="7" s="1"/>
  <c r="X221" i="7"/>
  <c r="Y221" i="7" s="1"/>
  <c r="O222" i="7"/>
  <c r="O223" i="7" l="1"/>
  <c r="X222" i="7"/>
  <c r="Y222" i="7" s="1"/>
  <c r="G223" i="7"/>
  <c r="J222" i="7"/>
  <c r="K222" i="7" s="1"/>
  <c r="J223" i="7" l="1"/>
  <c r="K223" i="7" s="1"/>
  <c r="G224" i="7"/>
  <c r="X223" i="7"/>
  <c r="Y223" i="7" s="1"/>
  <c r="O224" i="7"/>
  <c r="X224" i="7" l="1"/>
  <c r="Y224" i="7" s="1"/>
  <c r="O225" i="7"/>
  <c r="G225" i="7"/>
  <c r="J224" i="7"/>
  <c r="K224" i="7" s="1"/>
  <c r="X225" i="7" l="1"/>
  <c r="Y225" i="7" s="1"/>
  <c r="O226" i="7"/>
  <c r="G226" i="7"/>
  <c r="J225" i="7"/>
  <c r="K225" i="7" s="1"/>
  <c r="G227" i="7" l="1"/>
  <c r="J226" i="7"/>
  <c r="K226" i="7" s="1"/>
  <c r="X226" i="7"/>
  <c r="Y226" i="7" s="1"/>
  <c r="O227" i="7"/>
  <c r="O228" i="7" l="1"/>
  <c r="X227" i="7"/>
  <c r="Y227" i="7" s="1"/>
  <c r="G228" i="7"/>
  <c r="J227" i="7"/>
  <c r="K227" i="7" s="1"/>
  <c r="J228" i="7" l="1"/>
  <c r="K228" i="7" s="1"/>
  <c r="G229" i="7"/>
  <c r="X228" i="7"/>
  <c r="Y228" i="7" s="1"/>
  <c r="O229" i="7"/>
  <c r="X229" i="7" l="1"/>
  <c r="Y229" i="7" s="1"/>
  <c r="O230" i="7"/>
  <c r="J229" i="7"/>
  <c r="K229" i="7" s="1"/>
  <c r="G230" i="7"/>
  <c r="O231" i="7" l="1"/>
  <c r="X230" i="7"/>
  <c r="Y230" i="7" s="1"/>
  <c r="J230" i="7"/>
  <c r="K230" i="7" s="1"/>
  <c r="G231" i="7"/>
  <c r="G232" i="7" l="1"/>
  <c r="J231" i="7"/>
  <c r="K231" i="7" s="1"/>
  <c r="X231" i="7"/>
  <c r="Y231" i="7" s="1"/>
  <c r="O232" i="7"/>
  <c r="O233" i="7" l="1"/>
  <c r="X232" i="7"/>
  <c r="Y232" i="7" s="1"/>
  <c r="G233" i="7"/>
  <c r="J232" i="7"/>
  <c r="K232" i="7" s="1"/>
  <c r="J233" i="7" l="1"/>
  <c r="K233" i="7" s="1"/>
  <c r="G234" i="7"/>
  <c r="X233" i="7"/>
  <c r="Y233" i="7" s="1"/>
  <c r="O234" i="7"/>
  <c r="X234" i="7" l="1"/>
  <c r="Y234" i="7" s="1"/>
  <c r="O235" i="7"/>
  <c r="G235" i="7"/>
  <c r="J234" i="7"/>
  <c r="K234" i="7" s="1"/>
  <c r="X235" i="7" l="1"/>
  <c r="Y235" i="7" s="1"/>
  <c r="O236" i="7"/>
  <c r="J235" i="7"/>
  <c r="K235" i="7" s="1"/>
  <c r="G236" i="7"/>
  <c r="J236" i="7" l="1"/>
  <c r="K236" i="7" s="1"/>
  <c r="G237" i="7"/>
  <c r="X236" i="7"/>
  <c r="Y236" i="7" s="1"/>
  <c r="O237" i="7"/>
  <c r="J237" i="7" l="1"/>
  <c r="K237" i="7" s="1"/>
  <c r="G238" i="7"/>
  <c r="X237" i="7"/>
  <c r="Y237" i="7" s="1"/>
  <c r="O238" i="7"/>
  <c r="J238" i="7" l="1"/>
  <c r="K238" i="7" s="1"/>
  <c r="G239" i="7"/>
  <c r="X238" i="7"/>
  <c r="Y238" i="7" s="1"/>
  <c r="O239" i="7"/>
  <c r="G240" i="7" l="1"/>
  <c r="J239" i="7"/>
  <c r="K239" i="7" s="1"/>
  <c r="X239" i="7"/>
  <c r="Y239" i="7" s="1"/>
  <c r="O240" i="7"/>
  <c r="X240" i="7" l="1"/>
  <c r="Y240" i="7" s="1"/>
  <c r="O241" i="7"/>
  <c r="G241" i="7"/>
  <c r="J240" i="7"/>
  <c r="K240" i="7" s="1"/>
  <c r="X241" i="7" l="1"/>
  <c r="Y241" i="7" s="1"/>
  <c r="O242" i="7"/>
  <c r="G242" i="7"/>
  <c r="J241" i="7"/>
  <c r="K241" i="7" s="1"/>
  <c r="G243" i="7" l="1"/>
  <c r="J242" i="7"/>
  <c r="K242" i="7" s="1"/>
  <c r="X242" i="7"/>
  <c r="Y242" i="7" s="1"/>
  <c r="O243" i="7"/>
  <c r="X243" i="7" l="1"/>
  <c r="Y243" i="7" s="1"/>
  <c r="O244" i="7"/>
  <c r="G244" i="7"/>
  <c r="J243" i="7"/>
  <c r="K243" i="7" s="1"/>
  <c r="G245" i="7" l="1"/>
  <c r="J244" i="7"/>
  <c r="K244" i="7" s="1"/>
  <c r="X244" i="7"/>
  <c r="Y244" i="7" s="1"/>
  <c r="O245" i="7"/>
  <c r="X245" i="7" l="1"/>
  <c r="Y245" i="7" s="1"/>
  <c r="J245" i="7"/>
  <c r="K245" i="7" s="1"/>
  <c r="G246" i="7"/>
  <c r="I246" i="7" l="1"/>
  <c r="W246" i="7"/>
  <c r="G247" i="7"/>
  <c r="J246" i="7"/>
  <c r="AB246" i="7" l="1"/>
  <c r="AC246" i="7" s="1"/>
  <c r="AC247" i="7" s="1"/>
  <c r="AC248" i="7" s="1"/>
  <c r="AC249" i="7" s="1"/>
  <c r="AC250" i="7" s="1"/>
  <c r="AC251" i="7" s="1"/>
  <c r="AC252" i="7" s="1"/>
  <c r="AC253" i="7" s="1"/>
  <c r="AC254" i="7" s="1"/>
  <c r="AC255" i="7" s="1"/>
  <c r="AC256" i="7" s="1"/>
  <c r="AC257" i="7" s="1"/>
  <c r="AC258" i="7" s="1"/>
  <c r="AC259" i="7" s="1"/>
  <c r="K246" i="7"/>
  <c r="G248" i="7"/>
  <c r="J247" i="7"/>
  <c r="T246" i="7"/>
  <c r="K247" i="7" l="1"/>
  <c r="AA260" i="7"/>
  <c r="AC260" i="7"/>
  <c r="AC261" i="7" s="1"/>
  <c r="AC262" i="7" s="1"/>
  <c r="AC263" i="7" s="1"/>
  <c r="AC264" i="7" s="1"/>
  <c r="AC265" i="7" s="1"/>
  <c r="AC266" i="7" s="1"/>
  <c r="AC267" i="7" s="1"/>
  <c r="AC268" i="7" s="1"/>
  <c r="AC269" i="7" s="1"/>
  <c r="AC270" i="7" s="1"/>
  <c r="AC271" i="7" s="1"/>
  <c r="AC272" i="7" s="1"/>
  <c r="AC273" i="7" s="1"/>
  <c r="AC274" i="7" s="1"/>
  <c r="AC275" i="7" s="1"/>
  <c r="N246" i="7"/>
  <c r="O246" i="7" s="1"/>
  <c r="U246" i="7"/>
  <c r="U247" i="7" s="1"/>
  <c r="U248" i="7" s="1"/>
  <c r="U249" i="7" s="1"/>
  <c r="U250" i="7" s="1"/>
  <c r="U251" i="7" s="1"/>
  <c r="U252" i="7" s="1"/>
  <c r="U253" i="7" s="1"/>
  <c r="U254" i="7" s="1"/>
  <c r="U255" i="7" s="1"/>
  <c r="U256" i="7" s="1"/>
  <c r="U257" i="7" s="1"/>
  <c r="U258" i="7" s="1"/>
  <c r="U259" i="7" s="1"/>
  <c r="U260" i="7" s="1"/>
  <c r="U261" i="7" s="1"/>
  <c r="U262" i="7" s="1"/>
  <c r="U263" i="7" s="1"/>
  <c r="U264" i="7" s="1"/>
  <c r="U265" i="7" s="1"/>
  <c r="U266" i="7" s="1"/>
  <c r="U267" i="7" s="1"/>
  <c r="U268" i="7" s="1"/>
  <c r="U269" i="7" s="1"/>
  <c r="U270" i="7" s="1"/>
  <c r="U271" i="7" s="1"/>
  <c r="U272" i="7" s="1"/>
  <c r="U273" i="7" s="1"/>
  <c r="U274" i="7" s="1"/>
  <c r="U275" i="7" s="1"/>
  <c r="J248" i="7"/>
  <c r="K248" i="7" s="1"/>
  <c r="G249" i="7"/>
  <c r="J249" i="7" l="1"/>
  <c r="K249" i="7" s="1"/>
  <c r="G250" i="7"/>
  <c r="X246" i="7"/>
  <c r="O247" i="7"/>
  <c r="Y246" i="7" l="1"/>
  <c r="X247" i="7"/>
  <c r="O248" i="7"/>
  <c r="J250" i="7"/>
  <c r="K250" i="7" s="1"/>
  <c r="G251" i="7"/>
  <c r="Y247" i="7" l="1"/>
  <c r="G252" i="7"/>
  <c r="J251" i="7"/>
  <c r="K251" i="7" s="1"/>
  <c r="O249" i="7"/>
  <c r="X248" i="7"/>
  <c r="Y248" i="7" s="1"/>
  <c r="X249" i="7" l="1"/>
  <c r="Y249" i="7" s="1"/>
  <c r="O250" i="7"/>
  <c r="G253" i="7"/>
  <c r="J252" i="7"/>
  <c r="K252" i="7" s="1"/>
  <c r="X250" i="7" l="1"/>
  <c r="Y250" i="7" s="1"/>
  <c r="O251" i="7"/>
  <c r="G254" i="7"/>
  <c r="J253" i="7"/>
  <c r="K253" i="7" s="1"/>
  <c r="G255" i="7" l="1"/>
  <c r="J254" i="7"/>
  <c r="K254" i="7" s="1"/>
  <c r="X251" i="7"/>
  <c r="Y251" i="7" s="1"/>
  <c r="O252" i="7"/>
  <c r="O253" i="7" l="1"/>
  <c r="X252" i="7"/>
  <c r="Y252" i="7" s="1"/>
  <c r="G256" i="7"/>
  <c r="J255" i="7"/>
  <c r="K255" i="7" s="1"/>
  <c r="J256" i="7" l="1"/>
  <c r="K256" i="7" s="1"/>
  <c r="G257" i="7"/>
  <c r="O254" i="7"/>
  <c r="X253" i="7"/>
  <c r="Y253" i="7" s="1"/>
  <c r="X254" i="7" l="1"/>
  <c r="Y254" i="7" s="1"/>
  <c r="O255" i="7"/>
  <c r="J257" i="7"/>
  <c r="K257" i="7" s="1"/>
  <c r="G258" i="7"/>
  <c r="J258" i="7" l="1"/>
  <c r="K258" i="7" s="1"/>
  <c r="G259" i="7"/>
  <c r="X255" i="7"/>
  <c r="Y255" i="7" s="1"/>
  <c r="O256" i="7"/>
  <c r="X256" i="7" l="1"/>
  <c r="Y256" i="7" s="1"/>
  <c r="O257" i="7"/>
  <c r="G260" i="7"/>
  <c r="J259" i="7"/>
  <c r="K259" i="7" s="1"/>
  <c r="O258" i="7" l="1"/>
  <c r="X257" i="7"/>
  <c r="Y257" i="7" s="1"/>
  <c r="J260" i="7"/>
  <c r="K260" i="7" s="1"/>
  <c r="G261" i="7"/>
  <c r="J261" i="7" l="1"/>
  <c r="K261" i="7" s="1"/>
  <c r="G262" i="7"/>
  <c r="O259" i="7"/>
  <c r="X258" i="7"/>
  <c r="Y258" i="7" s="1"/>
  <c r="J262" i="7" l="1"/>
  <c r="K262" i="7" s="1"/>
  <c r="G263" i="7"/>
  <c r="X259" i="7"/>
  <c r="Y259" i="7" s="1"/>
  <c r="O260" i="7"/>
  <c r="J263" i="7" l="1"/>
  <c r="K263" i="7" s="1"/>
  <c r="G264" i="7"/>
  <c r="X260" i="7"/>
  <c r="Y260" i="7" s="1"/>
  <c r="O261" i="7"/>
  <c r="X261" i="7" l="1"/>
  <c r="Y261" i="7" s="1"/>
  <c r="O262" i="7"/>
  <c r="J264" i="7"/>
  <c r="K264" i="7" s="1"/>
  <c r="G265" i="7"/>
  <c r="X262" i="7" l="1"/>
  <c r="Y262" i="7" s="1"/>
  <c r="O263" i="7"/>
  <c r="J265" i="7"/>
  <c r="K265" i="7" s="1"/>
  <c r="G266" i="7"/>
  <c r="J266" i="7" l="1"/>
  <c r="K266" i="7" s="1"/>
  <c r="G267" i="7"/>
  <c r="X263" i="7"/>
  <c r="Y263" i="7" s="1"/>
  <c r="O264" i="7"/>
  <c r="G268" i="7" l="1"/>
  <c r="J267" i="7"/>
  <c r="K267" i="7" s="1"/>
  <c r="X264" i="7"/>
  <c r="Y264" i="7" s="1"/>
  <c r="O265" i="7"/>
  <c r="X265" i="7" l="1"/>
  <c r="Y265" i="7" s="1"/>
  <c r="O266" i="7"/>
  <c r="G269" i="7"/>
  <c r="J268" i="7"/>
  <c r="K268" i="7" s="1"/>
  <c r="J269" i="7" l="1"/>
  <c r="K269" i="7" s="1"/>
  <c r="G270" i="7"/>
  <c r="O267" i="7"/>
  <c r="X266" i="7"/>
  <c r="Y266" i="7" s="1"/>
  <c r="J270" i="7" l="1"/>
  <c r="K270" i="7" s="1"/>
  <c r="G271" i="7"/>
  <c r="X267" i="7"/>
  <c r="Y267" i="7" s="1"/>
  <c r="O268" i="7"/>
  <c r="O269" i="7" l="1"/>
  <c r="X268" i="7"/>
  <c r="Y268" i="7" s="1"/>
  <c r="G272" i="7"/>
  <c r="J271" i="7"/>
  <c r="K271" i="7" s="1"/>
  <c r="G273" i="7" l="1"/>
  <c r="J272" i="7"/>
  <c r="K272" i="7" s="1"/>
  <c r="O270" i="7"/>
  <c r="X269" i="7"/>
  <c r="Y269" i="7" s="1"/>
  <c r="X270" i="7" l="1"/>
  <c r="Y270" i="7" s="1"/>
  <c r="O271" i="7"/>
  <c r="J273" i="7"/>
  <c r="K273" i="7" s="1"/>
  <c r="G274" i="7"/>
  <c r="G275" i="7" l="1"/>
  <c r="J274" i="7"/>
  <c r="K274" i="7" s="1"/>
  <c r="X271" i="7"/>
  <c r="Y271" i="7" s="1"/>
  <c r="O272" i="7"/>
  <c r="O273" i="7" l="1"/>
  <c r="X272" i="7"/>
  <c r="Y272" i="7" s="1"/>
  <c r="G276" i="7"/>
  <c r="J275" i="7"/>
  <c r="K275" i="7" s="1"/>
  <c r="I276" i="7" l="1"/>
  <c r="G277" i="7"/>
  <c r="J276" i="7"/>
  <c r="O274" i="7"/>
  <c r="X273" i="7"/>
  <c r="Y273" i="7" s="1"/>
  <c r="K276" i="7" l="1"/>
  <c r="X274" i="7"/>
  <c r="Y274" i="7" s="1"/>
  <c r="O275" i="7"/>
  <c r="J277" i="7"/>
  <c r="K277" i="7" s="1"/>
  <c r="G278" i="7"/>
  <c r="X275" i="7" l="1"/>
  <c r="Y275" i="7" s="1"/>
  <c r="J278" i="7"/>
  <c r="K278" i="7" s="1"/>
  <c r="G279" i="7"/>
  <c r="W276" i="7" l="1"/>
  <c r="AB276" i="7" s="1"/>
  <c r="AC276" i="7" s="1"/>
  <c r="AC277" i="7" s="1"/>
  <c r="AC278" i="7" s="1"/>
  <c r="AC279" i="7" s="1"/>
  <c r="AC280" i="7" s="1"/>
  <c r="AC281" i="7" s="1"/>
  <c r="AC282" i="7" s="1"/>
  <c r="AC283" i="7" s="1"/>
  <c r="AC284" i="7" s="1"/>
  <c r="AC285" i="7" s="1"/>
  <c r="AC286" i="7" s="1"/>
  <c r="AC287" i="7" s="1"/>
  <c r="AC288" i="7" s="1"/>
  <c r="AC289" i="7" s="1"/>
  <c r="G280" i="7"/>
  <c r="J279" i="7"/>
  <c r="K279" i="7" s="1"/>
  <c r="AA290" i="7" l="1"/>
  <c r="AC290" i="7"/>
  <c r="AC291" i="7" s="1"/>
  <c r="AC292" i="7" s="1"/>
  <c r="AC293" i="7" s="1"/>
  <c r="AC294" i="7" s="1"/>
  <c r="AC295" i="7" s="1"/>
  <c r="AC296" i="7" s="1"/>
  <c r="AC297" i="7" s="1"/>
  <c r="AC298" i="7" s="1"/>
  <c r="AC299" i="7" s="1"/>
  <c r="AC300" i="7" s="1"/>
  <c r="AC301" i="7" s="1"/>
  <c r="AC302" i="7" s="1"/>
  <c r="AC303" i="7" s="1"/>
  <c r="AC304" i="7" s="1"/>
  <c r="AC305" i="7" s="1"/>
  <c r="AC306" i="7" s="1"/>
  <c r="G281" i="7"/>
  <c r="J280" i="7"/>
  <c r="K280" i="7" s="1"/>
  <c r="T276" i="7"/>
  <c r="N276" i="7" l="1"/>
  <c r="O276" i="7" s="1"/>
  <c r="U276" i="7"/>
  <c r="U277" i="7" s="1"/>
  <c r="U278" i="7" s="1"/>
  <c r="U279" i="7" s="1"/>
  <c r="U280" i="7" s="1"/>
  <c r="U281" i="7" s="1"/>
  <c r="U282" i="7" s="1"/>
  <c r="U283" i="7" s="1"/>
  <c r="U284" i="7" s="1"/>
  <c r="U285" i="7" s="1"/>
  <c r="U286" i="7" s="1"/>
  <c r="U287" i="7" s="1"/>
  <c r="U288" i="7" s="1"/>
  <c r="U289" i="7" s="1"/>
  <c r="U290" i="7" s="1"/>
  <c r="U291" i="7" s="1"/>
  <c r="U292" i="7" s="1"/>
  <c r="U293" i="7" s="1"/>
  <c r="U294" i="7" s="1"/>
  <c r="U295" i="7" s="1"/>
  <c r="U296" i="7" s="1"/>
  <c r="U297" i="7" s="1"/>
  <c r="U298" i="7" s="1"/>
  <c r="U299" i="7" s="1"/>
  <c r="U300" i="7" s="1"/>
  <c r="U301" i="7" s="1"/>
  <c r="U302" i="7" s="1"/>
  <c r="U303" i="7" s="1"/>
  <c r="U304" i="7" s="1"/>
  <c r="U305" i="7" s="1"/>
  <c r="U306" i="7" s="1"/>
  <c r="G282" i="7"/>
  <c r="J281" i="7"/>
  <c r="K281" i="7" s="1"/>
  <c r="J282" i="7" l="1"/>
  <c r="K282" i="7" s="1"/>
  <c r="G283" i="7"/>
  <c r="O277" i="7"/>
  <c r="X276" i="7"/>
  <c r="Y276" i="7" l="1"/>
  <c r="J283" i="7"/>
  <c r="K283" i="7" s="1"/>
  <c r="G284" i="7"/>
  <c r="O278" i="7"/>
  <c r="X277" i="7"/>
  <c r="Y277" i="7" s="1"/>
  <c r="G285" i="7" l="1"/>
  <c r="J284" i="7"/>
  <c r="K284" i="7" s="1"/>
  <c r="O279" i="7"/>
  <c r="X278" i="7"/>
  <c r="Y278" i="7" s="1"/>
  <c r="O280" i="7" l="1"/>
  <c r="X279" i="7"/>
  <c r="Y279" i="7" s="1"/>
  <c r="J285" i="7"/>
  <c r="K285" i="7" s="1"/>
  <c r="G286" i="7"/>
  <c r="J286" i="7" l="1"/>
  <c r="K286" i="7" s="1"/>
  <c r="G287" i="7"/>
  <c r="X280" i="7"/>
  <c r="Y280" i="7" s="1"/>
  <c r="O281" i="7"/>
  <c r="G288" i="7" l="1"/>
  <c r="J287" i="7"/>
  <c r="K287" i="7" s="1"/>
  <c r="X281" i="7"/>
  <c r="Y281" i="7" s="1"/>
  <c r="O282" i="7"/>
  <c r="X282" i="7" l="1"/>
  <c r="Y282" i="7" s="1"/>
  <c r="O283" i="7"/>
  <c r="G289" i="7"/>
  <c r="J288" i="7"/>
  <c r="K288" i="7" s="1"/>
  <c r="O284" i="7" l="1"/>
  <c r="X283" i="7"/>
  <c r="Y283" i="7" s="1"/>
  <c r="G290" i="7"/>
  <c r="J289" i="7"/>
  <c r="K289" i="7" s="1"/>
  <c r="J290" i="7" l="1"/>
  <c r="K290" i="7" s="1"/>
  <c r="G291" i="7"/>
  <c r="X284" i="7"/>
  <c r="Y284" i="7" s="1"/>
  <c r="O285" i="7"/>
  <c r="X285" i="7" l="1"/>
  <c r="Y285" i="7" s="1"/>
  <c r="O286" i="7"/>
  <c r="J291" i="7"/>
  <c r="K291" i="7" s="1"/>
  <c r="G292" i="7"/>
  <c r="G293" i="7" l="1"/>
  <c r="J292" i="7"/>
  <c r="K292" i="7" s="1"/>
  <c r="X286" i="7"/>
  <c r="Y286" i="7" s="1"/>
  <c r="O287" i="7"/>
  <c r="O288" i="7" l="1"/>
  <c r="X287" i="7"/>
  <c r="Y287" i="7" s="1"/>
  <c r="J293" i="7"/>
  <c r="K293" i="7" s="1"/>
  <c r="G294" i="7"/>
  <c r="J294" i="7" l="1"/>
  <c r="K294" i="7" s="1"/>
  <c r="G295" i="7"/>
  <c r="O289" i="7"/>
  <c r="X288" i="7"/>
  <c r="Y288" i="7" s="1"/>
  <c r="G296" i="7" l="1"/>
  <c r="J295" i="7"/>
  <c r="K295" i="7" s="1"/>
  <c r="O290" i="7"/>
  <c r="X289" i="7"/>
  <c r="Y289" i="7" s="1"/>
  <c r="X290" i="7" l="1"/>
  <c r="Y290" i="7" s="1"/>
  <c r="O291" i="7"/>
  <c r="G297" i="7"/>
  <c r="J296" i="7"/>
  <c r="K296" i="7" s="1"/>
  <c r="O292" i="7" l="1"/>
  <c r="X291" i="7"/>
  <c r="Y291" i="7" s="1"/>
  <c r="J297" i="7"/>
  <c r="K297" i="7" s="1"/>
  <c r="G298" i="7"/>
  <c r="G299" i="7" l="1"/>
  <c r="J298" i="7"/>
  <c r="K298" i="7" s="1"/>
  <c r="O293" i="7"/>
  <c r="X292" i="7"/>
  <c r="Y292" i="7" s="1"/>
  <c r="O294" i="7" l="1"/>
  <c r="X293" i="7"/>
  <c r="Y293" i="7" s="1"/>
  <c r="J299" i="7"/>
  <c r="K299" i="7" s="1"/>
  <c r="G300" i="7"/>
  <c r="G301" i="7" l="1"/>
  <c r="J300" i="7"/>
  <c r="K300" i="7" s="1"/>
  <c r="X294" i="7"/>
  <c r="Y294" i="7" s="1"/>
  <c r="O295" i="7"/>
  <c r="O296" i="7" l="1"/>
  <c r="X295" i="7"/>
  <c r="Y295" i="7" s="1"/>
  <c r="J301" i="7"/>
  <c r="K301" i="7" s="1"/>
  <c r="G302" i="7"/>
  <c r="J302" i="7" l="1"/>
  <c r="K302" i="7" s="1"/>
  <c r="G303" i="7"/>
  <c r="X296" i="7"/>
  <c r="Y296" i="7" s="1"/>
  <c r="O297" i="7"/>
  <c r="X297" i="7" l="1"/>
  <c r="Y297" i="7" s="1"/>
  <c r="O298" i="7"/>
  <c r="G304" i="7"/>
  <c r="J303" i="7"/>
  <c r="K303" i="7" s="1"/>
  <c r="G305" i="7" l="1"/>
  <c r="J304" i="7"/>
  <c r="K304" i="7" s="1"/>
  <c r="X298" i="7"/>
  <c r="Y298" i="7" s="1"/>
  <c r="O299" i="7"/>
  <c r="O300" i="7" l="1"/>
  <c r="X299" i="7"/>
  <c r="Y299" i="7" s="1"/>
  <c r="G306" i="7"/>
  <c r="J305" i="7"/>
  <c r="K305" i="7" s="1"/>
  <c r="J306" i="7" l="1"/>
  <c r="K306" i="7" s="1"/>
  <c r="G307" i="7"/>
  <c r="O301" i="7"/>
  <c r="X300" i="7"/>
  <c r="Y300" i="7" s="1"/>
  <c r="I307" i="7" l="1"/>
  <c r="J307" i="7"/>
  <c r="X301" i="7"/>
  <c r="Y301" i="7" s="1"/>
  <c r="O302" i="7"/>
  <c r="K307" i="7" l="1"/>
  <c r="X302" i="7"/>
  <c r="Y302" i="7" s="1"/>
  <c r="O303" i="7"/>
  <c r="O304" i="7" l="1"/>
  <c r="X303" i="7"/>
  <c r="Y303" i="7" s="1"/>
  <c r="O305" i="7" l="1"/>
  <c r="X304" i="7"/>
  <c r="Y304" i="7" s="1"/>
  <c r="O306" i="7" l="1"/>
  <c r="X305" i="7"/>
  <c r="Y305" i="7" s="1"/>
  <c r="X306" i="7" l="1"/>
  <c r="Y306" i="7" s="1"/>
  <c r="W307" i="7" l="1"/>
  <c r="AB307" i="7" s="1"/>
  <c r="AC307" i="7" s="1"/>
  <c r="AC308" i="7" s="1"/>
  <c r="AC309" i="7" s="1"/>
  <c r="AC310" i="7" s="1"/>
  <c r="AC311" i="7" s="1"/>
  <c r="AC312" i="7" s="1"/>
  <c r="AC313" i="7" s="1"/>
  <c r="AC314" i="7" s="1"/>
  <c r="AC315" i="7" s="1"/>
  <c r="AC316" i="7" s="1"/>
  <c r="AC317" i="7" s="1"/>
  <c r="AC318" i="7" s="1"/>
  <c r="AC319" i="7" s="1"/>
  <c r="AC320" i="7" s="1"/>
  <c r="AA321" i="7" l="1"/>
  <c r="AC321" i="7"/>
  <c r="AC322" i="7" s="1"/>
  <c r="AC323" i="7" s="1"/>
  <c r="AC324" i="7" s="1"/>
  <c r="AC325" i="7" s="1"/>
  <c r="AC326" i="7" s="1"/>
  <c r="AC327" i="7" s="1"/>
  <c r="AC328" i="7" s="1"/>
  <c r="AC329" i="7" s="1"/>
  <c r="AC330" i="7" s="1"/>
  <c r="AC331" i="7" s="1"/>
  <c r="AC332" i="7" s="1"/>
  <c r="AC333" i="7" s="1"/>
  <c r="AC334" i="7" s="1"/>
  <c r="AC335" i="7" s="1"/>
  <c r="AC336" i="7" s="1"/>
  <c r="AC337" i="7" s="1"/>
  <c r="T307" i="7"/>
  <c r="N307" i="7" l="1"/>
  <c r="O307" i="7" s="1"/>
  <c r="U307" i="7"/>
  <c r="S308" i="7" l="1"/>
  <c r="U308" i="7"/>
  <c r="U309" i="7" s="1"/>
  <c r="U310" i="7" s="1"/>
  <c r="U311" i="7" s="1"/>
  <c r="U312" i="7" s="1"/>
  <c r="U313" i="7" s="1"/>
  <c r="U314" i="7" s="1"/>
  <c r="U315" i="7" s="1"/>
  <c r="U316" i="7" s="1"/>
  <c r="U317" i="7" s="1"/>
  <c r="U318" i="7" s="1"/>
  <c r="U319" i="7" s="1"/>
  <c r="U320" i="7" s="1"/>
  <c r="U321" i="7" s="1"/>
  <c r="U322" i="7" s="1"/>
  <c r="U323" i="7" s="1"/>
  <c r="U324" i="7" s="1"/>
  <c r="U325" i="7" s="1"/>
  <c r="U326" i="7" s="1"/>
  <c r="U327" i="7" s="1"/>
  <c r="U328" i="7" s="1"/>
  <c r="U329" i="7" s="1"/>
  <c r="U330" i="7" s="1"/>
  <c r="U331" i="7" s="1"/>
  <c r="U332" i="7" s="1"/>
  <c r="U333" i="7" s="1"/>
  <c r="U334" i="7" s="1"/>
  <c r="U335" i="7" s="1"/>
  <c r="U336" i="7" s="1"/>
  <c r="U337" i="7" s="1"/>
  <c r="X307" i="7"/>
  <c r="Y307" i="7" l="1"/>
  <c r="F308" i="7"/>
  <c r="M308" i="7"/>
  <c r="S373" i="7"/>
  <c r="M373" i="7" l="1"/>
  <c r="O308" i="7"/>
  <c r="F373" i="7"/>
  <c r="G308" i="7"/>
  <c r="G309" i="7" l="1"/>
  <c r="J308" i="7"/>
  <c r="K308" i="7" s="1"/>
  <c r="X308" i="7"/>
  <c r="Y308" i="7" s="1"/>
  <c r="O309" i="7"/>
  <c r="X309" i="7" l="1"/>
  <c r="Y309" i="7" s="1"/>
  <c r="O310" i="7"/>
  <c r="G310" i="7"/>
  <c r="J309" i="7"/>
  <c r="K309" i="7" s="1"/>
  <c r="O311" i="7" l="1"/>
  <c r="X310" i="7"/>
  <c r="Y310" i="7" s="1"/>
  <c r="J310" i="7"/>
  <c r="K310" i="7" s="1"/>
  <c r="G311" i="7"/>
  <c r="J311" i="7" l="1"/>
  <c r="K311" i="7" s="1"/>
  <c r="G312" i="7"/>
  <c r="O312" i="7"/>
  <c r="X311" i="7"/>
  <c r="Y311" i="7" s="1"/>
  <c r="X312" i="7" l="1"/>
  <c r="Y312" i="7" s="1"/>
  <c r="O313" i="7"/>
  <c r="J312" i="7"/>
  <c r="K312" i="7" s="1"/>
  <c r="G313" i="7"/>
  <c r="J313" i="7" l="1"/>
  <c r="K313" i="7" s="1"/>
  <c r="G314" i="7"/>
  <c r="X313" i="7"/>
  <c r="Y313" i="7" s="1"/>
  <c r="O314" i="7"/>
  <c r="O315" i="7" l="1"/>
  <c r="X314" i="7"/>
  <c r="Y314" i="7" s="1"/>
  <c r="G315" i="7"/>
  <c r="J314" i="7"/>
  <c r="K314" i="7" s="1"/>
  <c r="G316" i="7" l="1"/>
  <c r="J315" i="7"/>
  <c r="K315" i="7" s="1"/>
  <c r="O316" i="7"/>
  <c r="X315" i="7"/>
  <c r="Y315" i="7" s="1"/>
  <c r="O317" i="7" l="1"/>
  <c r="X316" i="7"/>
  <c r="Y316" i="7" s="1"/>
  <c r="G317" i="7"/>
  <c r="J316" i="7"/>
  <c r="K316" i="7" s="1"/>
  <c r="J317" i="7" l="1"/>
  <c r="K317" i="7" s="1"/>
  <c r="G318" i="7"/>
  <c r="X317" i="7"/>
  <c r="Y317" i="7" s="1"/>
  <c r="O318" i="7"/>
  <c r="O319" i="7" l="1"/>
  <c r="X318" i="7"/>
  <c r="Y318" i="7" s="1"/>
  <c r="J318" i="7"/>
  <c r="K318" i="7" s="1"/>
  <c r="G319" i="7"/>
  <c r="G320" i="7" l="1"/>
  <c r="J319" i="7"/>
  <c r="K319" i="7" s="1"/>
  <c r="X319" i="7"/>
  <c r="Y319" i="7" s="1"/>
  <c r="O320" i="7"/>
  <c r="X320" i="7" l="1"/>
  <c r="Y320" i="7" s="1"/>
  <c r="O321" i="7"/>
  <c r="J320" i="7"/>
  <c r="K320" i="7" s="1"/>
  <c r="G321" i="7"/>
  <c r="J321" i="7" l="1"/>
  <c r="K321" i="7" s="1"/>
  <c r="G322" i="7"/>
  <c r="O322" i="7"/>
  <c r="X321" i="7"/>
  <c r="Y321" i="7" s="1"/>
  <c r="G323" i="7" l="1"/>
  <c r="J322" i="7"/>
  <c r="K322" i="7" s="1"/>
  <c r="X322" i="7"/>
  <c r="Y322" i="7" s="1"/>
  <c r="O323" i="7"/>
  <c r="X323" i="7" l="1"/>
  <c r="Y323" i="7" s="1"/>
  <c r="O324" i="7"/>
  <c r="J323" i="7"/>
  <c r="K323" i="7" s="1"/>
  <c r="G324" i="7"/>
  <c r="J324" i="7" l="1"/>
  <c r="K324" i="7" s="1"/>
  <c r="G325" i="7"/>
  <c r="X324" i="7"/>
  <c r="Y324" i="7" s="1"/>
  <c r="O325" i="7"/>
  <c r="J325" i="7" l="1"/>
  <c r="K325" i="7" s="1"/>
  <c r="G326" i="7"/>
  <c r="O326" i="7"/>
  <c r="X325" i="7"/>
  <c r="Y325" i="7" s="1"/>
  <c r="G327" i="7" l="1"/>
  <c r="J326" i="7"/>
  <c r="K326" i="7" s="1"/>
  <c r="X326" i="7"/>
  <c r="Y326" i="7" s="1"/>
  <c r="O327" i="7"/>
  <c r="O328" i="7" l="1"/>
  <c r="X327" i="7"/>
  <c r="Y327" i="7" s="1"/>
  <c r="G328" i="7"/>
  <c r="J327" i="7"/>
  <c r="K327" i="7" s="1"/>
  <c r="J328" i="7" l="1"/>
  <c r="K328" i="7" s="1"/>
  <c r="G329" i="7"/>
  <c r="O329" i="7"/>
  <c r="X328" i="7"/>
  <c r="Y328" i="7" s="1"/>
  <c r="J329" i="7" l="1"/>
  <c r="K329" i="7" s="1"/>
  <c r="G330" i="7"/>
  <c r="X329" i="7"/>
  <c r="Y329" i="7" s="1"/>
  <c r="O330" i="7"/>
  <c r="G331" i="7" l="1"/>
  <c r="J330" i="7"/>
  <c r="K330" i="7" s="1"/>
  <c r="O331" i="7"/>
  <c r="X330" i="7"/>
  <c r="Y330" i="7" s="1"/>
  <c r="O332" i="7" l="1"/>
  <c r="X331" i="7"/>
  <c r="Y331" i="7" s="1"/>
  <c r="G332" i="7"/>
  <c r="J331" i="7"/>
  <c r="K331" i="7" s="1"/>
  <c r="G333" i="7" l="1"/>
  <c r="J332" i="7"/>
  <c r="K332" i="7" s="1"/>
  <c r="O333" i="7"/>
  <c r="X332" i="7"/>
  <c r="Y332" i="7" s="1"/>
  <c r="O334" i="7" l="1"/>
  <c r="X333" i="7"/>
  <c r="Y333" i="7" s="1"/>
  <c r="J333" i="7"/>
  <c r="K333" i="7" s="1"/>
  <c r="G334" i="7"/>
  <c r="J334" i="7" l="1"/>
  <c r="K334" i="7" s="1"/>
  <c r="G335" i="7"/>
  <c r="O335" i="7"/>
  <c r="X334" i="7"/>
  <c r="Y334" i="7" s="1"/>
  <c r="G336" i="7" l="1"/>
  <c r="J335" i="7"/>
  <c r="K335" i="7" s="1"/>
  <c r="X335" i="7"/>
  <c r="Y335" i="7" s="1"/>
  <c r="O336" i="7"/>
  <c r="X336" i="7" l="1"/>
  <c r="Y336" i="7" s="1"/>
  <c r="O337" i="7"/>
  <c r="J336" i="7"/>
  <c r="K336" i="7" s="1"/>
  <c r="G337" i="7"/>
  <c r="J337" i="7" l="1"/>
  <c r="K337" i="7" s="1"/>
  <c r="G338" i="7"/>
  <c r="X337" i="7"/>
  <c r="Y337" i="7" s="1"/>
  <c r="W338" i="7" l="1"/>
  <c r="I338" i="7"/>
  <c r="AB338" i="7" s="1"/>
  <c r="AC338" i="7" s="1"/>
  <c r="AC339" i="7" s="1"/>
  <c r="AC340" i="7" s="1"/>
  <c r="AC341" i="7" s="1"/>
  <c r="AC342" i="7" s="1"/>
  <c r="AC343" i="7" s="1"/>
  <c r="AC344" i="7" s="1"/>
  <c r="AC345" i="7" s="1"/>
  <c r="AC346" i="7" s="1"/>
  <c r="AC347" i="7" s="1"/>
  <c r="AC348" i="7" s="1"/>
  <c r="AC349" i="7" s="1"/>
  <c r="AC350" i="7" s="1"/>
  <c r="AC351" i="7" s="1"/>
  <c r="G339" i="7"/>
  <c r="AA352" i="7" l="1"/>
  <c r="AC352" i="7"/>
  <c r="AC353" i="7" s="1"/>
  <c r="AC354" i="7" s="1"/>
  <c r="AC355" i="7" s="1"/>
  <c r="AC356" i="7" s="1"/>
  <c r="AC357" i="7" s="1"/>
  <c r="AC358" i="7" s="1"/>
  <c r="AC359" i="7" s="1"/>
  <c r="AC360" i="7" s="1"/>
  <c r="AC361" i="7" s="1"/>
  <c r="AC362" i="7" s="1"/>
  <c r="AC363" i="7" s="1"/>
  <c r="AC364" i="7" s="1"/>
  <c r="AC365" i="7" s="1"/>
  <c r="K338" i="7"/>
  <c r="G340" i="7"/>
  <c r="J339" i="7"/>
  <c r="T338" i="7"/>
  <c r="K339" i="7" l="1"/>
  <c r="N338" i="7"/>
  <c r="O338" i="7" s="1"/>
  <c r="U338" i="7"/>
  <c r="U339" i="7" s="1"/>
  <c r="U340" i="7" s="1"/>
  <c r="U341" i="7" s="1"/>
  <c r="U342" i="7" s="1"/>
  <c r="U343" i="7" s="1"/>
  <c r="U344" i="7" s="1"/>
  <c r="U345" i="7" s="1"/>
  <c r="U346" i="7" s="1"/>
  <c r="U347" i="7" s="1"/>
  <c r="U348" i="7" s="1"/>
  <c r="U349" i="7" s="1"/>
  <c r="U350" i="7" s="1"/>
  <c r="U351" i="7" s="1"/>
  <c r="U352" i="7" s="1"/>
  <c r="U353" i="7" s="1"/>
  <c r="U354" i="7" s="1"/>
  <c r="U355" i="7" s="1"/>
  <c r="U356" i="7" s="1"/>
  <c r="U357" i="7" s="1"/>
  <c r="U358" i="7" s="1"/>
  <c r="U359" i="7" s="1"/>
  <c r="U360" i="7" s="1"/>
  <c r="U361" i="7" s="1"/>
  <c r="U362" i="7" s="1"/>
  <c r="U363" i="7" s="1"/>
  <c r="U364" i="7" s="1"/>
  <c r="U365" i="7" s="1"/>
  <c r="J340" i="7"/>
  <c r="G341" i="7"/>
  <c r="K340" i="7" l="1"/>
  <c r="J341" i="7"/>
  <c r="K341" i="7" s="1"/>
  <c r="G342" i="7"/>
  <c r="X338" i="7"/>
  <c r="O339" i="7"/>
  <c r="Y338" i="7" l="1"/>
  <c r="O340" i="7"/>
  <c r="X339" i="7"/>
  <c r="Y339" i="7" s="1"/>
  <c r="G343" i="7"/>
  <c r="J342" i="7"/>
  <c r="K342" i="7" s="1"/>
  <c r="J343" i="7" l="1"/>
  <c r="K343" i="7" s="1"/>
  <c r="G344" i="7"/>
  <c r="X340" i="7"/>
  <c r="Y340" i="7" s="1"/>
  <c r="O341" i="7"/>
  <c r="O342" i="7" l="1"/>
  <c r="X341" i="7"/>
  <c r="Y341" i="7" s="1"/>
  <c r="G345" i="7"/>
  <c r="J344" i="7"/>
  <c r="K344" i="7" s="1"/>
  <c r="J345" i="7" l="1"/>
  <c r="K345" i="7" s="1"/>
  <c r="G346" i="7"/>
  <c r="O343" i="7"/>
  <c r="X342" i="7"/>
  <c r="Y342" i="7" s="1"/>
  <c r="J346" i="7" l="1"/>
  <c r="K346" i="7" s="1"/>
  <c r="G347" i="7"/>
  <c r="X343" i="7"/>
  <c r="Y343" i="7" s="1"/>
  <c r="O344" i="7"/>
  <c r="X344" i="7" l="1"/>
  <c r="Y344" i="7" s="1"/>
  <c r="O345" i="7"/>
  <c r="G348" i="7"/>
  <c r="J347" i="7"/>
  <c r="K347" i="7" s="1"/>
  <c r="X345" i="7" l="1"/>
  <c r="Y345" i="7" s="1"/>
  <c r="O346" i="7"/>
  <c r="J348" i="7"/>
  <c r="K348" i="7" s="1"/>
  <c r="G349" i="7"/>
  <c r="J349" i="7" l="1"/>
  <c r="K349" i="7" s="1"/>
  <c r="G350" i="7"/>
  <c r="O347" i="7"/>
  <c r="X346" i="7"/>
  <c r="Y346" i="7" s="1"/>
  <c r="G351" i="7" l="1"/>
  <c r="J350" i="7"/>
  <c r="K350" i="7" s="1"/>
  <c r="X347" i="7"/>
  <c r="Y347" i="7" s="1"/>
  <c r="O348" i="7"/>
  <c r="O349" i="7" l="1"/>
  <c r="X348" i="7"/>
  <c r="Y348" i="7" s="1"/>
  <c r="G352" i="7"/>
  <c r="J351" i="7"/>
  <c r="K351" i="7" s="1"/>
  <c r="J352" i="7" l="1"/>
  <c r="K352" i="7" s="1"/>
  <c r="G353" i="7"/>
  <c r="X349" i="7"/>
  <c r="Y349" i="7" s="1"/>
  <c r="O350" i="7"/>
  <c r="J353" i="7" l="1"/>
  <c r="K353" i="7" s="1"/>
  <c r="G354" i="7"/>
  <c r="O351" i="7"/>
  <c r="X350" i="7"/>
  <c r="Y350" i="7" s="1"/>
  <c r="G355" i="7" l="1"/>
  <c r="J354" i="7"/>
  <c r="K354" i="7" s="1"/>
  <c r="O352" i="7"/>
  <c r="X351" i="7"/>
  <c r="Y351" i="7" s="1"/>
  <c r="O353" i="7" l="1"/>
  <c r="X352" i="7"/>
  <c r="Y352" i="7" s="1"/>
  <c r="G356" i="7"/>
  <c r="J355" i="7"/>
  <c r="K355" i="7" s="1"/>
  <c r="J356" i="7" l="1"/>
  <c r="K356" i="7" s="1"/>
  <c r="G357" i="7"/>
  <c r="O354" i="7"/>
  <c r="X353" i="7"/>
  <c r="Y353" i="7" s="1"/>
  <c r="J357" i="7" l="1"/>
  <c r="K357" i="7" s="1"/>
  <c r="G358" i="7"/>
  <c r="X354" i="7"/>
  <c r="Y354" i="7" s="1"/>
  <c r="O355" i="7"/>
  <c r="O356" i="7" l="1"/>
  <c r="X355" i="7"/>
  <c r="Y355" i="7" s="1"/>
  <c r="G359" i="7"/>
  <c r="J358" i="7"/>
  <c r="K358" i="7" s="1"/>
  <c r="G360" i="7" l="1"/>
  <c r="J359" i="7"/>
  <c r="K359" i="7" s="1"/>
  <c r="X356" i="7"/>
  <c r="Y356" i="7" s="1"/>
  <c r="O357" i="7"/>
  <c r="O358" i="7" l="1"/>
  <c r="X357" i="7"/>
  <c r="Y357" i="7" s="1"/>
  <c r="J360" i="7"/>
  <c r="K360" i="7" s="1"/>
  <c r="G361" i="7"/>
  <c r="J361" i="7" l="1"/>
  <c r="K361" i="7" s="1"/>
  <c r="G362" i="7"/>
  <c r="X358" i="7"/>
  <c r="Y358" i="7" s="1"/>
  <c r="O359" i="7"/>
  <c r="X359" i="7" l="1"/>
  <c r="Y359" i="7" s="1"/>
  <c r="O360" i="7"/>
  <c r="J362" i="7"/>
  <c r="K362" i="7" s="1"/>
  <c r="G363" i="7"/>
  <c r="G364" i="7" l="1"/>
  <c r="J363" i="7"/>
  <c r="K363" i="7" s="1"/>
  <c r="X360" i="7"/>
  <c r="Y360" i="7" s="1"/>
  <c r="O361" i="7"/>
  <c r="X361" i="7" l="1"/>
  <c r="Y361" i="7" s="1"/>
  <c r="O362" i="7"/>
  <c r="J364" i="7"/>
  <c r="K364" i="7" s="1"/>
  <c r="G365" i="7"/>
  <c r="J365" i="7" l="1"/>
  <c r="K365" i="7" s="1"/>
  <c r="G366" i="7"/>
  <c r="X362" i="7"/>
  <c r="Y362" i="7" s="1"/>
  <c r="O363" i="7"/>
  <c r="I366" i="7" l="1"/>
  <c r="J366" i="7"/>
  <c r="G367" i="7"/>
  <c r="X363" i="7"/>
  <c r="Y363" i="7" s="1"/>
  <c r="O364" i="7"/>
  <c r="K366" i="7" l="1"/>
  <c r="O365" i="7"/>
  <c r="X364" i="7"/>
  <c r="Y364" i="7" s="1"/>
  <c r="G368" i="7"/>
  <c r="J367" i="7"/>
  <c r="K367" i="7" l="1"/>
  <c r="J368" i="7"/>
  <c r="G369" i="7"/>
  <c r="X365" i="7"/>
  <c r="Y365" i="7" s="1"/>
  <c r="K368" i="7" l="1"/>
  <c r="W366" i="7"/>
  <c r="AB366" i="7" s="1"/>
  <c r="AC366" i="7" s="1"/>
  <c r="AC367" i="7" s="1"/>
  <c r="AC368" i="7" s="1"/>
  <c r="AC369" i="7" s="1"/>
  <c r="J369" i="7"/>
  <c r="K369" i="7" s="1"/>
  <c r="E370" i="7"/>
  <c r="I370" i="7" l="1"/>
  <c r="E373" i="7"/>
  <c r="Q370" i="7"/>
  <c r="G370" i="7"/>
  <c r="J370" i="7" s="1"/>
  <c r="T366" i="7"/>
  <c r="J373" i="7" l="1"/>
  <c r="N366" i="7"/>
  <c r="O366" i="7" s="1"/>
  <c r="U366" i="7"/>
  <c r="U367" i="7" s="1"/>
  <c r="U368" i="7" s="1"/>
  <c r="U369" i="7" s="1"/>
  <c r="R370" i="7"/>
  <c r="Q373" i="7"/>
  <c r="K370" i="7"/>
  <c r="I373" i="7"/>
  <c r="X366" i="7" l="1"/>
  <c r="O367" i="7"/>
  <c r="Y366" i="7" l="1"/>
  <c r="X367" i="7"/>
  <c r="O368" i="7"/>
  <c r="Y367" i="7" l="1"/>
  <c r="O369" i="7"/>
  <c r="X368" i="7"/>
  <c r="Y368" i="7" l="1"/>
  <c r="X369" i="7"/>
  <c r="X373" i="7" s="1"/>
  <c r="Y369" i="7" l="1"/>
  <c r="W370" i="7" l="1"/>
  <c r="AB370" i="7" s="1"/>
  <c r="Y370" i="7"/>
  <c r="AB373" i="7" l="1"/>
  <c r="AA370" i="7"/>
  <c r="AA373" i="7" s="1"/>
  <c r="AC370" i="7"/>
  <c r="W373" i="7"/>
  <c r="T370" i="7"/>
  <c r="T373" i="7" l="1"/>
  <c r="N370" i="7"/>
  <c r="U370" i="7"/>
  <c r="N373" i="7" l="1"/>
  <c r="O370" i="7"/>
</calcChain>
</file>

<file path=xl/sharedStrings.xml><?xml version="1.0" encoding="utf-8"?>
<sst xmlns="http://schemas.openxmlformats.org/spreadsheetml/2006/main" count="1170" uniqueCount="287">
  <si>
    <t>nr zile</t>
  </si>
  <si>
    <t>sold</t>
  </si>
  <si>
    <t>Data</t>
  </si>
  <si>
    <t>dt</t>
  </si>
  <si>
    <t>ct</t>
  </si>
  <si>
    <r>
      <t>Articolul 1744.</t>
    </r>
    <r>
      <rPr>
        <sz val="11"/>
        <color theme="1"/>
        <rFont val="Calibri"/>
        <family val="2"/>
        <scheme val="minor"/>
      </rPr>
      <t> Ordinea calculării şi plăţii dobînzii</t>
    </r>
  </si>
  <si>
    <t>    (1) Dobînda pentru depozitul bancar se calculează începînd cu ziua următoare zilei efectuării depozitului, pînă în ziua precedentă zilei restituirii sumei depuse sau decontării acesteia în baza unor alte temeiuri legale.</t>
  </si>
  <si>
    <t>    (2) Dacă contractul de depozit bancar nu prevede altfel, dobînda pentru suma depozitului bancar se plăteşte deponentului, la cererea acestuia, la expirarea fiecărui trimestru, iar dobînzile neridicate în acest termen se adaugă la suma depozitului pentru care se calculează dobînda în continuare.</t>
  </si>
  <si>
    <t>    (3) La restituirea sumei depuse, se plăteşte întreaga dobîndă calculată pînă la acel moment.</t>
  </si>
  <si>
    <t>R</t>
  </si>
  <si>
    <t>51321 Dobanzi la DTS</t>
  </si>
  <si>
    <t>5133 Datorii spre plata</t>
  </si>
  <si>
    <t>51322 Dobanzi la datorii spre plata</t>
  </si>
  <si>
    <t>51331 Depuneri TS spre plata</t>
  </si>
  <si>
    <t>5131 Depuneri TS</t>
  </si>
  <si>
    <t>Depuneri suplimentare: 10.000 lei lunar, începând cu luna a 2-a, în data de 5 a fiecărei luni</t>
  </si>
  <si>
    <t>51332 Dobanzi spre plata</t>
  </si>
  <si>
    <t>Îndreptarea în contul 51332 Dobanzi spre plata a soldului conturilor (51321 Dobanzi la DTS + 51322 Dobanzi la datorii spre plata), acumulat până în ziua precedentă zilei restituirii sumei sau decontării acesteiaăla 29.04.2025 diminuate cu suma impozitului de 6% reținut din sumele dobânzilor îndreptate spre plată, la închiderea zilei operaționale
Se îndreaptă spre plată în ultima zi a fiecărui luni și se capitalizeaza, în prima zi lucrătoare a trimestrului următor si se achita în prima zi lucrătoare dupa ziua expirării (rezilierii anticipate) a Contractului</t>
  </si>
  <si>
    <t>Îndreptarea în contul 51332 Dobanzi spre plata a soldului conturilor (51321 Dobanzi la DTS + 51322 Dobanzi la datorii spre plata), acumulat la 29.06.2025 diminuate cu suma impozitului de 6% reținut din sumele dobânzilor îndreptate spre plată, la închiderea zilei operaționale</t>
  </si>
  <si>
    <t>Retrageri: 20.000 lei, la sfârșitul fiecărui trimestru (lunile 6, 9, 12 și 3).
Capitalizarea dobânzii: trimestrial, la sfârșitul fiecărui trimestru (lunile 6, 9, 12 și 3), se capitalizează valoarea netă, după reținerea impozitului de 6%. Capitalizarea are loc în prima zi lucrătoare a lunii următoare trimestrului
Soldului contului 5133 Datorii spre plata, acumulat la ziua precedentă achitării, se adaugă la contul 5131 Depuneri TS, la deschiderea zilei operaționale</t>
  </si>
  <si>
    <t>Îndreptarea spre plată în contul 51332 Dobanzi spre plată, a soldului conturilor (51321 Dobanzi la DTS + 51322 Dobanzi la datorii spre plată), acumulat până în ziua precedentă zilei restituirii sumei sau decontării acesteia (29.04.2025), diminuate cu suma impozitului 6%, reținut din sumele dobânzilor îndreptate spre plată, la închiderea zilei operaționale.
Se îndreaptă spre plată în ultima zi a fiecărui luni.</t>
  </si>
  <si>
    <t>Îndreptarea spre plată în contul 51332 Dobanzi spre plată, a soldului conturilor (51321 Dobanzi la DTS + 51322 Dobanzi la datorii spre plată), acumulat până în ziua precedentă zilei restituirii sumei sau decontării acesteia (30.05.2025), diminuate cu suma impozitului 6%, reținut din sumele dobânzilor îndreptate spre plată, la închiderea zilei operaționale.
Se îndreaptă spre plată în ultima zi a fiecărui luni.</t>
  </si>
  <si>
    <t>Îndreptarea spre plată a sumei Depunerii pe TS (20.000 lei) din debitul contului 5131 Depuneri pe TS,  în creditul contului 51331 Depuneri pe TS spre plată.
Îndreptarea spre plată a sumei soldului conturilor (51321 Dobanzi la DTS + 51322 Dobanzi la datorii spre plată), acumulat până în ziua precedentă zilei restituirii sumei sau decontării acesteia (29.06.2025), diminuate cu suma impozitului 6%, reținut din sumele dobânzilor îndreptate spre plată, la închiderea zilei operaționale.
Se îndreaptă spre plată în ultima zi a fiecărui trimestru.</t>
  </si>
  <si>
    <t>Total</t>
  </si>
  <si>
    <t>Datorii privind depunerile de economii pe termen lung ale membrilor asociaţiilor de economii şi împrumut</t>
  </si>
  <si>
    <t>Depuneri de economii pe termen lung ale membrilor asociaţiilor de economii şi împrumut</t>
  </si>
  <si>
    <t>Dobînzi aferente depunerilor de economii pe termen lung ale membrilor asociaţiilor de economii şi împrumut</t>
  </si>
  <si>
    <t>Datorii privind depunerile de economii pe termen scurt ale membrilor asociaţiilor de economii şi împrumut</t>
  </si>
  <si>
    <t>Depuneri de economii pe termen scurt ale membrilor asociației</t>
  </si>
  <si>
    <t>Dobînzi aferente depunerilor de economii pe termen scurt ale membrilor AEÎ: 5132 = (51321+51322)</t>
  </si>
  <si>
    <t>Dobînzi calculate la depunerile de economii pe termen scurt ale membrilor AEÎ</t>
  </si>
  <si>
    <t>Subsubcont nou</t>
  </si>
  <si>
    <t>Dobînzi calculate la sumele depunerilor de economii și a dobânzilor aferente, care sunt îndreptate spre plată</t>
  </si>
  <si>
    <t>Datorii spre plată, aferente depunerilor de economii ale membrilor AEÎ 5133 = (51331+51332)</t>
  </si>
  <si>
    <t>Subcont nou</t>
  </si>
  <si>
    <t>vor fi deschise două subsubconturi analitice</t>
  </si>
  <si>
    <t>Datorii spre plată privind depunerile de economii ale membrilor AEÎ</t>
  </si>
  <si>
    <t>destinat evidenției sumelor principalului depunerilor de economii, care au ajuns la scadență și urmează a fi plătite</t>
  </si>
  <si>
    <t>Datorii spre plată privind dobânzile aferente depunerilor de economii ale membrilor AEÎ</t>
  </si>
  <si>
    <t>destinat evidenței dobânzilor calculate și scadente, precum și a oricăror compensații sau bonificații acordate membrilor în legătură cu depunerile constituite, dar care nu au fost plătite.</t>
  </si>
  <si>
    <t>Cheltuieli aferente dobînzilor calculate</t>
  </si>
  <si>
    <t>Cheltuieli aferente dobînzilor calculate la depunerile de economii ale membrilor asociaţiilor de economii şi împrumut</t>
  </si>
  <si>
    <t xml:space="preserve">Îndreptarea în contul 51332 Dobanzi spre plata a soldului conturilor (51321 Dobanzi la DTS + 51322 Dobanzi la datorii spre plata), acumulat până în ziua precedentă zilei restituirii sumei sau decontării acesteiaă la 03.03.2026 diminuate cu suma impozitului de 6% reținut din sumele dobânzilor îndreptate spre plată, la închiderea zilei operaționale
</t>
  </si>
  <si>
    <t>x</t>
  </si>
  <si>
    <t>Încasarea sumei depunerii de economii pe TS în casierie și decontarea creanței contingente anterior înregistrate în baza contractului de depunere
Suma depusă inițial</t>
  </si>
  <si>
    <t>Calcularea dobânzii aferente depunerii de economii pe TS</t>
  </si>
  <si>
    <t>Calcularea dobânzii aferente depunerii de economii pe TS
Codul civil. Articolul 1744. Ordinea calculării şi plății dobânzii
Dobânda anuală la suma depunerii, în mărimea stabilită în contract (10%), se calculează zilnic, începând cu ziua următoare zilei efectuării depunerii până în ziua precedentă zile restituirii sumei sau decontării acesteia:
(Soldul contului 5131 "Depuneri de economii pe termen scurt ale membrilor asociației" - minus rulajul pe creditul acestui cont, la data de calcul) x 10% rata dobanzii / 365 zile x 27 zile nr. de zile efective</t>
  </si>
  <si>
    <t>Reţinerea impozitului din dobânzile calculate la depuneri, îndreptate spre plată, (achitate) în folosul persoanelor fizice rezidente</t>
  </si>
  <si>
    <t>Achitarea datoriei privind 6%, impozitul pe venit reţinut la sursa de plată</t>
  </si>
  <si>
    <t>Tranzacțiile de atragere și plată a depunerilor, de calculare a dobânzilor aferente, de încasare și plată a numerarului aferent depunerilor pe termen</t>
  </si>
  <si>
    <t>Nr.</t>
  </si>
  <si>
    <t>Conținutul operației economice</t>
  </si>
  <si>
    <t>Dt cont bilanțier</t>
  </si>
  <si>
    <t>Ct cont bilanțier</t>
  </si>
  <si>
    <t>Majorare cont extrabilanțier</t>
  </si>
  <si>
    <t>Diminuare cont extrabilanțier</t>
  </si>
  <si>
    <t>Suma</t>
  </si>
  <si>
    <t>Document confirmativ</t>
  </si>
  <si>
    <t>Calcule</t>
  </si>
  <si>
    <t>Comentarii</t>
  </si>
  <si>
    <t>Înregistrarea creanței contingente (dreptului de încasare a depunerii de economii pe TS) după semnarea contractului de depunere – la suma depunerii indicată în contractul de depunere</t>
  </si>
  <si>
    <t>Contract de depunere</t>
  </si>
  <si>
    <t>100 000 lei+(10 000 lei * 12 depuneri)</t>
  </si>
  <si>
    <t>Indicațiile metodice. P.13. În componenţa activelor contingente se includ:
- drepturile de primire (încasare) a depunerilor  de economii de la membrii asociaţiei;</t>
  </si>
  <si>
    <t>Încasarea sumei depunerii de economii pe TS în casierie și decontarea creanței contingente anterior înregistrate în baza contractului de depunere</t>
  </si>
  <si>
    <t>Dispoziție de încasare, notă contabilă (document intern)</t>
  </si>
  <si>
    <t>Indicațiile metodice.p. 14. La producerea faptului economic viitor (încasarea depunerilor de economii, creditelor, împrumuturilor, procurarea valorilor mobiliare) asociaţia decontează activul contingent anterior recunoscut în conturile extrabilanţiere și înregistrează concomitent majorarea numerarului.</t>
  </si>
  <si>
    <t>03.03.2025 - 30.03.2025</t>
  </si>
  <si>
    <t>Notă contabilă (document intern), Fișa de evidență a depunerii de economii și dobânzilor aferente</t>
  </si>
  <si>
    <t>100 000 lei*10%/365 zile*27 zile</t>
  </si>
  <si>
    <t>Codul civil. Articolul 1744. Ordinea calculării şi plății dobânzii
Dobânda anuală la suma depunerii, în mărimea stabilită în contract (10%), se calculează zilnic, începând cu ziua următoare zilei efectuării depunerii până în ziua precedentă zile restituirii sumei sau decontării acesteia:
(Soldul contului 5131 "Depuneri de economii pe termen scurt ale membrilor asociației" - minus rulajul pe creditul acestui cont, la data de calcul) x 10% rata dobanzii / 365 zile x 27 zile nr. de zile efective</t>
  </si>
  <si>
    <t>Calcularea dobânzii aferente sumelor datorate,  îndreptate spre plată</t>
  </si>
  <si>
    <t>0 lei*1%/365 zile*27 zile</t>
  </si>
  <si>
    <t>Codul civil. Articolul 1744. Ordinea calculării şi plății dobânzii
Dobânda anuală la sumele datorate, îndreptate spre plată, în mărimea stabilită în contract (1%), se calculează zilnic, începând cu ziua următoare zilei efectuării depunerii până în ziua precedentă zile restituirii sumei sau decontării acesteia:
(Soldul contului 5133 "Datorii spre plată, aferente depunerilor de economii ale membrilor AEÎ" - minus rulajul pe creditul acestui cont, la data de calcul)  x 1% rata dobanzii / 365 zile x 27 zile nr. de zile efective</t>
  </si>
  <si>
    <t>100 000*10%/365*1 zile</t>
  </si>
  <si>
    <t>(Soldul contului 5131 "Depuneri de economii pe termen scurt ale membrilor asociației" - minus rulajul pe creditul acestui cont, la data de calcul) x 10% rata dobanzii / 365 zile x nr. de zile efective</t>
  </si>
  <si>
    <t>0 lei*1%/365 zile*1 zile</t>
  </si>
  <si>
    <t>(Soldul contului 5133 "Datorii spre plată, aferente depunerilor de economii ale membrilor AEÎ" - minus rulajul pe creditul acestui cont, la data de calcul)  x 1% rata dobanzii / 365 zile x nr. de zile efective</t>
  </si>
  <si>
    <t>534.3</t>
  </si>
  <si>
    <t>739,8 lei*6%</t>
  </si>
  <si>
    <t>Reţinerea impozitului din dobânzile calculate la sumele datorate,  îndreptate spre plată, (achitate) în folosul persoanelor fizice rezidente</t>
  </si>
  <si>
    <t>0 lei*6%</t>
  </si>
  <si>
    <t>Înregistrarea în contul spre plată a sumei scadente a dobânzii calculate la depuneri</t>
  </si>
  <si>
    <t>739,8-44,39</t>
  </si>
  <si>
    <t>Conform condițiilor contractului, dobânda calculată la depuneri până în ziua precedentă zilei restituirii sumei sau decontării acesteia (30.03.2025), se îndreaptă spre plată în ultima zi a fiecărui luni.
Soldul contului 51321 "Dobânzi calculate la depunerile de economii pe termen scurt ale membrilor AEÎ", la data precedentă plății (îndreptării spre plată) - minus impozitul 6% calculat, se înregistrează în creditul contului 51332 "Datorii spre plată privind dobânzile aferente depunerilor de economii ale membrilor AEÎ"</t>
  </si>
  <si>
    <t>Înregistrarea în contul spre plată a sumei scadente a dobânzii calculate la sumele datorate</t>
  </si>
  <si>
    <t>Conform condițiilor contractului, dobânda calculată la sumele datorate până în ziua precedentă zilei restituirii sumei sau decontării acesteia (30.03.2025), se îndreaptă spre plată în ultima zi a fiecărui luni.
Soldul contului 51321 "Dobânzi calculate la sumele depunerilor de economii și a dobânzilor aferente, care sunt îndreptate spre plată", la data precedentă plății (îndreptării spre plată) - minus impozitul 6% calculat, se înregistrează în creditul contului 51332 "Datorii spre plată privind dobânzile aferente depunerilor de economii ale membrilor AEÎ"</t>
  </si>
  <si>
    <t>01.04.2025 - 05.04.2025</t>
  </si>
  <si>
    <t>100000*10%/365*5</t>
  </si>
  <si>
    <t>Codul civil. Articolul 1744. Ordinea calculării şi plății dobânzii
Dobânda anuală la suma depunerii, în mărimea stabilită în contract (10%), se calculează zilnic, începând cu ziua următoare zilei efectuării depunerii până în ziua precedentă zile restituirii sumei sau decontării acesteia:
(Soldul contului 5131 "Depuneri de economii pe termen scurt ale membrilor asociației" - minus rulajul pe creditul acestui cont, la data de calcul) x 10% rata dobanzii / 365 zile x nr. de zile efective</t>
  </si>
  <si>
    <t>695,41*1%/365*5</t>
  </si>
  <si>
    <t>Codul civil. Articolul 1744. Ordinea calculării şi plății dobânzii
Dobânda anuală la sumele datorate, îndreptate spre plată, în mărimea stabilită în contract (1%), se calculează zilnic, începând cu ziua următoare zilei efectuării depunerii până în ziua precedentă zile restituirii sumei sau decontării acesteia:
(Soldul contului 5133 "Datorii spre plată, aferente depunerilor de economii ale membrilor AEÎ" - minus rulajul pe creditul acestui cont, la data de calcul)  x 1% rata dobanzii / 365 zile x nr. de zile efective</t>
  </si>
  <si>
    <t>Încasarea sumei suplimentare a depunerii de economii pe TS în casierie și decontarea creanței contingente anterior înregistrate</t>
  </si>
  <si>
    <t>Conform condițiilor contractului, începând cu luna a 2-a, în data de 5 a fiecărei luni, deponentul v-a efectua depuneri suplimentare: 10.000 lei lunar</t>
  </si>
  <si>
    <t>Achitarea datoriei privind 6%, impozitul pe venit reţinut la sursa de plată din dobânzile  îndreptate spre plată, (achitate) în folosul persoanelor fizice rezidente</t>
  </si>
  <si>
    <t>Dispoziție de plată, Fișa de evidență a depunerii de economii și dobânzilor aferente</t>
  </si>
  <si>
    <t>Soldul contului 5343 "Datorii privind impozitul pe venit reţinut la sursa de plată", la data precedentă plății (îndreptării spre plată)</t>
  </si>
  <si>
    <t>06.04.2025 - 29.04.2025</t>
  </si>
  <si>
    <t>110000*10%/365*24</t>
  </si>
  <si>
    <t>695,41*1%/365*24</t>
  </si>
  <si>
    <t>100000*10%/365*1</t>
  </si>
  <si>
    <t>695,41*1%/365*1</t>
  </si>
  <si>
    <t>887,76*6%</t>
  </si>
  <si>
    <t>(Soldul contului 51321 "Dobânzi calculate la depunerile de economii pe termen scurt ale membrilor AEÎ", la data precedentă plății (îndreptării spre plată))  x 6%, rata impozitului conform prevederilor Codului fiscal)</t>
  </si>
  <si>
    <t>0,58*6%</t>
  </si>
  <si>
    <t>(Soldul contului 51322 "Dobânzi calculate la sumele depunerilor de economii și a dobânzilor aferente, care sunt îndreptate spre plată", la data precedentă plății (îndreptării spre plată))  x 6%, rata impozitului conform prevederilor Codului fiscal)</t>
  </si>
  <si>
    <t>887,76-53,27</t>
  </si>
  <si>
    <t>Soldul contului 51321 "Dobânzi calculate la depunerile de economii pe termen scurt ale membrilor AEÎ", la data precedentă plății (îndreptării spre plată) - minus impozitul 6% calculat, se înregistrează în creditul contului 51332 "Datorii spre plată privind dobânzile aferente depunerilor de economii ale membrilor AEÎ"</t>
  </si>
  <si>
    <t>0,58-0,03</t>
  </si>
  <si>
    <t>Soldul contului 51321 "Dobânzi calculate la sumele depunerilor de economii și a dobânzilor aferente, care sunt îndreptate spre plată", la data precedentă plății (îndreptării spre plată) - minus impozitul 6% calculat, se înregistrează în creditul contului 51332 "Datorii spre plată privind dobânzile aferente depunerilor de economii ale membrilor AEÎ"</t>
  </si>
  <si>
    <t>01.05.2025 - 05.05.2025</t>
  </si>
  <si>
    <t>110000*10%/365*5</t>
  </si>
  <si>
    <t>1530,45*1%/365*5</t>
  </si>
  <si>
    <t>06.05.2025 - 30.05.2025</t>
  </si>
  <si>
    <t>120000*10%/365*25</t>
  </si>
  <si>
    <t>1530,45*1%/365*25</t>
  </si>
  <si>
    <t>120000*10%/365*1</t>
  </si>
  <si>
    <t>1530,45*1%/365*1</t>
  </si>
  <si>
    <t>1002,84*6%</t>
  </si>
  <si>
    <t>1,22*6%</t>
  </si>
  <si>
    <t>1,22-0,07</t>
  </si>
  <si>
    <t>01.06.2025 - 05.06.2025</t>
  </si>
  <si>
    <t>120000*10%/365*5</t>
  </si>
  <si>
    <t>2474,27*1%/365*5</t>
  </si>
  <si>
    <t>06.06.2025 - 29.06.2025</t>
  </si>
  <si>
    <t>130000*10%/365*24</t>
  </si>
  <si>
    <t>2474,27*1%/365*24</t>
  </si>
  <si>
    <t>Înregistrarea în contul spre plată a sumei scadente a principalului depunerii pe TS</t>
  </si>
  <si>
    <t>Conform condițiilor contractului, la sfârșitul fiecărui trimestru, lunile: 6, 9, 12, 3, deponentul poate solicita retragerea parțială a sumelor aferente depunerii de economii.
Se îndreaptă spre plată în ultima zi a fiecărui trimestru.
Soldul contului 5131 "Depuneri de economii pe termen scurt ale membrilor asociației", la data plății (îndreptării spre plată), se înregistrează în creditul contului 51331 "Datorii spre plată privind depunerile de economii ale membrilor AEÎ"</t>
  </si>
  <si>
    <t>110000*10%/365*1</t>
  </si>
  <si>
    <t>2474,27*1%/365*1</t>
  </si>
  <si>
    <t>1052,16*6%</t>
  </si>
  <si>
    <t>2,07*6%</t>
  </si>
  <si>
    <t>1052,16-63,13</t>
  </si>
  <si>
    <t>Rambursarea prin casierie a depunerilor de economii înregistrate spre plată</t>
  </si>
  <si>
    <t>Dispoziție de plată
Fișa de evidență a depunerii de economii și dobânzilor aferente</t>
  </si>
  <si>
    <t>Suma depunerii din contul 51331 "Datorii spre plată privind depunerile de economii ale membrilor AEÎ", se achită, în prima zi lucrătoare a trimestrului următor sau în prima zi lucrătoare dupa ziua expirării (rezilierii anticipate) a Contractului</t>
  </si>
  <si>
    <t>Capitalizarea dobânzii la depunerile pe TS</t>
  </si>
  <si>
    <t>Conform condițiilor din Contract, capitalizarea dobânzii: trimestrial, la sfârșitul fiecărui trimestru (lunile 6, 9, 12 și 3), se capitalizează valoarea netă, după reținerea impozitului de 6%.
Capitalizarea are loc în prima zi lucrătoare a lunii următoare trimestrului
Soldul contului 51332 "Datorii spre plată privind dobânzile aferente depunerilor de economii ale membrilor AEÎ", acumulat în ziua precedentă achitării, se adaugă la contul 5131 "Depuneri de economii pe termen scurt ale membrilor asociației "5131 Depuneri TS, la deschiderea zilei operaționale</t>
  </si>
  <si>
    <t>0*1%/365*1</t>
  </si>
  <si>
    <t>02.07.2025 - 05.07.2025</t>
  </si>
  <si>
    <t>113465,24*10%/365*4</t>
  </si>
  <si>
    <t>0*1%/365*4</t>
  </si>
  <si>
    <t>06.07.2025 - 30.07.2025</t>
  </si>
  <si>
    <t>123465,24*10%/365*25</t>
  </si>
  <si>
    <t>0*1%/365*25</t>
  </si>
  <si>
    <t>123465,24*10%/365*1</t>
  </si>
  <si>
    <t>1030,39*6%</t>
  </si>
  <si>
    <t>0,07*6%</t>
  </si>
  <si>
    <t>0,07-0,01</t>
  </si>
  <si>
    <t>01.08.2025 - 05.08.2025</t>
  </si>
  <si>
    <t>133465,24*10%/365*5</t>
  </si>
  <si>
    <t>968,63*1%/365*5</t>
  </si>
  <si>
    <t>06.08.2025 - 30.08.2025</t>
  </si>
  <si>
    <t>133465,24*10%/365*25</t>
  </si>
  <si>
    <t>968,63*1%/365*25</t>
  </si>
  <si>
    <t>133465,24*10%/365*1</t>
  </si>
  <si>
    <t>968,63*1%/365*1</t>
  </si>
  <si>
    <t>1117,23*6%</t>
  </si>
  <si>
    <t>0,9*6%</t>
  </si>
  <si>
    <t>1117,23-67,03</t>
  </si>
  <si>
    <t>0,9-0,03</t>
  </si>
  <si>
    <t>01.09.2025 - 05.09.2025</t>
  </si>
  <si>
    <t>2019,67*1%/365*5</t>
  </si>
  <si>
    <t>06.09.2025 - 29.09.2025</t>
  </si>
  <si>
    <t>143465,24*10%/365*24</t>
  </si>
  <si>
    <t>Dobânda se calculează zilnic, începând cu ziua următoare zilei efectuării depunerii până în ziua precedentă zile restituirii sumei sau decontării acesteia (Sold contul 5131 DTS x 10% rata dobanzii / 365 zile x 1 zi)</t>
  </si>
  <si>
    <t>2019,67*1%/365*24</t>
  </si>
  <si>
    <t>Dobânda se calculează zilnic, începând cu ziua următoare zilei efectuării depunerii până în ziua precedentă zile restituirii sumei sau decontării acesteia (Sold contul 5133 x 1% rata dobanzii / 365 zile x nr. de zile)</t>
  </si>
  <si>
    <t>Soldul contului 5131 "Depuneri de economii pe termen scurt ale membrilor asociației", la data plății (îndreptării spre plată), se înregistrează în creditul contului 51331 "Datorii spre plată privind depunerile de economii ale membrilor AEÎ"</t>
  </si>
  <si>
    <t>2019,67*1%/365*1</t>
  </si>
  <si>
    <t>1162,86*6%</t>
  </si>
  <si>
    <t>1,77*6%</t>
  </si>
  <si>
    <t>1162,86-69,77</t>
  </si>
  <si>
    <t>1,77-0,06</t>
  </si>
  <si>
    <t>Soldul contului 51332 "Datorii spre plată privind dobânzile aferente depunerilor de economii ale membrilor AEÎ", acumulat în ziua precedentă achitării, se adaugă la contul 5131 "Depuneri de economii pe termen scurt ale membrilor asociației "5131 Depuneri TS, la deschiderea zilei operaționale</t>
  </si>
  <si>
    <t>02.10.2025 - 05.10.2025</t>
  </si>
  <si>
    <t>126579,67*10%/365*4</t>
  </si>
  <si>
    <t>06.10.2025 - 30.10.2025</t>
  </si>
  <si>
    <t>136579,67*10%/365*25</t>
  </si>
  <si>
    <t>1141,88*6%</t>
  </si>
  <si>
    <t>0,06*6%</t>
  </si>
  <si>
    <t>1141,88-68,51</t>
  </si>
  <si>
    <t>0,06-0,01</t>
  </si>
  <si>
    <t>01.11.2025 - 05.11.2025</t>
  </si>
  <si>
    <t>136579,67*10%/365*5</t>
  </si>
  <si>
    <t>1073,42*1%/365*5</t>
  </si>
  <si>
    <t>06.11.2025 - 29.11.2025</t>
  </si>
  <si>
    <t>146579,67*10%/365*24</t>
  </si>
  <si>
    <t>1073,42*1%/365*24</t>
  </si>
  <si>
    <t>146579,67*10%/365*1</t>
  </si>
  <si>
    <t>1073,42*1%/365*1</t>
  </si>
  <si>
    <t>1188,36*6%</t>
  </si>
  <si>
    <t>0,87*6%</t>
  </si>
  <si>
    <t>0,87-0,03</t>
  </si>
  <si>
    <t>01.12.2025 - 05.12.2025</t>
  </si>
  <si>
    <t>146579,67*10%/365*5</t>
  </si>
  <si>
    <t>2191,3*1%/365*5</t>
  </si>
  <si>
    <t>06.12.2025 - 30.12.2025</t>
  </si>
  <si>
    <t>156579,67*10%/365*5</t>
  </si>
  <si>
    <t>136579,67*10%/365*1</t>
  </si>
  <si>
    <t>2191,3*1%/365*1</t>
  </si>
  <si>
    <t>1313,46*6%</t>
  </si>
  <si>
    <t>1,83*6%</t>
  </si>
  <si>
    <t>1313,46-78,81</t>
  </si>
  <si>
    <t>1,83-0,06</t>
  </si>
  <si>
    <t>02.01.2026 - 05.01.2026</t>
  </si>
  <si>
    <t>140007,34*10%/365*4</t>
  </si>
  <si>
    <t>05.01.2026 - 30.01.2026</t>
  </si>
  <si>
    <t>150007,34*10%/365*25</t>
  </si>
  <si>
    <t>150007,34*10%/365*1</t>
  </si>
  <si>
    <t>1255,78*6%</t>
  </si>
  <si>
    <t>1255,78-75,35</t>
  </si>
  <si>
    <t>01.02.2026 - 05.02.2026</t>
  </si>
  <si>
    <t>150007,34*10%/365*5</t>
  </si>
  <si>
    <t>1180,49*1%/365*5</t>
  </si>
  <si>
    <t>06.02.2026 - 27.02.2026</t>
  </si>
  <si>
    <t>160007,34*10%/365*22</t>
  </si>
  <si>
    <t>1180,49*1%/365*22</t>
  </si>
  <si>
    <t>160007,34*10%/365*1</t>
  </si>
  <si>
    <t>1180,49*1%/365*1</t>
  </si>
  <si>
    <t>1211,08*6%</t>
  </si>
  <si>
    <t>0,81*6%</t>
  </si>
  <si>
    <t>1211,08-72,66</t>
  </si>
  <si>
    <t>0,81-0,05</t>
  </si>
  <si>
    <t>01.03.2026 - 03.03.2026</t>
  </si>
  <si>
    <t>160007,34*10%/365*3</t>
  </si>
  <si>
    <t>2319,67*1%/365*3</t>
  </si>
  <si>
    <t>175,36*6%</t>
  </si>
  <si>
    <t>0,21*6%</t>
  </si>
  <si>
    <t>Achitarea prin casierie a dobânzilor calculate, închiderea contractului de depunere</t>
  </si>
  <si>
    <t>Dispoziție de plată, Act de verificare, Fișa de evidență a depunerii de economii și dobânzilor aferente</t>
  </si>
  <si>
    <t>Prin casierie</t>
  </si>
  <si>
    <t>Rambursarea prin casierie a depunerii de economii în urma expirării termenului contractului de depunere , închiderea contractului de depunere</t>
  </si>
  <si>
    <t>5343, I pe V la sursa de plată</t>
  </si>
  <si>
    <t>Problemă – Depunere de economii la termen cu capitalizare trimestrială</t>
  </si>
  <si>
    <t>Un membru al Asociației de Economii și Împrumut (AEI) încheie un contract de depunere de economii la termen pe o durată de 12 luni, cu capitalizarea trimestrială a dobânzii.</t>
  </si>
  <si>
    <t>Datele contractului:</t>
  </si>
  <si>
    <r>
      <t>1.</t>
    </r>
    <r>
      <rPr>
        <b/>
        <sz val="7"/>
        <color theme="1"/>
        <rFont val="Times New Roman"/>
        <family val="1"/>
      </rPr>
      <t xml:space="preserve">      </t>
    </r>
    <r>
      <rPr>
        <b/>
        <sz val="12"/>
        <color theme="1"/>
        <rFont val="Calibri"/>
        <family val="2"/>
        <scheme val="minor"/>
      </rPr>
      <t>Data semnării contractului:</t>
    </r>
    <r>
      <rPr>
        <sz val="12"/>
        <color theme="1"/>
        <rFont val="Calibri"/>
        <family val="2"/>
        <scheme val="minor"/>
      </rPr>
      <t xml:space="preserve"> 28.02.2025</t>
    </r>
  </si>
  <si>
    <r>
      <t>2.</t>
    </r>
    <r>
      <rPr>
        <b/>
        <sz val="7"/>
        <color theme="1"/>
        <rFont val="Times New Roman"/>
        <family val="1"/>
      </rPr>
      <t xml:space="preserve">      </t>
    </r>
    <r>
      <rPr>
        <b/>
        <sz val="12"/>
        <color theme="1"/>
        <rFont val="Calibri"/>
        <family val="2"/>
        <scheme val="minor"/>
      </rPr>
      <t>Data încasării sumei inițiale:</t>
    </r>
    <r>
      <rPr>
        <sz val="12"/>
        <color theme="1"/>
        <rFont val="Calibri"/>
        <family val="2"/>
        <scheme val="minor"/>
      </rPr>
      <t xml:space="preserve"> 03.03.2025</t>
    </r>
  </si>
  <si>
    <r>
      <t>3.</t>
    </r>
    <r>
      <rPr>
        <b/>
        <sz val="7"/>
        <color theme="1"/>
        <rFont val="Times New Roman"/>
        <family val="1"/>
      </rPr>
      <t xml:space="preserve">      </t>
    </r>
    <r>
      <rPr>
        <b/>
        <sz val="12"/>
        <color theme="1"/>
        <rFont val="Calibri"/>
        <family val="2"/>
        <scheme val="minor"/>
      </rPr>
      <t>Suma inițială depusă:</t>
    </r>
    <r>
      <rPr>
        <sz val="12"/>
        <color theme="1"/>
        <rFont val="Calibri"/>
        <family val="2"/>
        <scheme val="minor"/>
      </rPr>
      <t xml:space="preserve"> 100.000 lei</t>
    </r>
  </si>
  <si>
    <r>
      <t>4.</t>
    </r>
    <r>
      <rPr>
        <b/>
        <sz val="7"/>
        <color theme="1"/>
        <rFont val="Times New Roman"/>
        <family val="1"/>
      </rPr>
      <t xml:space="preserve">      </t>
    </r>
    <r>
      <rPr>
        <b/>
        <sz val="12"/>
        <color theme="1"/>
        <rFont val="Calibri"/>
        <family val="2"/>
        <scheme val="minor"/>
      </rPr>
      <t>Durata contractului:</t>
    </r>
    <r>
      <rPr>
        <sz val="12"/>
        <color theme="1"/>
        <rFont val="Calibri"/>
        <family val="2"/>
        <scheme val="minor"/>
      </rPr>
      <t xml:space="preserve"> 12 luni</t>
    </r>
  </si>
  <si>
    <r>
      <t>5.</t>
    </r>
    <r>
      <rPr>
        <b/>
        <sz val="7"/>
        <color theme="1"/>
        <rFont val="Times New Roman"/>
        <family val="1"/>
      </rPr>
      <t xml:space="preserve">      </t>
    </r>
    <r>
      <rPr>
        <b/>
        <sz val="12"/>
        <color theme="1"/>
        <rFont val="Calibri"/>
        <family val="2"/>
        <scheme val="minor"/>
      </rPr>
      <t>Dobânda anuală pentru depunere:</t>
    </r>
    <r>
      <rPr>
        <sz val="12"/>
        <color theme="1"/>
        <rFont val="Calibri"/>
        <family val="2"/>
        <scheme val="minor"/>
      </rPr>
      <t xml:space="preserve"> 10%</t>
    </r>
  </si>
  <si>
    <r>
      <t>a.</t>
    </r>
    <r>
      <rPr>
        <sz val="7"/>
        <color theme="1"/>
        <rFont val="Times New Roman"/>
        <family val="1"/>
      </rPr>
      <t xml:space="preserve">       </t>
    </r>
    <r>
      <rPr>
        <sz val="12"/>
        <color theme="1"/>
        <rFont val="Calibri"/>
        <family val="2"/>
        <scheme val="minor"/>
      </rPr>
      <t>Calculată zilnic, pe baza actual/365 (366 după caz)</t>
    </r>
  </si>
  <si>
    <r>
      <t>b.</t>
    </r>
    <r>
      <rPr>
        <sz val="7"/>
        <color theme="1"/>
        <rFont val="Times New Roman"/>
        <family val="1"/>
      </rPr>
      <t xml:space="preserve">      </t>
    </r>
    <r>
      <rPr>
        <sz val="12"/>
        <color theme="1"/>
        <rFont val="Calibri"/>
        <family val="2"/>
        <scheme val="minor"/>
      </rPr>
      <t>Dobânda se calculează începând cu ziua următoare depunerii și până în ziua precedentă restituirii sumei</t>
    </r>
  </si>
  <si>
    <r>
      <t>Articolul 1744.</t>
    </r>
    <r>
      <rPr>
        <sz val="11"/>
        <color rgb="FF000000"/>
        <rFont val="Calibri"/>
        <family val="2"/>
        <scheme val="minor"/>
      </rPr>
      <t> Ordinea calculării şi plăţii dobînzii</t>
    </r>
  </si>
  <si>
    <r>
      <t>6.</t>
    </r>
    <r>
      <rPr>
        <b/>
        <sz val="7"/>
        <color theme="1"/>
        <rFont val="Times New Roman"/>
        <family val="1"/>
      </rPr>
      <t xml:space="preserve">      </t>
    </r>
    <r>
      <rPr>
        <b/>
        <sz val="12"/>
        <color theme="1"/>
        <rFont val="Calibri"/>
        <family val="2"/>
        <scheme val="minor"/>
      </rPr>
      <t>Dobânda anuală pentru sumele îndreptate spre plată:</t>
    </r>
    <r>
      <rPr>
        <sz val="12"/>
        <color theme="1"/>
        <rFont val="Calibri"/>
        <family val="2"/>
        <scheme val="minor"/>
      </rPr>
      <t xml:space="preserve"> 1%</t>
    </r>
  </si>
  <si>
    <r>
      <t>b.</t>
    </r>
    <r>
      <rPr>
        <sz val="7"/>
        <color theme="1"/>
        <rFont val="Times New Roman"/>
        <family val="1"/>
      </rPr>
      <t xml:space="preserve">      </t>
    </r>
    <r>
      <rPr>
        <sz val="12"/>
        <color theme="1"/>
        <rFont val="Calibri"/>
        <family val="2"/>
        <scheme val="minor"/>
      </rPr>
      <t>Aplicată sumelor transferate în conturile „spre plată”</t>
    </r>
  </si>
  <si>
    <r>
      <t>7.</t>
    </r>
    <r>
      <rPr>
        <b/>
        <sz val="7"/>
        <color theme="1"/>
        <rFont val="Times New Roman"/>
        <family val="1"/>
      </rPr>
      <t xml:space="preserve">      </t>
    </r>
    <r>
      <rPr>
        <b/>
        <sz val="12"/>
        <color theme="1"/>
        <rFont val="Calibri"/>
        <family val="2"/>
        <scheme val="minor"/>
      </rPr>
      <t>Capitalizarea dobânzii:</t>
    </r>
  </si>
  <si>
    <r>
      <t>a.</t>
    </r>
    <r>
      <rPr>
        <sz val="7"/>
        <color theme="1"/>
        <rFont val="Times New Roman"/>
        <family val="1"/>
      </rPr>
      <t xml:space="preserve">       </t>
    </r>
    <r>
      <rPr>
        <sz val="12"/>
        <color theme="1"/>
        <rFont val="Calibri"/>
        <family val="2"/>
        <scheme val="minor"/>
      </rPr>
      <t>Se efectuează trimestrial, la sfârșitul fiecărui trimestru (lunile: 6, 9, 12, 3)</t>
    </r>
  </si>
  <si>
    <r>
      <t>b.</t>
    </r>
    <r>
      <rPr>
        <sz val="7"/>
        <color theme="1"/>
        <rFont val="Times New Roman"/>
        <family val="1"/>
      </rPr>
      <t xml:space="preserve">      </t>
    </r>
    <r>
      <rPr>
        <sz val="12"/>
        <color theme="1"/>
        <rFont val="Calibri"/>
        <family val="2"/>
        <scheme val="minor"/>
      </rPr>
      <t>Capitalizarea se face cu valoarea netă, după reținerea impozitului de 6%</t>
    </r>
  </si>
  <si>
    <r>
      <t>c.</t>
    </r>
    <r>
      <rPr>
        <sz val="7"/>
        <color theme="1"/>
        <rFont val="Times New Roman"/>
        <family val="1"/>
      </rPr>
      <t xml:space="preserve">       </t>
    </r>
    <r>
      <rPr>
        <sz val="12"/>
        <color theme="1"/>
        <rFont val="Calibri"/>
        <family val="2"/>
        <scheme val="minor"/>
      </rPr>
      <t>Operațiunea are loc în prima zi lucrătoare a trimestrului următor</t>
    </r>
  </si>
  <si>
    <r>
      <t>8.</t>
    </r>
    <r>
      <rPr>
        <b/>
        <sz val="7"/>
        <color theme="1"/>
        <rFont val="Times New Roman"/>
        <family val="1"/>
      </rPr>
      <t xml:space="preserve">      </t>
    </r>
    <r>
      <rPr>
        <b/>
        <sz val="12"/>
        <color theme="1"/>
        <rFont val="Calibri"/>
        <family val="2"/>
        <scheme val="minor"/>
      </rPr>
      <t>Depuneri suplimentare:</t>
    </r>
  </si>
  <si>
    <r>
      <t>a.</t>
    </r>
    <r>
      <rPr>
        <sz val="7"/>
        <color theme="1"/>
        <rFont val="Times New Roman"/>
        <family val="1"/>
      </rPr>
      <t xml:space="preserve">       </t>
    </r>
    <r>
      <rPr>
        <sz val="12"/>
        <color theme="1"/>
        <rFont val="Calibri"/>
        <family val="2"/>
        <scheme val="minor"/>
      </rPr>
      <t>10.000 lei lunar</t>
    </r>
  </si>
  <si>
    <r>
      <t>b.</t>
    </r>
    <r>
      <rPr>
        <sz val="7"/>
        <color theme="1"/>
        <rFont val="Times New Roman"/>
        <family val="1"/>
      </rPr>
      <t xml:space="preserve">      </t>
    </r>
    <r>
      <rPr>
        <sz val="12"/>
        <color theme="1"/>
        <rFont val="Calibri"/>
        <family val="2"/>
        <scheme val="minor"/>
      </rPr>
      <t>Începând cu luna a 2-a, în fiecare lună, la data de 5</t>
    </r>
  </si>
  <si>
    <r>
      <t>c.</t>
    </r>
    <r>
      <rPr>
        <sz val="7"/>
        <color theme="1"/>
        <rFont val="Times New Roman"/>
        <family val="1"/>
      </rPr>
      <t xml:space="preserve">       </t>
    </r>
    <r>
      <rPr>
        <sz val="12"/>
        <color theme="1"/>
        <rFont val="Calibri"/>
        <family val="2"/>
        <scheme val="minor"/>
      </rPr>
      <t>Total: 12 depuneri suplimentare</t>
    </r>
  </si>
  <si>
    <r>
      <t>9.</t>
    </r>
    <r>
      <rPr>
        <b/>
        <sz val="7"/>
        <color theme="1"/>
        <rFont val="Times New Roman"/>
        <family val="1"/>
      </rPr>
      <t xml:space="preserve">      </t>
    </r>
    <r>
      <rPr>
        <b/>
        <sz val="12"/>
        <color theme="1"/>
        <rFont val="Calibri"/>
        <family val="2"/>
        <scheme val="minor"/>
      </rPr>
      <t>Retrageri:</t>
    </r>
  </si>
  <si>
    <r>
      <t>a.</t>
    </r>
    <r>
      <rPr>
        <sz val="7"/>
        <color theme="1"/>
        <rFont val="Times New Roman"/>
        <family val="1"/>
      </rPr>
      <t xml:space="preserve">       </t>
    </r>
    <r>
      <rPr>
        <sz val="12"/>
        <color theme="1"/>
        <rFont val="Calibri"/>
        <family val="2"/>
        <scheme val="minor"/>
      </rPr>
      <t>20.000 lei</t>
    </r>
  </si>
  <si>
    <r>
      <t>b.</t>
    </r>
    <r>
      <rPr>
        <sz val="7"/>
        <color theme="1"/>
        <rFont val="Times New Roman"/>
        <family val="1"/>
      </rPr>
      <t xml:space="preserve">      </t>
    </r>
    <r>
      <rPr>
        <sz val="12"/>
        <color theme="1"/>
        <rFont val="Calibri"/>
        <family val="2"/>
        <scheme val="minor"/>
      </rPr>
      <t>La sfârșitul fiecărui trimestru (lunile 6, 9, 12 și 3)</t>
    </r>
  </si>
  <si>
    <r>
      <t>c.</t>
    </r>
    <r>
      <rPr>
        <sz val="7"/>
        <color theme="1"/>
        <rFont val="Times New Roman"/>
        <family val="1"/>
      </rPr>
      <t xml:space="preserve">       </t>
    </r>
    <r>
      <rPr>
        <sz val="12"/>
        <color theme="1"/>
        <rFont val="Calibri"/>
        <family val="2"/>
        <scheme val="minor"/>
      </rPr>
      <t>Suma se îndreaptă spre plată în ultima zi a trimestrului</t>
    </r>
  </si>
  <si>
    <r>
      <t>d.</t>
    </r>
    <r>
      <rPr>
        <sz val="7"/>
        <color theme="1"/>
        <rFont val="Times New Roman"/>
        <family val="1"/>
      </rPr>
      <t xml:space="preserve">      </t>
    </r>
    <r>
      <rPr>
        <sz val="12"/>
        <color theme="1"/>
        <rFont val="Calibri"/>
        <family val="2"/>
        <scheme val="minor"/>
      </rPr>
      <t>Se achită în prima zi lucrătoare a trimestrului următor</t>
    </r>
  </si>
  <si>
    <r>
      <t>10.</t>
    </r>
    <r>
      <rPr>
        <b/>
        <sz val="7"/>
        <color theme="1"/>
        <rFont val="Times New Roman"/>
        <family val="1"/>
      </rPr>
      <t xml:space="preserve">  </t>
    </r>
    <r>
      <rPr>
        <b/>
        <sz val="12"/>
        <color theme="1"/>
        <rFont val="Calibri"/>
        <family val="2"/>
        <scheme val="minor"/>
      </rPr>
      <t>Dobânda calculată:</t>
    </r>
  </si>
  <si>
    <r>
      <t>a.</t>
    </r>
    <r>
      <rPr>
        <sz val="7"/>
        <color theme="1"/>
        <rFont val="Times New Roman"/>
        <family val="1"/>
      </rPr>
      <t xml:space="preserve">       </t>
    </r>
    <r>
      <rPr>
        <sz val="12"/>
        <color theme="1"/>
        <rFont val="Calibri"/>
        <family val="2"/>
        <scheme val="minor"/>
      </rPr>
      <t>Se determină lunar</t>
    </r>
  </si>
  <si>
    <r>
      <t>b.</t>
    </r>
    <r>
      <rPr>
        <sz val="7"/>
        <color theme="1"/>
        <rFont val="Times New Roman"/>
        <family val="1"/>
      </rPr>
      <t xml:space="preserve">      </t>
    </r>
    <r>
      <rPr>
        <sz val="12"/>
        <color theme="1"/>
        <rFont val="Calibri"/>
        <family val="2"/>
        <scheme val="minor"/>
      </rPr>
      <t>Se îndreaptă spre plată în ultima zi a fiecărei luni</t>
    </r>
  </si>
  <si>
    <r>
      <t>c.</t>
    </r>
    <r>
      <rPr>
        <sz val="7"/>
        <color theme="1"/>
        <rFont val="Times New Roman"/>
        <family val="1"/>
      </rPr>
      <t xml:space="preserve">       </t>
    </r>
    <r>
      <rPr>
        <sz val="12"/>
        <color theme="1"/>
        <rFont val="Calibri"/>
        <family val="2"/>
        <scheme val="minor"/>
      </rPr>
      <t>Se capitalizează trimestrial</t>
    </r>
  </si>
  <si>
    <r>
      <t>d.</t>
    </r>
    <r>
      <rPr>
        <sz val="7"/>
        <color theme="1"/>
        <rFont val="Times New Roman"/>
        <family val="1"/>
      </rPr>
      <t xml:space="preserve">      </t>
    </r>
    <r>
      <rPr>
        <sz val="12"/>
        <color theme="1"/>
        <rFont val="Calibri"/>
        <family val="2"/>
        <scheme val="minor"/>
      </rPr>
      <t>Se achită integral la expirarea contractului</t>
    </r>
  </si>
  <si>
    <r>
      <t>11.</t>
    </r>
    <r>
      <rPr>
        <b/>
        <sz val="7"/>
        <color theme="1"/>
        <rFont val="Times New Roman"/>
        <family val="1"/>
      </rPr>
      <t xml:space="preserve">  </t>
    </r>
    <r>
      <rPr>
        <b/>
        <sz val="12"/>
        <color theme="1"/>
        <rFont val="Calibri"/>
        <family val="2"/>
        <scheme val="minor"/>
      </rPr>
      <t>Impozit pe dobândă:</t>
    </r>
    <r>
      <rPr>
        <sz val="12"/>
        <color theme="1"/>
        <rFont val="Calibri"/>
        <family val="2"/>
        <scheme val="minor"/>
      </rPr>
      <t xml:space="preserve"> 6%</t>
    </r>
  </si>
  <si>
    <r>
      <t>a.</t>
    </r>
    <r>
      <rPr>
        <sz val="7"/>
        <color theme="1"/>
        <rFont val="Times New Roman"/>
        <family val="1"/>
      </rPr>
      <t xml:space="preserve">       </t>
    </r>
    <r>
      <rPr>
        <sz val="12"/>
        <color theme="1"/>
        <rFont val="Calibri"/>
        <family val="2"/>
        <scheme val="minor"/>
      </rPr>
      <t>Reținut lunar, la fiecare capitalizare și plată</t>
    </r>
  </si>
  <si>
    <r>
      <t>b.</t>
    </r>
    <r>
      <rPr>
        <sz val="7"/>
        <color theme="1"/>
        <rFont val="Times New Roman"/>
        <family val="1"/>
      </rPr>
      <t xml:space="preserve">      </t>
    </r>
    <r>
      <rPr>
        <sz val="12"/>
        <color theme="1"/>
        <rFont val="Calibri"/>
        <family val="2"/>
        <scheme val="minor"/>
      </rPr>
      <t>Achitat până la data de 14 a lunii următoare, iar la achitarea finală – nu mai târziu de 25</t>
    </r>
  </si>
  <si>
    <r>
      <t>12.</t>
    </r>
    <r>
      <rPr>
        <b/>
        <sz val="7"/>
        <color theme="1"/>
        <rFont val="Times New Roman"/>
        <family val="1"/>
      </rPr>
      <t xml:space="preserve">  </t>
    </r>
    <r>
      <rPr>
        <b/>
        <sz val="12"/>
        <color theme="1"/>
        <rFont val="Calibri"/>
        <family val="2"/>
        <scheme val="minor"/>
      </rPr>
      <t>Data expirării contractului:</t>
    </r>
  </si>
  <si>
    <r>
      <t>a.</t>
    </r>
    <r>
      <rPr>
        <sz val="7"/>
        <color theme="1"/>
        <rFont val="Times New Roman"/>
        <family val="1"/>
      </rPr>
      <t xml:space="preserve">       </t>
    </r>
    <r>
      <rPr>
        <sz val="12"/>
        <color theme="1"/>
        <rFont val="Calibri"/>
        <family val="2"/>
        <scheme val="minor"/>
      </rPr>
      <t>Contractul expiră la ora 24 a ultimei zile a termenului</t>
    </r>
  </si>
  <si>
    <r>
      <t>b.</t>
    </r>
    <r>
      <rPr>
        <sz val="7"/>
        <color theme="1"/>
        <rFont val="Times New Roman"/>
        <family val="1"/>
      </rPr>
      <t xml:space="preserve">      </t>
    </r>
    <r>
      <rPr>
        <sz val="12"/>
        <color theme="1"/>
        <rFont val="Calibri"/>
        <family val="2"/>
        <scheme val="minor"/>
      </rPr>
      <t>Dacă data expirării este într-o zi nelucrătoare, termenul se prelungește până în prima zi lucrătoare următoare</t>
    </r>
  </si>
  <si>
    <t>Cerințe</t>
  </si>
  <si>
    <r>
      <t>1.</t>
    </r>
    <r>
      <rPr>
        <sz val="7"/>
        <color theme="1"/>
        <rFont val="Times New Roman"/>
        <family val="1"/>
      </rPr>
      <t xml:space="preserve">      </t>
    </r>
    <r>
      <rPr>
        <sz val="12"/>
        <color theme="1"/>
        <rFont val="Calibri"/>
        <family val="2"/>
        <scheme val="minor"/>
      </rPr>
      <t>Calculați dobânda aferentă fiecărei luni pe întreaga durată a contractului.</t>
    </r>
  </si>
  <si>
    <r>
      <t>2.</t>
    </r>
    <r>
      <rPr>
        <sz val="7"/>
        <color theme="1"/>
        <rFont val="Times New Roman"/>
        <family val="1"/>
      </rPr>
      <t xml:space="preserve">      </t>
    </r>
    <r>
      <rPr>
        <sz val="12"/>
        <color theme="1"/>
        <rFont val="Calibri"/>
        <family val="2"/>
        <scheme val="minor"/>
      </rPr>
      <t>Determinați valoarea dobânzii capitalizate trimestrial, netă de impozit.</t>
    </r>
  </si>
  <si>
    <r>
      <t>3.</t>
    </r>
    <r>
      <rPr>
        <sz val="7"/>
        <color theme="1"/>
        <rFont val="Times New Roman"/>
        <family val="1"/>
      </rPr>
      <t xml:space="preserve">      </t>
    </r>
    <r>
      <rPr>
        <sz val="12"/>
        <color theme="1"/>
        <rFont val="Calibri"/>
        <family val="2"/>
        <scheme val="minor"/>
      </rPr>
      <t>Calculați impozitul pe dobândă reținut și achitat lunar.</t>
    </r>
  </si>
  <si>
    <r>
      <t>4.</t>
    </r>
    <r>
      <rPr>
        <sz val="7"/>
        <color theme="1"/>
        <rFont val="Times New Roman"/>
        <family val="1"/>
      </rPr>
      <t xml:space="preserve">      </t>
    </r>
    <r>
      <rPr>
        <sz val="12"/>
        <color theme="1"/>
        <rFont val="Calibri"/>
        <family val="2"/>
        <scheme val="minor"/>
      </rPr>
      <t>Stabiliți soldul depunerii la sfârșitul fiecărui trimestru.</t>
    </r>
  </si>
  <si>
    <r>
      <t>5.</t>
    </r>
    <r>
      <rPr>
        <sz val="7"/>
        <color theme="1"/>
        <rFont val="Times New Roman"/>
        <family val="1"/>
      </rPr>
      <t xml:space="preserve">      </t>
    </r>
    <r>
      <rPr>
        <sz val="12"/>
        <color theme="1"/>
        <rFont val="Calibri"/>
        <family val="2"/>
        <scheme val="minor"/>
      </rPr>
      <t>Determinați suma totală încasată de membru la expirarea contractului.</t>
    </r>
  </si>
  <si>
    <r>
      <t>6.</t>
    </r>
    <r>
      <rPr>
        <sz val="7"/>
        <color theme="1"/>
        <rFont val="Times New Roman"/>
        <family val="1"/>
      </rPr>
      <t xml:space="preserve">      </t>
    </r>
    <r>
      <rPr>
        <sz val="12"/>
        <color theme="1"/>
        <rFont val="Calibri"/>
        <family val="2"/>
        <scheme val="minor"/>
      </rPr>
      <t>Prezentați înregistrările contabile aferente:</t>
    </r>
  </si>
  <si>
    <r>
      <t>a.</t>
    </r>
    <r>
      <rPr>
        <sz val="7"/>
        <color theme="1"/>
        <rFont val="Times New Roman"/>
        <family val="1"/>
      </rPr>
      <t xml:space="preserve">       </t>
    </r>
    <r>
      <rPr>
        <sz val="12"/>
        <color theme="1"/>
        <rFont val="Calibri"/>
        <family val="2"/>
        <scheme val="minor"/>
      </rPr>
      <t>semnării contractului (creanță contingentă);</t>
    </r>
  </si>
  <si>
    <r>
      <t>b.</t>
    </r>
    <r>
      <rPr>
        <sz val="7"/>
        <color theme="1"/>
        <rFont val="Times New Roman"/>
        <family val="1"/>
      </rPr>
      <t xml:space="preserve">      </t>
    </r>
    <r>
      <rPr>
        <sz val="12"/>
        <color theme="1"/>
        <rFont val="Calibri"/>
        <family val="2"/>
        <scheme val="minor"/>
      </rPr>
      <t>încasării sumei inițiale și a depunerilor suplimentare;</t>
    </r>
  </si>
  <si>
    <r>
      <t>c.</t>
    </r>
    <r>
      <rPr>
        <sz val="7"/>
        <color theme="1"/>
        <rFont val="Times New Roman"/>
        <family val="1"/>
      </rPr>
      <t xml:space="preserve">       </t>
    </r>
    <r>
      <rPr>
        <sz val="12"/>
        <color theme="1"/>
        <rFont val="Calibri"/>
        <family val="2"/>
        <scheme val="minor"/>
      </rPr>
      <t>calculului, plății și capitalizării dobânzii;</t>
    </r>
  </si>
  <si>
    <r>
      <t>d.</t>
    </r>
    <r>
      <rPr>
        <sz val="7"/>
        <color theme="1"/>
        <rFont val="Times New Roman"/>
        <family val="1"/>
      </rPr>
      <t xml:space="preserve">      </t>
    </r>
    <r>
      <rPr>
        <sz val="12"/>
        <color theme="1"/>
        <rFont val="Calibri"/>
        <family val="2"/>
        <scheme val="minor"/>
      </rPr>
      <t>reținerii și achitării impozitului;</t>
    </r>
  </si>
  <si>
    <r>
      <t>e.</t>
    </r>
    <r>
      <rPr>
        <sz val="7"/>
        <color theme="1"/>
        <rFont val="Times New Roman"/>
        <family val="1"/>
      </rPr>
      <t xml:space="preserve">      </t>
    </r>
    <r>
      <rPr>
        <sz val="12"/>
        <color theme="1"/>
        <rFont val="Calibri"/>
        <family val="2"/>
        <scheme val="minor"/>
      </rPr>
      <t>retragerilor trimestriale;</t>
    </r>
  </si>
  <si>
    <r>
      <t>f.</t>
    </r>
    <r>
      <rPr>
        <sz val="7"/>
        <color theme="1"/>
        <rFont val="Times New Roman"/>
        <family val="1"/>
      </rPr>
      <t xml:space="preserve">        </t>
    </r>
    <r>
      <rPr>
        <sz val="12"/>
        <color theme="1"/>
        <rFont val="Calibri"/>
        <family val="2"/>
        <scheme val="minor"/>
      </rPr>
      <t>închiderii finale a depunerii.</t>
    </r>
  </si>
  <si>
    <r>
      <t>Codul fiscal, Articolul 90</t>
    </r>
    <r>
      <rPr>
        <vertAlign val="superscript"/>
        <sz val="11"/>
        <rFont val="Calibri"/>
        <family val="2"/>
        <scheme val="minor"/>
      </rPr>
      <t>1</t>
    </r>
    <r>
      <rPr>
        <sz val="11"/>
        <rFont val="Calibri"/>
        <family val="2"/>
        <scheme val="minor"/>
      </rPr>
      <t>. Reţinerea finală a impozitului din unele tipuri de venit, alin. (37):
Băncile, asociaţiile de economii şi împrumut, ..., reţin un impozit în mărime de 6% din dobânzile achitate în folosul persoanelor fizice rezidente:
(Soldul contului 51321 "Dobânzi calculate la depunerile de economii pe termen scurt ale membrilor AEÎ", la data precedentă plății (îndreptării spre plată))  x 6%, rata impozitului conform prevederilor Codului fiscal)</t>
    </r>
  </si>
  <si>
    <r>
      <t>Codul fiscal, Articolul 90</t>
    </r>
    <r>
      <rPr>
        <vertAlign val="superscript"/>
        <sz val="11"/>
        <rFont val="Calibri"/>
        <family val="2"/>
        <scheme val="minor"/>
      </rPr>
      <t>1</t>
    </r>
    <r>
      <rPr>
        <sz val="11"/>
        <rFont val="Calibri"/>
        <family val="2"/>
        <scheme val="minor"/>
      </rPr>
      <t>. Reţinerea finală a impozitului din unele tipuri de venit, alin. (37):
Băncile, asociaţiile de economii şi împrumut, ..., reţin un impozit în mărime de 6% din dobânzile achitate în folosul persoanelor fizice rezidente:
(Soldul contului 51322 "Dobânzi calculate la sumele depunerilor de economii și a dobânzilor aferente, care sunt îndreptate spre plată", la data precedentă plății (îndreptării spre plată))  x 6%, rata impozitului conform prevederilor Codului fiscal)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</si>
</sst>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9">
    <font>
      <sz val="11"/>
      <color theme="1"/>
      <name val="Calibri"/>
      <family val="2"/>
      <charset val="238"/>
      <scheme val="minor"/>
    </font>
    <font>
      <sz val="12"/>
      <color theme="1"/>
      <name val="Calibri"/>
      <family val="2"/>
      <scheme val="minor"/>
    </font>
    <font>
      <sz val="11"/>
      <color theme="1"/>
      <name val="Calibri"/>
      <family val="2"/>
      <charset val="238"/>
      <scheme val="minor"/>
    </font>
    <font>
      <b/>
      <sz val="11"/>
      <color theme="1"/>
      <name val="Calibri"/>
      <family val="2"/>
      <scheme val="minor"/>
    </font>
    <font>
      <sz val="11"/>
      <color theme="1"/>
      <name val="Calibri"/>
      <family val="2"/>
      <scheme val="minor"/>
    </font>
    <font>
      <b/>
      <sz val="11"/>
      <name val="Calibri"/>
      <family val="2"/>
      <charset val="238"/>
    </font>
    <font>
      <sz val="10"/>
      <name val="Times New Roman CE"/>
      <family val="1"/>
      <charset val="238"/>
    </font>
    <font>
      <sz val="11"/>
      <color theme="0"/>
      <name val="Calibri"/>
      <family val="2"/>
      <charset val="238"/>
      <scheme val="minor"/>
    </font>
    <font>
      <sz val="12"/>
      <color theme="1"/>
      <name val="Times New Roman"/>
      <family val="1"/>
    </font>
    <font>
      <b/>
      <sz val="12"/>
      <color theme="1"/>
      <name val="Calibri"/>
      <family val="2"/>
      <scheme val="minor"/>
    </font>
    <font>
      <b/>
      <sz val="12"/>
      <color rgb="FFFF0000"/>
      <name val="Calibri"/>
      <family val="2"/>
      <scheme val="minor"/>
    </font>
    <font>
      <sz val="12"/>
      <color theme="1"/>
      <name val="Calibri"/>
      <family val="2"/>
      <scheme val="minor"/>
    </font>
    <font>
      <b/>
      <i/>
      <sz val="12"/>
      <color theme="1"/>
      <name val="Calibri"/>
      <family val="2"/>
      <scheme val="minor"/>
    </font>
    <font>
      <sz val="12"/>
      <name val="Times New Roman"/>
      <family val="1"/>
    </font>
    <font>
      <b/>
      <sz val="12"/>
      <color rgb="FF0D0D0D"/>
      <name val="Times New Roman"/>
      <family val="1"/>
    </font>
    <font>
      <b/>
      <sz val="12"/>
      <name val="Times New Roman"/>
      <family val="1"/>
    </font>
    <font>
      <sz val="12"/>
      <color rgb="FF0D0D0D"/>
      <name val="Times New Roman"/>
      <family val="1"/>
    </font>
    <font>
      <b/>
      <i/>
      <sz val="14"/>
      <color rgb="FF0070C0"/>
      <name val="Calibri"/>
      <family val="2"/>
      <scheme val="minor"/>
    </font>
    <font>
      <b/>
      <sz val="14"/>
      <color theme="1"/>
      <name val="Calibri"/>
      <family val="2"/>
      <scheme val="minor"/>
    </font>
    <font>
      <b/>
      <sz val="14"/>
      <name val="Calibri"/>
      <family val="2"/>
      <scheme val="minor"/>
    </font>
    <font>
      <b/>
      <i/>
      <sz val="14"/>
      <color rgb="FFFF0000"/>
      <name val="Calibri"/>
      <family val="2"/>
      <scheme val="minor"/>
    </font>
    <font>
      <b/>
      <sz val="7"/>
      <color theme="1"/>
      <name val="Times New Roman"/>
      <family val="1"/>
    </font>
    <font>
      <sz val="7"/>
      <color theme="1"/>
      <name val="Times New Roman"/>
      <family val="1"/>
    </font>
    <font>
      <b/>
      <sz val="11"/>
      <color rgb="FF000000"/>
      <name val="Calibri"/>
      <family val="2"/>
      <scheme val="minor"/>
    </font>
    <font>
      <sz val="11"/>
      <color rgb="FF000000"/>
      <name val="Calibri"/>
      <family val="2"/>
      <scheme val="minor"/>
    </font>
    <font>
      <b/>
      <sz val="10"/>
      <color theme="1"/>
      <name val="Calibri"/>
      <family val="2"/>
      <scheme val="minor"/>
    </font>
    <font>
      <sz val="11"/>
      <name val="Calibri"/>
      <family val="2"/>
      <scheme val="minor"/>
    </font>
    <font>
      <vertAlign val="superscript"/>
      <sz val="11"/>
      <name val="Calibri"/>
      <family val="2"/>
      <scheme val="minor"/>
    </font>
    <font>
      <sz val="11"/>
      <color rgb="FFFF000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8"/>
      </patternFill>
    </fill>
    <fill>
      <patternFill patternType="solid">
        <fgColor rgb="FF4BFF9C"/>
        <bgColor indexed="64"/>
      </patternFill>
    </fill>
    <fill>
      <patternFill patternType="solid">
        <fgColor theme="7" tint="0.39997558519241921"/>
        <bgColor indexed="64"/>
      </patternFill>
    </fill>
    <fill>
      <patternFill patternType="solid">
        <fgColor rgb="FF61D6FF"/>
        <bgColor indexed="64"/>
      </patternFill>
    </fill>
    <fill>
      <patternFill patternType="solid">
        <fgColor rgb="FFF2A068"/>
        <bgColor indexed="64"/>
      </patternFill>
    </fill>
    <fill>
      <patternFill patternType="solid">
        <fgColor rgb="FF66FFCC"/>
        <bgColor indexed="64"/>
      </patternFill>
    </fill>
    <fill>
      <patternFill patternType="solid">
        <fgColor rgb="FF00FF99"/>
        <bgColor indexed="64"/>
      </patternFill>
    </fill>
    <fill>
      <patternFill patternType="solid">
        <fgColor rgb="FFFF99CC"/>
        <bgColor indexed="64"/>
      </patternFill>
    </fill>
    <fill>
      <patternFill patternType="solid">
        <fgColor rgb="FFFFFFCC"/>
        <bgColor indexed="64"/>
      </patternFill>
    </fill>
    <fill>
      <patternFill patternType="solid">
        <fgColor theme="5" tint="0.39997558519241921"/>
        <bgColor indexed="64"/>
      </patternFill>
    </fill>
    <fill>
      <patternFill patternType="solid">
        <fgColor theme="4" tint="0.39997558519241921"/>
        <bgColor indexed="64"/>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3" fontId="2" fillId="0" borderId="0" applyFont="0" applyFill="0" applyBorder="0" applyAlignment="0" applyProtection="0"/>
    <xf numFmtId="0" fontId="7" fillId="3" borderId="0" applyNumberFormat="0" applyBorder="0" applyAlignment="0" applyProtection="0"/>
    <xf numFmtId="0" fontId="2" fillId="0" borderId="0"/>
  </cellStyleXfs>
  <cellXfs count="131">
    <xf numFmtId="0" fontId="0" fillId="0" borderId="0" xfId="0"/>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xf>
    <xf numFmtId="0" fontId="5" fillId="0" borderId="0" xfId="0" applyFont="1"/>
    <xf numFmtId="0" fontId="6" fillId="0" borderId="0" xfId="0" applyFont="1"/>
    <xf numFmtId="0" fontId="8" fillId="0" borderId="0" xfId="0" applyFont="1" applyAlignment="1">
      <alignment horizontal="left" vertical="center"/>
    </xf>
    <xf numFmtId="43" fontId="9" fillId="0" borderId="0" xfId="1" applyFont="1" applyAlignment="1">
      <alignment horizontal="center" vertical="center"/>
    </xf>
    <xf numFmtId="0" fontId="9" fillId="0" borderId="0" xfId="0" applyFont="1" applyAlignment="1">
      <alignment horizontal="center" vertical="center"/>
    </xf>
    <xf numFmtId="43" fontId="9" fillId="0" borderId="0" xfId="1" applyFont="1" applyAlignment="1" applyProtection="1">
      <alignment horizontal="center" vertical="center"/>
    </xf>
    <xf numFmtId="43" fontId="9" fillId="2" borderId="0" xfId="1" applyFont="1" applyFill="1" applyAlignment="1">
      <alignment horizontal="center" vertical="center"/>
    </xf>
    <xf numFmtId="14" fontId="10" fillId="0" borderId="0" xfId="0" applyNumberFormat="1" applyFont="1" applyAlignment="1">
      <alignment horizontal="center" vertical="center"/>
    </xf>
    <xf numFmtId="9" fontId="11" fillId="0" borderId="0" xfId="0" applyNumberFormat="1" applyFont="1" applyAlignment="1">
      <alignment horizontal="center" vertical="center"/>
    </xf>
    <xf numFmtId="0" fontId="11" fillId="0" borderId="0" xfId="0" applyFont="1" applyAlignment="1">
      <alignment horizontal="center" vertical="center"/>
    </xf>
    <xf numFmtId="43" fontId="11" fillId="4" borderId="0" xfId="1" applyFont="1" applyFill="1" applyAlignment="1">
      <alignment horizontal="center" vertical="center"/>
    </xf>
    <xf numFmtId="49" fontId="11" fillId="7" borderId="0" xfId="1" applyNumberFormat="1" applyFont="1" applyFill="1" applyBorder="1" applyAlignment="1">
      <alignment horizontal="center" vertical="center"/>
    </xf>
    <xf numFmtId="43" fontId="11" fillId="0" borderId="0" xfId="1" applyFont="1" applyAlignment="1">
      <alignment horizontal="center" vertical="center"/>
    </xf>
    <xf numFmtId="9" fontId="11" fillId="0" borderId="0" xfId="1" applyNumberFormat="1" applyFont="1" applyAlignment="1">
      <alignment horizontal="center" vertical="center"/>
    </xf>
    <xf numFmtId="0" fontId="11" fillId="0" borderId="0" xfId="0" applyFont="1" applyAlignment="1">
      <alignment wrapText="1"/>
    </xf>
    <xf numFmtId="14" fontId="11" fillId="0" borderId="0" xfId="0" applyNumberFormat="1" applyFont="1" applyAlignment="1">
      <alignment horizontal="center" vertical="center"/>
    </xf>
    <xf numFmtId="43" fontId="11" fillId="0" borderId="0" xfId="1" applyFont="1" applyAlignment="1" applyProtection="1">
      <alignment horizontal="center" vertical="center"/>
    </xf>
    <xf numFmtId="43" fontId="11" fillId="2" borderId="0" xfId="1" applyFont="1" applyFill="1" applyAlignment="1">
      <alignment horizontal="center" vertical="center"/>
    </xf>
    <xf numFmtId="43" fontId="11" fillId="7" borderId="0" xfId="1" applyFont="1" applyFill="1" applyAlignment="1">
      <alignment horizontal="center" vertical="center"/>
    </xf>
    <xf numFmtId="0" fontId="11" fillId="0" borderId="0" xfId="0" applyFont="1" applyAlignment="1">
      <alignment horizontal="left" vertical="center" wrapText="1"/>
    </xf>
    <xf numFmtId="43" fontId="11" fillId="3" borderId="0" xfId="2" applyNumberFormat="1" applyFont="1" applyAlignment="1">
      <alignment horizontal="center" vertical="center"/>
    </xf>
    <xf numFmtId="43" fontId="11" fillId="0" borderId="0" xfId="1" applyFont="1" applyFill="1" applyAlignment="1">
      <alignment horizontal="center" vertical="center"/>
    </xf>
    <xf numFmtId="14" fontId="12" fillId="0" borderId="0" xfId="0" applyNumberFormat="1" applyFont="1" applyAlignment="1">
      <alignment horizontal="center" vertical="center"/>
    </xf>
    <xf numFmtId="0" fontId="12" fillId="0" borderId="0" xfId="0" applyFont="1" applyAlignment="1">
      <alignment horizontal="center" vertical="center"/>
    </xf>
    <xf numFmtId="0" fontId="13" fillId="0" borderId="0" xfId="0" applyFont="1" applyAlignment="1">
      <alignment vertical="center"/>
    </xf>
    <xf numFmtId="0" fontId="14" fillId="0" borderId="4" xfId="3" applyFont="1" applyBorder="1" applyAlignment="1">
      <alignment horizontal="center" vertical="center" wrapText="1"/>
    </xf>
    <xf numFmtId="0" fontId="14" fillId="0" borderId="4" xfId="3" applyFont="1" applyBorder="1" applyAlignment="1">
      <alignment horizontal="left" vertical="center" wrapText="1"/>
    </xf>
    <xf numFmtId="0" fontId="8" fillId="0" borderId="4" xfId="0" applyFont="1" applyBorder="1" applyAlignment="1">
      <alignment horizontal="left" vertical="center"/>
    </xf>
    <xf numFmtId="0" fontId="13" fillId="0" borderId="0" xfId="0" applyFont="1"/>
    <xf numFmtId="0" fontId="14" fillId="2" borderId="0" xfId="3" applyFont="1" applyFill="1" applyAlignment="1">
      <alignment horizontal="center" vertical="center" wrapText="1"/>
    </xf>
    <xf numFmtId="0" fontId="14" fillId="2" borderId="0" xfId="3" applyFont="1" applyFill="1" applyAlignment="1">
      <alignment horizontal="left" vertical="center" wrapText="1"/>
    </xf>
    <xf numFmtId="0" fontId="13" fillId="0" borderId="4" xfId="3" applyFont="1" applyBorder="1" applyAlignment="1">
      <alignment horizontal="center" vertical="center" wrapText="1"/>
    </xf>
    <xf numFmtId="0" fontId="13" fillId="0" borderId="4" xfId="3" applyFont="1" applyBorder="1" applyAlignment="1">
      <alignment horizontal="left" vertical="center" wrapText="1"/>
    </xf>
    <xf numFmtId="0" fontId="15" fillId="0" borderId="4" xfId="0" applyFont="1" applyBorder="1" applyAlignment="1">
      <alignment horizontal="center" vertical="center"/>
    </xf>
    <xf numFmtId="0" fontId="15" fillId="0" borderId="4" xfId="3" applyFont="1" applyBorder="1" applyAlignment="1">
      <alignment horizontal="left" vertical="center"/>
    </xf>
    <xf numFmtId="0" fontId="15" fillId="0" borderId="0" xfId="0" applyFont="1" applyAlignment="1">
      <alignment horizontal="center" vertical="center"/>
    </xf>
    <xf numFmtId="0" fontId="15" fillId="0" borderId="0" xfId="3" applyFont="1" applyAlignment="1">
      <alignment horizontal="left" vertical="center"/>
    </xf>
    <xf numFmtId="0" fontId="13" fillId="8" borderId="4" xfId="0" applyFont="1" applyFill="1" applyBorder="1" applyAlignment="1">
      <alignment horizontal="center" vertical="center"/>
    </xf>
    <xf numFmtId="0" fontId="13" fillId="8" borderId="4" xfId="3" applyFont="1" applyFill="1" applyBorder="1" applyAlignment="1">
      <alignment horizontal="left" vertical="center"/>
    </xf>
    <xf numFmtId="0" fontId="8" fillId="8" borderId="4" xfId="0" applyFont="1" applyFill="1" applyBorder="1" applyAlignment="1">
      <alignment horizontal="left" vertical="center"/>
    </xf>
    <xf numFmtId="0" fontId="13" fillId="0" borderId="0" xfId="0" applyFont="1" applyAlignment="1">
      <alignment horizontal="center" vertical="center"/>
    </xf>
    <xf numFmtId="0" fontId="13" fillId="0" borderId="0" xfId="0" applyFont="1" applyAlignment="1">
      <alignment horizontal="left" vertical="center"/>
    </xf>
    <xf numFmtId="0" fontId="13" fillId="9" borderId="4" xfId="0" applyFont="1" applyFill="1" applyBorder="1" applyAlignment="1">
      <alignment horizontal="center" vertical="center"/>
    </xf>
    <xf numFmtId="0" fontId="13" fillId="9" borderId="4" xfId="3" applyFont="1" applyFill="1" applyBorder="1" applyAlignment="1">
      <alignment horizontal="left" vertical="center"/>
    </xf>
    <xf numFmtId="0" fontId="13" fillId="0" borderId="0" xfId="0" applyFont="1" applyAlignment="1">
      <alignment horizontal="justify" vertical="center"/>
    </xf>
    <xf numFmtId="0" fontId="16" fillId="0" borderId="4" xfId="3" applyFont="1" applyBorder="1" applyAlignment="1">
      <alignment horizontal="center" vertical="center" wrapText="1"/>
    </xf>
    <xf numFmtId="0" fontId="16" fillId="0" borderId="4" xfId="3" applyFont="1" applyBorder="1" applyAlignment="1">
      <alignment horizontal="left" vertical="center" wrapText="1"/>
    </xf>
    <xf numFmtId="0" fontId="8" fillId="0" borderId="0" xfId="0" applyFont="1" applyAlignment="1">
      <alignment horizontal="center" vertical="center"/>
    </xf>
    <xf numFmtId="43" fontId="11" fillId="10" borderId="0" xfId="1" applyFont="1" applyFill="1" applyAlignment="1">
      <alignment horizontal="center" vertical="center"/>
    </xf>
    <xf numFmtId="14" fontId="17" fillId="0" borderId="0" xfId="0" applyNumberFormat="1" applyFont="1" applyAlignment="1">
      <alignment horizontal="center" vertical="center"/>
    </xf>
    <xf numFmtId="0" fontId="17" fillId="0" borderId="0" xfId="0" applyFont="1" applyAlignment="1">
      <alignment horizontal="center" vertical="center"/>
    </xf>
    <xf numFmtId="43" fontId="17" fillId="0" borderId="0" xfId="1" applyFont="1" applyAlignment="1">
      <alignment horizontal="center" vertical="center"/>
    </xf>
    <xf numFmtId="43" fontId="17" fillId="4" borderId="0" xfId="1" applyFont="1" applyFill="1" applyAlignment="1">
      <alignment horizontal="center" vertical="center"/>
    </xf>
    <xf numFmtId="43" fontId="17" fillId="2" borderId="0" xfId="1" applyFont="1" applyFill="1" applyAlignment="1">
      <alignment horizontal="center" vertical="center"/>
    </xf>
    <xf numFmtId="0" fontId="17" fillId="0" borderId="0" xfId="0" applyFont="1" applyAlignment="1">
      <alignment horizontal="left" vertical="center" wrapText="1"/>
    </xf>
    <xf numFmtId="0" fontId="18" fillId="0" borderId="0" xfId="0" applyFont="1" applyAlignment="1">
      <alignment horizontal="center" vertical="center"/>
    </xf>
    <xf numFmtId="43" fontId="18" fillId="0" borderId="0" xfId="1" applyFont="1" applyAlignment="1">
      <alignment horizontal="center" vertical="center"/>
    </xf>
    <xf numFmtId="43" fontId="19" fillId="4" borderId="0" xfId="1" applyFont="1" applyFill="1" applyAlignment="1">
      <alignment horizontal="center" vertical="center"/>
    </xf>
    <xf numFmtId="43" fontId="18" fillId="4" borderId="0" xfId="1" applyFont="1" applyFill="1" applyAlignment="1">
      <alignment horizontal="center" vertical="center"/>
    </xf>
    <xf numFmtId="164" fontId="18" fillId="0" borderId="0" xfId="1" applyNumberFormat="1" applyFont="1" applyAlignment="1">
      <alignment horizontal="center" vertical="center"/>
    </xf>
    <xf numFmtId="43" fontId="20" fillId="0" borderId="0" xfId="1" applyFont="1" applyAlignment="1">
      <alignment horizontal="center" vertical="center"/>
    </xf>
    <xf numFmtId="0" fontId="11" fillId="4" borderId="0" xfId="0" applyFont="1" applyFill="1" applyAlignment="1">
      <alignment horizontal="left" vertical="center" wrapText="1"/>
    </xf>
    <xf numFmtId="49" fontId="11" fillId="7" borderId="0" xfId="1" applyNumberFormat="1" applyFont="1" applyFill="1" applyBorder="1" applyAlignment="1">
      <alignment horizontal="left" vertical="center"/>
    </xf>
    <xf numFmtId="49" fontId="9" fillId="7" borderId="0" xfId="1" applyNumberFormat="1" applyFont="1" applyFill="1" applyBorder="1" applyAlignment="1">
      <alignment horizontal="center" vertical="center"/>
    </xf>
    <xf numFmtId="9" fontId="9" fillId="0" borderId="0" xfId="1" applyNumberFormat="1" applyFont="1" applyAlignment="1">
      <alignment horizontal="center" vertical="center"/>
    </xf>
    <xf numFmtId="43" fontId="9" fillId="7" borderId="0" xfId="1" applyFont="1" applyFill="1" applyAlignment="1">
      <alignment horizontal="center" vertical="center"/>
    </xf>
    <xf numFmtId="0" fontId="11" fillId="0" borderId="0" xfId="0" applyFont="1" applyAlignment="1">
      <alignment horizontal="left" vertical="center"/>
    </xf>
    <xf numFmtId="0" fontId="11" fillId="7" borderId="0" xfId="0" applyFont="1" applyFill="1" applyAlignment="1">
      <alignment horizontal="left" vertical="center" wrapText="1"/>
    </xf>
    <xf numFmtId="0" fontId="11" fillId="0" borderId="0" xfId="1" applyNumberFormat="1" applyFont="1" applyAlignment="1">
      <alignment horizontal="center" vertical="center"/>
    </xf>
    <xf numFmtId="0" fontId="9" fillId="0" borderId="0" xfId="1" applyNumberFormat="1" applyFont="1" applyAlignment="1">
      <alignment horizontal="center" vertical="center"/>
    </xf>
    <xf numFmtId="0" fontId="9" fillId="0" borderId="0" xfId="0" applyFont="1" applyAlignment="1">
      <alignment horizontal="justify" vertical="center"/>
    </xf>
    <xf numFmtId="0" fontId="11" fillId="0" borderId="0" xfId="0" applyFont="1" applyAlignment="1">
      <alignment horizontal="justify" vertical="center"/>
    </xf>
    <xf numFmtId="0" fontId="23" fillId="0" borderId="0" xfId="0" applyFont="1" applyAlignment="1">
      <alignment vertical="center"/>
    </xf>
    <xf numFmtId="0" fontId="24" fillId="0" borderId="0" xfId="0" applyFont="1" applyAlignment="1">
      <alignment vertical="center"/>
    </xf>
    <xf numFmtId="0" fontId="9" fillId="0" borderId="0" xfId="0" applyFont="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0" fontId="25" fillId="0" borderId="4" xfId="0" applyFont="1" applyBorder="1" applyAlignment="1">
      <alignment horizontal="center" vertical="center" wrapText="1"/>
    </xf>
    <xf numFmtId="1" fontId="25" fillId="0" borderId="4" xfId="1" applyNumberFormat="1" applyFont="1" applyBorder="1" applyAlignment="1">
      <alignment horizontal="center" vertical="center" wrapText="1"/>
    </xf>
    <xf numFmtId="43" fontId="25" fillId="0" borderId="4" xfId="1" applyFont="1" applyBorder="1" applyAlignment="1">
      <alignment horizontal="center" vertical="center" wrapText="1"/>
    </xf>
    <xf numFmtId="1" fontId="25" fillId="0" borderId="0" xfId="0" applyNumberFormat="1" applyFont="1" applyAlignment="1">
      <alignment horizontal="center" vertical="center" wrapText="1"/>
    </xf>
    <xf numFmtId="0" fontId="25"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1" fontId="4" fillId="0" borderId="0" xfId="1" applyNumberFormat="1" applyFont="1" applyAlignment="1">
      <alignment horizontal="center" vertical="center" wrapText="1"/>
    </xf>
    <xf numFmtId="43" fontId="4" fillId="0" borderId="0" xfId="1" applyFont="1" applyAlignment="1">
      <alignment horizontal="center" vertical="center" wrapText="1"/>
    </xf>
    <xf numFmtId="1" fontId="4" fillId="0" borderId="0" xfId="1" applyNumberFormat="1" applyFont="1" applyAlignment="1">
      <alignment horizontal="left" vertical="center" wrapText="1"/>
    </xf>
    <xf numFmtId="1" fontId="4" fillId="0" borderId="0" xfId="0" applyNumberFormat="1" applyFont="1" applyAlignment="1">
      <alignment horizontal="left" vertical="center" wrapText="1"/>
    </xf>
    <xf numFmtId="0" fontId="4" fillId="0" borderId="0" xfId="0" applyFont="1" applyAlignment="1">
      <alignment horizontal="left" vertical="center" wrapText="1"/>
    </xf>
    <xf numFmtId="0" fontId="4" fillId="0" borderId="4" xfId="0" applyFont="1" applyBorder="1" applyAlignment="1">
      <alignment horizontal="center" vertical="center" wrapText="1"/>
    </xf>
    <xf numFmtId="0" fontId="3" fillId="0" borderId="4" xfId="0" applyFont="1" applyBorder="1" applyAlignment="1">
      <alignment horizontal="left" vertical="center" wrapText="1"/>
    </xf>
    <xf numFmtId="1" fontId="4" fillId="0" borderId="4" xfId="1" applyNumberFormat="1" applyFont="1" applyBorder="1" applyAlignment="1">
      <alignment horizontal="center" vertical="center" wrapText="1"/>
    </xf>
    <xf numFmtId="43" fontId="4" fillId="0" borderId="4" xfId="1" applyFont="1" applyBorder="1" applyAlignment="1">
      <alignment horizontal="center" vertical="center" wrapText="1"/>
    </xf>
    <xf numFmtId="1" fontId="4" fillId="0" borderId="4" xfId="1" applyNumberFormat="1" applyFont="1" applyBorder="1" applyAlignment="1">
      <alignment horizontal="left" vertical="center" wrapText="1"/>
    </xf>
    <xf numFmtId="14" fontId="4" fillId="0" borderId="4" xfId="0" applyNumberFormat="1" applyFont="1" applyBorder="1" applyAlignment="1">
      <alignment horizontal="center" vertical="center" wrapText="1"/>
    </xf>
    <xf numFmtId="0" fontId="4" fillId="0" borderId="4" xfId="0" applyFont="1" applyBorder="1" applyAlignment="1">
      <alignment horizontal="left" vertical="center" wrapText="1"/>
    </xf>
    <xf numFmtId="49" fontId="4" fillId="0" borderId="4" xfId="0" applyNumberFormat="1" applyFont="1" applyBorder="1" applyAlignment="1">
      <alignment horizontal="center" vertical="center" wrapText="1"/>
    </xf>
    <xf numFmtId="1" fontId="26" fillId="0" borderId="4" xfId="1" applyNumberFormat="1" applyFont="1" applyBorder="1" applyAlignment="1">
      <alignment horizontal="center" vertical="center" wrapText="1"/>
    </xf>
    <xf numFmtId="43" fontId="4" fillId="4" borderId="0" xfId="1" applyFont="1" applyFill="1" applyAlignment="1">
      <alignment horizontal="center" vertical="center"/>
    </xf>
    <xf numFmtId="43" fontId="4" fillId="11" borderId="4" xfId="1" applyFont="1" applyFill="1" applyBorder="1" applyAlignment="1">
      <alignment horizontal="center" vertical="center" wrapText="1"/>
    </xf>
    <xf numFmtId="2" fontId="4" fillId="0" borderId="4" xfId="1" applyNumberFormat="1" applyFont="1" applyBorder="1" applyAlignment="1">
      <alignment horizontal="left" vertical="center" wrapText="1"/>
    </xf>
    <xf numFmtId="0" fontId="4" fillId="11" borderId="4" xfId="0" applyFont="1" applyFill="1" applyBorder="1" applyAlignment="1">
      <alignment horizontal="left" vertical="center" wrapText="1"/>
    </xf>
    <xf numFmtId="43" fontId="4" fillId="7" borderId="4" xfId="1" applyFont="1" applyFill="1" applyBorder="1" applyAlignment="1">
      <alignment horizontal="center" vertical="center"/>
    </xf>
    <xf numFmtId="0" fontId="26" fillId="12" borderId="4" xfId="0" applyFont="1" applyFill="1" applyBorder="1" applyAlignment="1">
      <alignment horizontal="left" vertical="center" wrapText="1"/>
    </xf>
    <xf numFmtId="43" fontId="4" fillId="7" borderId="0" xfId="1" applyFont="1" applyFill="1" applyAlignment="1">
      <alignment horizontal="center" vertical="center"/>
    </xf>
    <xf numFmtId="43" fontId="4" fillId="2" borderId="5" xfId="1" applyFont="1" applyFill="1" applyBorder="1" applyAlignment="1">
      <alignment horizontal="center" vertical="center"/>
    </xf>
    <xf numFmtId="0" fontId="4" fillId="2" borderId="4" xfId="0" applyFont="1" applyFill="1" applyBorder="1" applyAlignment="1">
      <alignment horizontal="left" vertical="center" wrapText="1"/>
    </xf>
    <xf numFmtId="43" fontId="4" fillId="2" borderId="0" xfId="1" applyFont="1" applyFill="1" applyAlignment="1">
      <alignment horizontal="center" vertical="center"/>
    </xf>
    <xf numFmtId="43" fontId="4" fillId="4" borderId="4" xfId="1" applyFont="1" applyFill="1" applyBorder="1" applyAlignment="1">
      <alignment horizontal="left" vertical="center" wrapText="1"/>
    </xf>
    <xf numFmtId="14" fontId="26" fillId="0" borderId="4" xfId="0" applyNumberFormat="1" applyFont="1" applyBorder="1" applyAlignment="1">
      <alignment horizontal="center" vertical="center" wrapText="1"/>
    </xf>
    <xf numFmtId="43" fontId="28" fillId="7" borderId="4" xfId="1" applyFont="1" applyFill="1" applyBorder="1" applyAlignment="1">
      <alignment horizontal="center" vertical="center"/>
    </xf>
    <xf numFmtId="43" fontId="4" fillId="10" borderId="0" xfId="1" applyFont="1" applyFill="1" applyAlignment="1">
      <alignment horizontal="center" vertical="center"/>
    </xf>
    <xf numFmtId="0" fontId="4" fillId="10" borderId="4" xfId="0" applyFont="1" applyFill="1" applyBorder="1" applyAlignment="1">
      <alignment horizontal="left" vertical="center" wrapText="1"/>
    </xf>
    <xf numFmtId="43" fontId="4" fillId="3" borderId="0" xfId="2" applyNumberFormat="1" applyFont="1" applyAlignment="1">
      <alignment horizontal="center" vertical="center"/>
    </xf>
    <xf numFmtId="0" fontId="4" fillId="13" borderId="0" xfId="0" applyFont="1" applyFill="1" applyAlignment="1">
      <alignment horizontal="left" vertical="center" wrapText="1"/>
    </xf>
    <xf numFmtId="43" fontId="26" fillId="7" borderId="4" xfId="1" applyFont="1" applyFill="1" applyBorder="1" applyAlignment="1">
      <alignment horizontal="center" vertical="center"/>
    </xf>
    <xf numFmtId="43" fontId="4" fillId="2" borderId="4" xfId="1" applyFont="1" applyFill="1" applyBorder="1" applyAlignment="1">
      <alignment horizontal="center" vertical="center"/>
    </xf>
    <xf numFmtId="1" fontId="28" fillId="0" borderId="4" xfId="1" applyNumberFormat="1" applyFont="1" applyBorder="1" applyAlignment="1">
      <alignment horizontal="center" vertical="center" wrapText="1"/>
    </xf>
    <xf numFmtId="49" fontId="11" fillId="2" borderId="1" xfId="1" applyNumberFormat="1" applyFont="1" applyFill="1" applyBorder="1" applyAlignment="1">
      <alignment horizontal="center" vertical="center"/>
    </xf>
    <xf numFmtId="49" fontId="11" fillId="2" borderId="2" xfId="1" applyNumberFormat="1" applyFont="1" applyFill="1" applyBorder="1" applyAlignment="1">
      <alignment horizontal="center" vertical="center"/>
    </xf>
    <xf numFmtId="49" fontId="11" fillId="2" borderId="3" xfId="1" applyNumberFormat="1" applyFont="1" applyFill="1" applyBorder="1" applyAlignment="1">
      <alignment horizontal="center" vertical="center"/>
    </xf>
    <xf numFmtId="49" fontId="11" fillId="6" borderId="1" xfId="1" applyNumberFormat="1" applyFont="1" applyFill="1" applyBorder="1" applyAlignment="1">
      <alignment horizontal="center" vertical="center"/>
    </xf>
    <xf numFmtId="49" fontId="11" fillId="6" borderId="2" xfId="1" applyNumberFormat="1" applyFont="1" applyFill="1" applyBorder="1" applyAlignment="1">
      <alignment horizontal="center" vertical="center"/>
    </xf>
    <xf numFmtId="49" fontId="11" fillId="6" borderId="3" xfId="1" applyNumberFormat="1" applyFont="1" applyFill="1" applyBorder="1" applyAlignment="1">
      <alignment horizontal="center" vertical="center"/>
    </xf>
    <xf numFmtId="49" fontId="11" fillId="5" borderId="1" xfId="1" applyNumberFormat="1" applyFont="1" applyFill="1" applyBorder="1" applyAlignment="1">
      <alignment horizontal="center" vertical="center"/>
    </xf>
    <xf numFmtId="49" fontId="11" fillId="5" borderId="2" xfId="1" applyNumberFormat="1" applyFont="1" applyFill="1" applyBorder="1" applyAlignment="1">
      <alignment horizontal="center" vertical="center"/>
    </xf>
    <xf numFmtId="49" fontId="11" fillId="5" borderId="3" xfId="1" applyNumberFormat="1" applyFont="1" applyFill="1" applyBorder="1" applyAlignment="1">
      <alignment horizontal="center" vertical="center"/>
    </xf>
  </cellXfs>
  <cellStyles count="4">
    <cellStyle name="Accent5" xfId="2" builtinId="45"/>
    <cellStyle name="Comma" xfId="1" builtinId="3"/>
    <cellStyle name="Normal" xfId="0" builtinId="0"/>
    <cellStyle name="Normal 2" xfId="3" xr:uid="{379AA610-2405-410E-B5CA-CFF1447AC572}"/>
  </cellStyles>
  <dxfs count="0"/>
  <tableStyles count="0" defaultTableStyle="TableStyleMedium2" defaultPivotStyle="PivotStyleLight16"/>
  <colors>
    <mruColors>
      <color rgb="FF0F14D7"/>
      <color rgb="FFF2A068"/>
      <color rgb="FF4BFF9C"/>
      <color rgb="FFFFFF00"/>
      <color rgb="FFFF7C80"/>
      <color rgb="FF61D6FF"/>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6A2BF-C808-4995-B062-D3DA2D8A7963}">
  <dimension ref="B1:E55"/>
  <sheetViews>
    <sheetView tabSelected="1" topLeftCell="A11" workbookViewId="0">
      <selection activeCell="C43" sqref="C43"/>
    </sheetView>
  </sheetViews>
  <sheetFormatPr baseColWidth="10" defaultColWidth="8.83203125" defaultRowHeight="15"/>
  <cols>
    <col min="1" max="1" width="5.33203125" customWidth="1"/>
    <col min="2" max="2" width="11.33203125" style="3" customWidth="1"/>
    <col min="3" max="3" width="86.6640625" customWidth="1"/>
  </cols>
  <sheetData>
    <row r="1" spans="2:5" s="3" customFormat="1" ht="16">
      <c r="B1" s="78" t="s">
        <v>235</v>
      </c>
      <c r="C1" s="74"/>
    </row>
    <row r="2" spans="2:5" s="3" customFormat="1">
      <c r="B2" s="77" t="s">
        <v>236</v>
      </c>
    </row>
    <row r="3" spans="2:5" s="3" customFormat="1" ht="16">
      <c r="B3" s="78" t="s">
        <v>237</v>
      </c>
      <c r="C3" s="74"/>
    </row>
    <row r="4" spans="2:5" s="3" customFormat="1" ht="16">
      <c r="B4" s="78" t="s">
        <v>238</v>
      </c>
      <c r="C4" s="74"/>
    </row>
    <row r="5" spans="2:5" s="3" customFormat="1" ht="16">
      <c r="B5" s="78" t="s">
        <v>239</v>
      </c>
      <c r="C5" s="74"/>
    </row>
    <row r="6" spans="2:5" s="3" customFormat="1" ht="16">
      <c r="B6" s="78" t="s">
        <v>240</v>
      </c>
      <c r="C6" s="74"/>
    </row>
    <row r="7" spans="2:5" s="3" customFormat="1" ht="16">
      <c r="B7" s="78" t="s">
        <v>241</v>
      </c>
      <c r="C7" s="74"/>
    </row>
    <row r="8" spans="2:5" s="3" customFormat="1" ht="16">
      <c r="B8" s="78" t="s">
        <v>242</v>
      </c>
      <c r="C8" s="74"/>
    </row>
    <row r="9" spans="2:5" s="3" customFormat="1" ht="17">
      <c r="B9" s="70"/>
      <c r="C9" s="75" t="s">
        <v>243</v>
      </c>
      <c r="E9" s="4"/>
    </row>
    <row r="10" spans="2:5" s="3" customFormat="1" ht="34">
      <c r="B10" s="70"/>
      <c r="C10" s="75" t="s">
        <v>244</v>
      </c>
      <c r="E10" s="5"/>
    </row>
    <row r="11" spans="2:5" s="3" customFormat="1">
      <c r="B11" s="79" t="s">
        <v>245</v>
      </c>
      <c r="C11" s="76"/>
    </row>
    <row r="12" spans="2:5" s="3" customFormat="1">
      <c r="B12" s="80"/>
      <c r="C12" s="77" t="s">
        <v>6</v>
      </c>
    </row>
    <row r="13" spans="2:5" s="3" customFormat="1">
      <c r="B13" s="80"/>
      <c r="C13" s="77" t="s">
        <v>7</v>
      </c>
    </row>
    <row r="14" spans="2:5" s="3" customFormat="1">
      <c r="B14" s="80"/>
      <c r="C14" s="77" t="s">
        <v>8</v>
      </c>
    </row>
    <row r="15" spans="2:5" s="3" customFormat="1" ht="16">
      <c r="B15" s="78" t="s">
        <v>246</v>
      </c>
      <c r="C15" s="74"/>
    </row>
    <row r="16" spans="2:5" s="3" customFormat="1" ht="17">
      <c r="B16" s="70"/>
      <c r="C16" s="75" t="s">
        <v>243</v>
      </c>
    </row>
    <row r="17" spans="2:3" s="3" customFormat="1" ht="17">
      <c r="B17" s="70"/>
      <c r="C17" s="75" t="s">
        <v>247</v>
      </c>
    </row>
    <row r="18" spans="2:3" s="3" customFormat="1" ht="16">
      <c r="B18" s="78" t="s">
        <v>248</v>
      </c>
      <c r="C18" s="74"/>
    </row>
    <row r="19" spans="2:3" s="3" customFormat="1" ht="17">
      <c r="B19" s="70"/>
      <c r="C19" s="75" t="s">
        <v>249</v>
      </c>
    </row>
    <row r="20" spans="2:3" s="3" customFormat="1" ht="17">
      <c r="B20" s="70"/>
      <c r="C20" s="75" t="s">
        <v>250</v>
      </c>
    </row>
    <row r="21" spans="2:3" s="3" customFormat="1" ht="17">
      <c r="B21" s="70"/>
      <c r="C21" s="75" t="s">
        <v>251</v>
      </c>
    </row>
    <row r="22" spans="2:3" ht="16">
      <c r="B22" s="78" t="s">
        <v>252</v>
      </c>
      <c r="C22" s="74"/>
    </row>
    <row r="23" spans="2:3" ht="17">
      <c r="B23" s="70" t="s">
        <v>253</v>
      </c>
      <c r="C23" s="75" t="s">
        <v>253</v>
      </c>
    </row>
    <row r="24" spans="2:3" ht="17">
      <c r="B24" s="70"/>
      <c r="C24" s="75" t="s">
        <v>254</v>
      </c>
    </row>
    <row r="25" spans="2:3" ht="17">
      <c r="B25" s="70"/>
      <c r="C25" s="75" t="s">
        <v>255</v>
      </c>
    </row>
    <row r="26" spans="2:3" ht="16">
      <c r="B26" s="78" t="s">
        <v>256</v>
      </c>
      <c r="C26" s="74"/>
    </row>
    <row r="27" spans="2:3" ht="17">
      <c r="B27" s="70"/>
      <c r="C27" s="75" t="s">
        <v>257</v>
      </c>
    </row>
    <row r="28" spans="2:3" ht="17">
      <c r="B28" s="70"/>
      <c r="C28" s="75" t="s">
        <v>258</v>
      </c>
    </row>
    <row r="29" spans="2:3" ht="17">
      <c r="B29" s="70"/>
      <c r="C29" s="75" t="s">
        <v>259</v>
      </c>
    </row>
    <row r="30" spans="2:3" ht="17">
      <c r="B30" s="70"/>
      <c r="C30" s="75" t="s">
        <v>260</v>
      </c>
    </row>
    <row r="31" spans="2:3" ht="16">
      <c r="B31" s="78" t="s">
        <v>261</v>
      </c>
      <c r="C31" s="74"/>
    </row>
    <row r="32" spans="2:3" ht="17">
      <c r="B32" s="70"/>
      <c r="C32" s="75" t="s">
        <v>262</v>
      </c>
    </row>
    <row r="33" spans="2:3" ht="17">
      <c r="B33" s="70"/>
      <c r="C33" s="75" t="s">
        <v>263</v>
      </c>
    </row>
    <row r="34" spans="2:3" ht="17">
      <c r="B34" s="70"/>
      <c r="C34" s="75" t="s">
        <v>264</v>
      </c>
    </row>
    <row r="35" spans="2:3" ht="17">
      <c r="B35" s="70"/>
      <c r="C35" s="75" t="s">
        <v>265</v>
      </c>
    </row>
    <row r="36" spans="2:3" ht="16">
      <c r="B36" s="78" t="s">
        <v>266</v>
      </c>
      <c r="C36" s="74"/>
    </row>
    <row r="37" spans="2:3" ht="17">
      <c r="B37" s="70"/>
      <c r="C37" s="75" t="s">
        <v>267</v>
      </c>
    </row>
    <row r="38" spans="2:3" ht="17">
      <c r="B38" s="70"/>
      <c r="C38" s="75" t="s">
        <v>268</v>
      </c>
    </row>
    <row r="39" spans="2:3" ht="16">
      <c r="B39" s="78" t="s">
        <v>269</v>
      </c>
      <c r="C39" s="74"/>
    </row>
    <row r="40" spans="2:3" ht="17">
      <c r="B40" s="70"/>
      <c r="C40" s="75" t="s">
        <v>270</v>
      </c>
    </row>
    <row r="41" spans="2:3" ht="34">
      <c r="B41" s="70"/>
      <c r="C41" s="75" t="s">
        <v>271</v>
      </c>
    </row>
    <row r="42" spans="2:3" ht="16">
      <c r="B42" s="78" t="s">
        <v>272</v>
      </c>
      <c r="C42" s="74"/>
    </row>
    <row r="43" spans="2:3" ht="17">
      <c r="B43" s="70"/>
      <c r="C43" s="75" t="s">
        <v>273</v>
      </c>
    </row>
    <row r="44" spans="2:3" ht="17">
      <c r="B44" s="70"/>
      <c r="C44" s="75" t="s">
        <v>274</v>
      </c>
    </row>
    <row r="45" spans="2:3" ht="17">
      <c r="B45" s="70"/>
      <c r="C45" s="75" t="s">
        <v>275</v>
      </c>
    </row>
    <row r="46" spans="2:3" ht="17">
      <c r="B46" s="70"/>
      <c r="C46" s="75" t="s">
        <v>276</v>
      </c>
    </row>
    <row r="47" spans="2:3" ht="17">
      <c r="B47" s="70"/>
      <c r="C47" s="75" t="s">
        <v>277</v>
      </c>
    </row>
    <row r="48" spans="2:3" ht="17">
      <c r="B48" s="70"/>
      <c r="C48" s="75" t="s">
        <v>278</v>
      </c>
    </row>
    <row r="49" spans="2:3" ht="17">
      <c r="B49" s="70"/>
      <c r="C49" s="75" t="s">
        <v>279</v>
      </c>
    </row>
    <row r="50" spans="2:3" ht="17">
      <c r="B50" s="70"/>
      <c r="C50" s="75" t="s">
        <v>280</v>
      </c>
    </row>
    <row r="51" spans="2:3" ht="17">
      <c r="B51" s="70"/>
      <c r="C51" s="75" t="s">
        <v>281</v>
      </c>
    </row>
    <row r="52" spans="2:3" ht="17">
      <c r="B52" s="70"/>
      <c r="C52" s="75" t="s">
        <v>282</v>
      </c>
    </row>
    <row r="53" spans="2:3" ht="17">
      <c r="B53" s="70"/>
      <c r="C53" s="75" t="s">
        <v>283</v>
      </c>
    </row>
    <row r="54" spans="2:3" ht="17">
      <c r="B54" s="70"/>
      <c r="C54" s="75" t="s">
        <v>284</v>
      </c>
    </row>
    <row r="55" spans="2:3" ht="16">
      <c r="B55" s="70"/>
      <c r="C55" s="7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06316-C2A3-4D3D-93F6-4412CF4DF878}">
  <dimension ref="A1:AD376"/>
  <sheetViews>
    <sheetView zoomScale="85" zoomScaleNormal="85" zoomScaleSheetLayoutView="70" workbookViewId="0">
      <pane xSplit="4" ySplit="2" topLeftCell="E3" activePane="bottomRight" state="frozen"/>
      <selection pane="topRight" activeCell="E1" sqref="E1"/>
      <selection pane="bottomLeft" activeCell="A3" sqref="A3"/>
      <selection pane="bottomRight" activeCell="I203" sqref="I203"/>
    </sheetView>
  </sheetViews>
  <sheetFormatPr baseColWidth="10" defaultColWidth="9.1640625" defaultRowHeight="16"/>
  <cols>
    <col min="1" max="1" width="4.1640625" style="13" bestFit="1" customWidth="1"/>
    <col min="2" max="2" width="17.5" style="13" customWidth="1"/>
    <col min="3" max="3" width="3.33203125" style="13" customWidth="1"/>
    <col min="4" max="4" width="11" style="13" customWidth="1"/>
    <col min="5" max="5" width="14.1640625" style="16" bestFit="1" customWidth="1"/>
    <col min="6" max="6" width="14.6640625" style="16" bestFit="1" customWidth="1"/>
    <col min="7" max="7" width="15.83203125" style="7" customWidth="1"/>
    <col min="8" max="8" width="3.6640625" style="25" bestFit="1" customWidth="1"/>
    <col min="9" max="10" width="12.6640625" style="16" bestFit="1" customWidth="1"/>
    <col min="11" max="11" width="14.5" style="16" customWidth="1"/>
    <col min="12" max="12" width="3.6640625" style="25" bestFit="1" customWidth="1"/>
    <col min="13" max="14" width="14.1640625" style="16" bestFit="1" customWidth="1"/>
    <col min="15" max="15" width="11.33203125" style="7" bestFit="1" customWidth="1"/>
    <col min="16" max="16" width="15" style="16" bestFit="1" customWidth="1"/>
    <col min="17" max="17" width="14.1640625" style="16" bestFit="1" customWidth="1"/>
    <col min="18" max="18" width="11.33203125" style="7" bestFit="1" customWidth="1"/>
    <col min="19" max="20" width="12.6640625" style="16" bestFit="1" customWidth="1"/>
    <col min="21" max="21" width="14.6640625" style="7" customWidth="1"/>
    <col min="22" max="22" width="5.5" style="25" customWidth="1"/>
    <col min="23" max="23" width="11.5" style="16" customWidth="1"/>
    <col min="24" max="24" width="8.33203125" style="16" bestFit="1" customWidth="1"/>
    <col min="25" max="25" width="11.5" style="16" bestFit="1" customWidth="1"/>
    <col min="26" max="26" width="3.5" style="25" customWidth="1"/>
    <col min="27" max="27" width="15.83203125" style="16" customWidth="1"/>
    <col min="28" max="28" width="11.5" style="16" bestFit="1" customWidth="1"/>
    <col min="29" max="29" width="7.33203125" style="7" bestFit="1" customWidth="1"/>
    <col min="30" max="30" width="72.6640625" style="13" bestFit="1" customWidth="1"/>
    <col min="31" max="16384" width="9.1640625" style="13"/>
  </cols>
  <sheetData>
    <row r="1" spans="2:30" ht="17" thickBot="1">
      <c r="B1" s="12" t="s">
        <v>2</v>
      </c>
      <c r="C1" s="12"/>
      <c r="E1" s="125" t="s">
        <v>14</v>
      </c>
      <c r="F1" s="126"/>
      <c r="G1" s="127"/>
      <c r="H1" s="14"/>
      <c r="I1" s="122" t="s">
        <v>10</v>
      </c>
      <c r="J1" s="123"/>
      <c r="K1" s="124"/>
      <c r="L1" s="14"/>
      <c r="M1" s="128" t="s">
        <v>11</v>
      </c>
      <c r="N1" s="129"/>
      <c r="O1" s="130"/>
      <c r="P1" s="128" t="s">
        <v>13</v>
      </c>
      <c r="Q1" s="129"/>
      <c r="R1" s="130"/>
      <c r="S1" s="128" t="s">
        <v>16</v>
      </c>
      <c r="T1" s="129"/>
      <c r="U1" s="130"/>
      <c r="V1" s="14"/>
      <c r="W1" s="122" t="s">
        <v>12</v>
      </c>
      <c r="X1" s="123"/>
      <c r="Y1" s="124"/>
      <c r="Z1" s="14"/>
      <c r="AA1" s="66" t="s">
        <v>234</v>
      </c>
      <c r="AB1" s="15"/>
      <c r="AC1" s="67"/>
      <c r="AD1" s="70"/>
    </row>
    <row r="2" spans="2:30">
      <c r="C2" s="12"/>
      <c r="D2" s="13" t="s">
        <v>0</v>
      </c>
      <c r="E2" s="16" t="s">
        <v>3</v>
      </c>
      <c r="F2" s="16" t="s">
        <v>4</v>
      </c>
      <c r="G2" s="7" t="s">
        <v>1</v>
      </c>
      <c r="H2" s="14"/>
      <c r="I2" s="16" t="s">
        <v>3</v>
      </c>
      <c r="J2" s="16" t="s">
        <v>4</v>
      </c>
      <c r="K2" s="16" t="s">
        <v>1</v>
      </c>
      <c r="L2" s="14"/>
      <c r="M2" s="16" t="s">
        <v>3</v>
      </c>
      <c r="N2" s="16" t="s">
        <v>4</v>
      </c>
      <c r="O2" s="7" t="s">
        <v>1</v>
      </c>
      <c r="P2" s="16" t="s">
        <v>3</v>
      </c>
      <c r="Q2" s="16" t="s">
        <v>4</v>
      </c>
      <c r="R2" s="7" t="s">
        <v>1</v>
      </c>
      <c r="S2" s="16" t="s">
        <v>3</v>
      </c>
      <c r="T2" s="16" t="s">
        <v>4</v>
      </c>
      <c r="U2" s="7" t="s">
        <v>1</v>
      </c>
      <c r="V2" s="14"/>
      <c r="W2" s="16" t="s">
        <v>3</v>
      </c>
      <c r="X2" s="16" t="s">
        <v>4</v>
      </c>
      <c r="Y2" s="16" t="s">
        <v>1</v>
      </c>
      <c r="Z2" s="14"/>
      <c r="AA2" s="16" t="s">
        <v>3</v>
      </c>
      <c r="AB2" s="16" t="s">
        <v>4</v>
      </c>
      <c r="AC2" s="7" t="s">
        <v>1</v>
      </c>
    </row>
    <row r="3" spans="2:30">
      <c r="B3" s="12">
        <v>0.1</v>
      </c>
      <c r="C3" s="12"/>
      <c r="D3" s="13">
        <v>365</v>
      </c>
      <c r="H3" s="14"/>
      <c r="J3" s="16" t="s">
        <v>9</v>
      </c>
      <c r="L3" s="14"/>
      <c r="M3" s="12">
        <v>0.01</v>
      </c>
      <c r="N3" s="13">
        <v>365</v>
      </c>
      <c r="O3" s="8"/>
      <c r="V3" s="14"/>
      <c r="X3" s="16" t="s">
        <v>9</v>
      </c>
      <c r="Z3" s="14"/>
      <c r="AA3" s="17"/>
      <c r="AB3" s="17">
        <v>0.06</v>
      </c>
      <c r="AC3" s="68"/>
    </row>
    <row r="4" spans="2:30" ht="51">
      <c r="B4" s="19">
        <v>45719</v>
      </c>
      <c r="C4" s="19"/>
      <c r="D4" s="13">
        <f>B4-B4</f>
        <v>0</v>
      </c>
      <c r="E4" s="16">
        <v>0</v>
      </c>
      <c r="F4" s="14">
        <v>100000</v>
      </c>
      <c r="G4" s="7">
        <f>F4-E4</f>
        <v>100000</v>
      </c>
      <c r="H4" s="14"/>
      <c r="I4" s="16">
        <v>0</v>
      </c>
      <c r="J4" s="16">
        <f>ROUND((G4-F4)*$B$3/$D$3*D4,2)</f>
        <v>0</v>
      </c>
      <c r="K4" s="16">
        <f>I4-J4</f>
        <v>0</v>
      </c>
      <c r="L4" s="14"/>
      <c r="M4" s="20">
        <f>P4+S4</f>
        <v>0</v>
      </c>
      <c r="N4" s="20">
        <f>Q4+T4</f>
        <v>0</v>
      </c>
      <c r="O4" s="9">
        <f>N4-M4</f>
        <v>0</v>
      </c>
      <c r="P4" s="16">
        <v>0</v>
      </c>
      <c r="Q4" s="16">
        <v>0</v>
      </c>
      <c r="R4" s="7">
        <f>Q4-P4</f>
        <v>0</v>
      </c>
      <c r="S4" s="16">
        <v>0</v>
      </c>
      <c r="T4" s="16">
        <v>0</v>
      </c>
      <c r="U4" s="7">
        <f>T4-S4</f>
        <v>0</v>
      </c>
      <c r="V4" s="14"/>
      <c r="W4" s="16">
        <v>0</v>
      </c>
      <c r="X4" s="16">
        <f>ROUND((O4-N4)*$M$3/$N$3*D4,2)</f>
        <v>0</v>
      </c>
      <c r="Y4" s="16">
        <f>W4-X4</f>
        <v>0</v>
      </c>
      <c r="Z4" s="14"/>
      <c r="AB4" s="16">
        <f>(I4+W4)*$AB$3</f>
        <v>0</v>
      </c>
      <c r="AC4" s="16">
        <f>AA4-AB4</f>
        <v>0</v>
      </c>
      <c r="AD4" s="18" t="s">
        <v>44</v>
      </c>
    </row>
    <row r="5" spans="2:30" ht="136">
      <c r="B5" s="19">
        <v>45720</v>
      </c>
      <c r="C5" s="19"/>
      <c r="D5" s="13">
        <f>B5-B4</f>
        <v>1</v>
      </c>
      <c r="E5" s="16">
        <v>0</v>
      </c>
      <c r="F5" s="16">
        <v>0</v>
      </c>
      <c r="G5" s="7">
        <f>G4+F5-E5</f>
        <v>100000</v>
      </c>
      <c r="H5" s="14"/>
      <c r="I5" s="16">
        <v>0</v>
      </c>
      <c r="J5" s="16">
        <f>ROUND((G5-F5)*$B$3/$D$3*D5,2)</f>
        <v>27.4</v>
      </c>
      <c r="K5" s="16">
        <f>ROUND(K4+J5-I5,2)</f>
        <v>27.4</v>
      </c>
      <c r="L5" s="14"/>
      <c r="M5" s="20">
        <f>P5+S5</f>
        <v>0</v>
      </c>
      <c r="N5" s="20">
        <f>Q5+T5</f>
        <v>0</v>
      </c>
      <c r="O5" s="9">
        <f>O4+N5-M5</f>
        <v>0</v>
      </c>
      <c r="P5" s="16">
        <v>0</v>
      </c>
      <c r="Q5" s="16">
        <v>0</v>
      </c>
      <c r="R5" s="7">
        <f>R4+Q5-P5</f>
        <v>0</v>
      </c>
      <c r="S5" s="16">
        <v>0</v>
      </c>
      <c r="T5" s="16">
        <v>0</v>
      </c>
      <c r="U5" s="7">
        <f>U4+T5-S5</f>
        <v>0</v>
      </c>
      <c r="V5" s="14"/>
      <c r="W5" s="16">
        <v>0</v>
      </c>
      <c r="X5" s="16">
        <f>ROUND((O5-N5)*$M$3/$N$3*D5,2)</f>
        <v>0</v>
      </c>
      <c r="Y5" s="16">
        <f t="shared" ref="Y5:Y68" si="0">ROUND(Y4+X5-W5,2)</f>
        <v>0</v>
      </c>
      <c r="Z5" s="14"/>
      <c r="AB5" s="16">
        <f t="shared" ref="AB5:AB68" si="1">(I5+W5)*$AB$3</f>
        <v>0</v>
      </c>
      <c r="AC5" s="7">
        <f>ROUND(AC4+AB5-AA5,2)</f>
        <v>0</v>
      </c>
      <c r="AD5" s="18" t="s">
        <v>46</v>
      </c>
    </row>
    <row r="6" spans="2:30">
      <c r="B6" s="19">
        <v>45721</v>
      </c>
      <c r="C6" s="19"/>
      <c r="D6" s="13">
        <f t="shared" ref="D6:D69" si="2">B6-B5</f>
        <v>1</v>
      </c>
      <c r="E6" s="16">
        <v>0</v>
      </c>
      <c r="F6" s="16">
        <v>0</v>
      </c>
      <c r="G6" s="7">
        <f t="shared" ref="G6:G61" si="3">G5+F6-E6</f>
        <v>100000</v>
      </c>
      <c r="H6" s="14"/>
      <c r="I6" s="16">
        <v>0</v>
      </c>
      <c r="J6" s="16">
        <f t="shared" ref="J6:J69" si="4">ROUND((G6-F6)*$B$3/$D$3*D6,2)</f>
        <v>27.4</v>
      </c>
      <c r="K6" s="16">
        <f>ROUND(K5+J6-I6,2)</f>
        <v>54.8</v>
      </c>
      <c r="L6" s="14"/>
      <c r="M6" s="20">
        <f t="shared" ref="M6:N69" si="5">P6+S6</f>
        <v>0</v>
      </c>
      <c r="N6" s="20">
        <f t="shared" si="5"/>
        <v>0</v>
      </c>
      <c r="O6" s="9">
        <f t="shared" ref="O6:O69" si="6">O5+N6-M6</f>
        <v>0</v>
      </c>
      <c r="P6" s="16">
        <v>0</v>
      </c>
      <c r="Q6" s="16">
        <v>0</v>
      </c>
      <c r="R6" s="7">
        <f t="shared" ref="R6" si="7">R5+Q6-P6</f>
        <v>0</v>
      </c>
      <c r="S6" s="16">
        <v>0</v>
      </c>
      <c r="T6" s="16">
        <v>0</v>
      </c>
      <c r="U6" s="7">
        <f t="shared" ref="U6" si="8">U5+T6-S6</f>
        <v>0</v>
      </c>
      <c r="V6" s="14"/>
      <c r="W6" s="16">
        <v>0</v>
      </c>
      <c r="X6" s="16">
        <f t="shared" ref="X6:X69" si="9">ROUND((O6-N6)*$M$3/$N$3*D6,2)</f>
        <v>0</v>
      </c>
      <c r="Y6" s="16">
        <f t="shared" si="0"/>
        <v>0</v>
      </c>
      <c r="Z6" s="14"/>
      <c r="AB6" s="16">
        <f t="shared" si="1"/>
        <v>0</v>
      </c>
      <c r="AC6" s="7">
        <f t="shared" ref="AC6:AC69" si="10">ROUND(AC5+AB6-AA6,2)</f>
        <v>0</v>
      </c>
    </row>
    <row r="7" spans="2:30">
      <c r="B7" s="19">
        <v>45722</v>
      </c>
      <c r="C7" s="19"/>
      <c r="D7" s="13">
        <f t="shared" si="2"/>
        <v>1</v>
      </c>
      <c r="E7" s="16">
        <v>0</v>
      </c>
      <c r="F7" s="16">
        <v>0</v>
      </c>
      <c r="G7" s="7">
        <f t="shared" si="3"/>
        <v>100000</v>
      </c>
      <c r="H7" s="14"/>
      <c r="I7" s="16">
        <v>0</v>
      </c>
      <c r="J7" s="16">
        <f t="shared" si="4"/>
        <v>27.4</v>
      </c>
      <c r="K7" s="16">
        <f t="shared" ref="K7:K70" si="11">ROUND(K6+J7-I7,2)</f>
        <v>82.2</v>
      </c>
      <c r="L7" s="14"/>
      <c r="M7" s="20">
        <f t="shared" si="5"/>
        <v>0</v>
      </c>
      <c r="N7" s="20">
        <f t="shared" si="5"/>
        <v>0</v>
      </c>
      <c r="O7" s="9">
        <f t="shared" si="6"/>
        <v>0</v>
      </c>
      <c r="P7" s="16">
        <v>0</v>
      </c>
      <c r="Q7" s="16">
        <v>0</v>
      </c>
      <c r="R7" s="7">
        <f>R6+Q7-P7</f>
        <v>0</v>
      </c>
      <c r="S7" s="16">
        <v>0</v>
      </c>
      <c r="T7" s="16">
        <v>0</v>
      </c>
      <c r="U7" s="7">
        <f>U6+T7-S7</f>
        <v>0</v>
      </c>
      <c r="V7" s="14"/>
      <c r="W7" s="16">
        <v>0</v>
      </c>
      <c r="X7" s="16">
        <f t="shared" si="9"/>
        <v>0</v>
      </c>
      <c r="Y7" s="16">
        <f t="shared" si="0"/>
        <v>0</v>
      </c>
      <c r="Z7" s="14"/>
      <c r="AB7" s="16">
        <f t="shared" si="1"/>
        <v>0</v>
      </c>
      <c r="AC7" s="7">
        <f t="shared" si="10"/>
        <v>0</v>
      </c>
    </row>
    <row r="8" spans="2:30">
      <c r="B8" s="19">
        <v>45723</v>
      </c>
      <c r="C8" s="19"/>
      <c r="D8" s="13">
        <f t="shared" si="2"/>
        <v>1</v>
      </c>
      <c r="E8" s="16">
        <v>0</v>
      </c>
      <c r="F8" s="16">
        <v>0</v>
      </c>
      <c r="G8" s="7">
        <f t="shared" si="3"/>
        <v>100000</v>
      </c>
      <c r="H8" s="14"/>
      <c r="I8" s="16">
        <v>0</v>
      </c>
      <c r="J8" s="16">
        <f t="shared" si="4"/>
        <v>27.4</v>
      </c>
      <c r="K8" s="16">
        <f t="shared" si="11"/>
        <v>109.6</v>
      </c>
      <c r="L8" s="14"/>
      <c r="M8" s="20">
        <f t="shared" si="5"/>
        <v>0</v>
      </c>
      <c r="N8" s="20">
        <f t="shared" si="5"/>
        <v>0</v>
      </c>
      <c r="O8" s="9">
        <f t="shared" si="6"/>
        <v>0</v>
      </c>
      <c r="P8" s="16">
        <v>0</v>
      </c>
      <c r="Q8" s="16">
        <v>0</v>
      </c>
      <c r="R8" s="7">
        <f t="shared" ref="R8:R36" si="12">R7+Q8-P8</f>
        <v>0</v>
      </c>
      <c r="S8" s="16">
        <v>0</v>
      </c>
      <c r="T8" s="16">
        <v>0</v>
      </c>
      <c r="U8" s="7">
        <f t="shared" ref="U8:U36" si="13">U7+T8-S8</f>
        <v>0</v>
      </c>
      <c r="V8" s="14"/>
      <c r="W8" s="16">
        <v>0</v>
      </c>
      <c r="X8" s="16">
        <f t="shared" si="9"/>
        <v>0</v>
      </c>
      <c r="Y8" s="16">
        <f t="shared" si="0"/>
        <v>0</v>
      </c>
      <c r="Z8" s="14"/>
      <c r="AB8" s="16">
        <f t="shared" si="1"/>
        <v>0</v>
      </c>
      <c r="AC8" s="7">
        <f t="shared" si="10"/>
        <v>0</v>
      </c>
    </row>
    <row r="9" spans="2:30">
      <c r="B9" s="19">
        <v>45724</v>
      </c>
      <c r="C9" s="19"/>
      <c r="D9" s="13">
        <f t="shared" si="2"/>
        <v>1</v>
      </c>
      <c r="E9" s="16">
        <v>0</v>
      </c>
      <c r="F9" s="16">
        <v>0</v>
      </c>
      <c r="G9" s="7">
        <f t="shared" si="3"/>
        <v>100000</v>
      </c>
      <c r="H9" s="14"/>
      <c r="I9" s="16">
        <v>0</v>
      </c>
      <c r="J9" s="16">
        <f t="shared" si="4"/>
        <v>27.4</v>
      </c>
      <c r="K9" s="16">
        <f t="shared" si="11"/>
        <v>137</v>
      </c>
      <c r="L9" s="14"/>
      <c r="M9" s="20">
        <f t="shared" si="5"/>
        <v>0</v>
      </c>
      <c r="N9" s="20">
        <f t="shared" si="5"/>
        <v>0</v>
      </c>
      <c r="O9" s="9">
        <f t="shared" si="6"/>
        <v>0</v>
      </c>
      <c r="P9" s="16">
        <v>0</v>
      </c>
      <c r="Q9" s="16">
        <v>0</v>
      </c>
      <c r="R9" s="7">
        <f t="shared" si="12"/>
        <v>0</v>
      </c>
      <c r="S9" s="16">
        <v>0</v>
      </c>
      <c r="T9" s="16">
        <v>0</v>
      </c>
      <c r="U9" s="7">
        <f t="shared" si="13"/>
        <v>0</v>
      </c>
      <c r="V9" s="14"/>
      <c r="W9" s="16">
        <v>0</v>
      </c>
      <c r="X9" s="16">
        <f t="shared" si="9"/>
        <v>0</v>
      </c>
      <c r="Y9" s="16">
        <f t="shared" si="0"/>
        <v>0</v>
      </c>
      <c r="Z9" s="14"/>
      <c r="AB9" s="16">
        <f t="shared" si="1"/>
        <v>0</v>
      </c>
      <c r="AC9" s="7">
        <f t="shared" si="10"/>
        <v>0</v>
      </c>
    </row>
    <row r="10" spans="2:30">
      <c r="B10" s="19">
        <v>45725</v>
      </c>
      <c r="C10" s="19"/>
      <c r="D10" s="13">
        <f t="shared" si="2"/>
        <v>1</v>
      </c>
      <c r="E10" s="16">
        <v>0</v>
      </c>
      <c r="F10" s="16">
        <v>0</v>
      </c>
      <c r="G10" s="7">
        <f t="shared" si="3"/>
        <v>100000</v>
      </c>
      <c r="H10" s="14"/>
      <c r="I10" s="16">
        <v>0</v>
      </c>
      <c r="J10" s="16">
        <f t="shared" si="4"/>
        <v>27.4</v>
      </c>
      <c r="K10" s="16">
        <f t="shared" si="11"/>
        <v>164.4</v>
      </c>
      <c r="L10" s="14"/>
      <c r="M10" s="20">
        <f t="shared" si="5"/>
        <v>0</v>
      </c>
      <c r="N10" s="20">
        <f t="shared" si="5"/>
        <v>0</v>
      </c>
      <c r="O10" s="9">
        <f t="shared" si="6"/>
        <v>0</v>
      </c>
      <c r="P10" s="16">
        <v>0</v>
      </c>
      <c r="Q10" s="16">
        <v>0</v>
      </c>
      <c r="R10" s="7">
        <f t="shared" si="12"/>
        <v>0</v>
      </c>
      <c r="S10" s="16">
        <v>0</v>
      </c>
      <c r="T10" s="16">
        <v>0</v>
      </c>
      <c r="U10" s="7">
        <f t="shared" si="13"/>
        <v>0</v>
      </c>
      <c r="V10" s="14"/>
      <c r="W10" s="16">
        <v>0</v>
      </c>
      <c r="X10" s="16">
        <f t="shared" si="9"/>
        <v>0</v>
      </c>
      <c r="Y10" s="16">
        <f t="shared" si="0"/>
        <v>0</v>
      </c>
      <c r="Z10" s="14"/>
      <c r="AB10" s="16">
        <f t="shared" si="1"/>
        <v>0</v>
      </c>
      <c r="AC10" s="7">
        <f t="shared" si="10"/>
        <v>0</v>
      </c>
    </row>
    <row r="11" spans="2:30">
      <c r="B11" s="19">
        <v>45726</v>
      </c>
      <c r="C11" s="19"/>
      <c r="D11" s="13">
        <f t="shared" si="2"/>
        <v>1</v>
      </c>
      <c r="E11" s="16">
        <v>0</v>
      </c>
      <c r="F11" s="16">
        <v>0</v>
      </c>
      <c r="G11" s="7">
        <f t="shared" si="3"/>
        <v>100000</v>
      </c>
      <c r="H11" s="14"/>
      <c r="I11" s="16">
        <v>0</v>
      </c>
      <c r="J11" s="16">
        <f t="shared" si="4"/>
        <v>27.4</v>
      </c>
      <c r="K11" s="16">
        <f t="shared" si="11"/>
        <v>191.8</v>
      </c>
      <c r="L11" s="14"/>
      <c r="M11" s="20">
        <f t="shared" si="5"/>
        <v>0</v>
      </c>
      <c r="N11" s="20">
        <f t="shared" si="5"/>
        <v>0</v>
      </c>
      <c r="O11" s="9">
        <f t="shared" si="6"/>
        <v>0</v>
      </c>
      <c r="P11" s="16">
        <v>0</v>
      </c>
      <c r="Q11" s="16">
        <v>0</v>
      </c>
      <c r="R11" s="7">
        <f t="shared" si="12"/>
        <v>0</v>
      </c>
      <c r="S11" s="16">
        <v>0</v>
      </c>
      <c r="T11" s="16">
        <v>0</v>
      </c>
      <c r="U11" s="7">
        <f t="shared" si="13"/>
        <v>0</v>
      </c>
      <c r="V11" s="14"/>
      <c r="W11" s="16">
        <v>0</v>
      </c>
      <c r="X11" s="16">
        <f t="shared" si="9"/>
        <v>0</v>
      </c>
      <c r="Y11" s="16">
        <f t="shared" si="0"/>
        <v>0</v>
      </c>
      <c r="Z11" s="14"/>
      <c r="AB11" s="16">
        <f t="shared" si="1"/>
        <v>0</v>
      </c>
      <c r="AC11" s="7">
        <f t="shared" si="10"/>
        <v>0</v>
      </c>
    </row>
    <row r="12" spans="2:30">
      <c r="B12" s="19">
        <v>45727</v>
      </c>
      <c r="C12" s="19"/>
      <c r="D12" s="13">
        <f t="shared" si="2"/>
        <v>1</v>
      </c>
      <c r="E12" s="16">
        <v>0</v>
      </c>
      <c r="F12" s="16">
        <v>0</v>
      </c>
      <c r="G12" s="7">
        <f t="shared" si="3"/>
        <v>100000</v>
      </c>
      <c r="H12" s="14"/>
      <c r="I12" s="16">
        <v>0</v>
      </c>
      <c r="J12" s="16">
        <f t="shared" si="4"/>
        <v>27.4</v>
      </c>
      <c r="K12" s="16">
        <f t="shared" si="11"/>
        <v>219.2</v>
      </c>
      <c r="L12" s="14"/>
      <c r="M12" s="20">
        <f t="shared" si="5"/>
        <v>0</v>
      </c>
      <c r="N12" s="20">
        <f t="shared" si="5"/>
        <v>0</v>
      </c>
      <c r="O12" s="9">
        <f t="shared" si="6"/>
        <v>0</v>
      </c>
      <c r="P12" s="16">
        <v>0</v>
      </c>
      <c r="Q12" s="16">
        <v>0</v>
      </c>
      <c r="R12" s="7">
        <f t="shared" si="12"/>
        <v>0</v>
      </c>
      <c r="S12" s="16">
        <v>0</v>
      </c>
      <c r="T12" s="16">
        <v>0</v>
      </c>
      <c r="U12" s="7">
        <f t="shared" si="13"/>
        <v>0</v>
      </c>
      <c r="V12" s="14"/>
      <c r="W12" s="16">
        <v>0</v>
      </c>
      <c r="X12" s="16">
        <f t="shared" si="9"/>
        <v>0</v>
      </c>
      <c r="Y12" s="16">
        <f t="shared" si="0"/>
        <v>0</v>
      </c>
      <c r="Z12" s="14"/>
      <c r="AB12" s="16">
        <f t="shared" si="1"/>
        <v>0</v>
      </c>
      <c r="AC12" s="7">
        <f t="shared" si="10"/>
        <v>0</v>
      </c>
    </row>
    <row r="13" spans="2:30">
      <c r="B13" s="19">
        <v>45728</v>
      </c>
      <c r="C13" s="19"/>
      <c r="D13" s="13">
        <f t="shared" si="2"/>
        <v>1</v>
      </c>
      <c r="E13" s="16">
        <v>0</v>
      </c>
      <c r="F13" s="16">
        <v>0</v>
      </c>
      <c r="G13" s="7">
        <f t="shared" si="3"/>
        <v>100000</v>
      </c>
      <c r="H13" s="14"/>
      <c r="I13" s="16">
        <v>0</v>
      </c>
      <c r="J13" s="16">
        <f t="shared" si="4"/>
        <v>27.4</v>
      </c>
      <c r="K13" s="16">
        <f t="shared" si="11"/>
        <v>246.6</v>
      </c>
      <c r="L13" s="14"/>
      <c r="M13" s="20">
        <f t="shared" si="5"/>
        <v>0</v>
      </c>
      <c r="N13" s="20">
        <f t="shared" si="5"/>
        <v>0</v>
      </c>
      <c r="O13" s="9">
        <f t="shared" si="6"/>
        <v>0</v>
      </c>
      <c r="P13" s="16">
        <v>0</v>
      </c>
      <c r="Q13" s="16">
        <v>0</v>
      </c>
      <c r="R13" s="7">
        <f t="shared" si="12"/>
        <v>0</v>
      </c>
      <c r="S13" s="16">
        <v>0</v>
      </c>
      <c r="T13" s="16">
        <v>0</v>
      </c>
      <c r="U13" s="7">
        <f t="shared" si="13"/>
        <v>0</v>
      </c>
      <c r="V13" s="14"/>
      <c r="W13" s="16">
        <v>0</v>
      </c>
      <c r="X13" s="16">
        <f t="shared" si="9"/>
        <v>0</v>
      </c>
      <c r="Y13" s="16">
        <f t="shared" si="0"/>
        <v>0</v>
      </c>
      <c r="Z13" s="14"/>
      <c r="AB13" s="16">
        <f t="shared" si="1"/>
        <v>0</v>
      </c>
      <c r="AC13" s="7">
        <f t="shared" si="10"/>
        <v>0</v>
      </c>
    </row>
    <row r="14" spans="2:30">
      <c r="B14" s="19">
        <v>45729</v>
      </c>
      <c r="C14" s="19"/>
      <c r="D14" s="13">
        <f t="shared" si="2"/>
        <v>1</v>
      </c>
      <c r="E14" s="16">
        <v>0</v>
      </c>
      <c r="F14" s="16">
        <v>0</v>
      </c>
      <c r="G14" s="7">
        <f t="shared" si="3"/>
        <v>100000</v>
      </c>
      <c r="H14" s="14"/>
      <c r="I14" s="16">
        <v>0</v>
      </c>
      <c r="J14" s="16">
        <f t="shared" si="4"/>
        <v>27.4</v>
      </c>
      <c r="K14" s="16">
        <f t="shared" si="11"/>
        <v>274</v>
      </c>
      <c r="L14" s="14"/>
      <c r="M14" s="20">
        <f t="shared" si="5"/>
        <v>0</v>
      </c>
      <c r="N14" s="20">
        <f t="shared" si="5"/>
        <v>0</v>
      </c>
      <c r="O14" s="9">
        <f t="shared" si="6"/>
        <v>0</v>
      </c>
      <c r="P14" s="16">
        <v>0</v>
      </c>
      <c r="Q14" s="16">
        <v>0</v>
      </c>
      <c r="R14" s="7">
        <f t="shared" si="12"/>
        <v>0</v>
      </c>
      <c r="S14" s="16">
        <v>0</v>
      </c>
      <c r="T14" s="16">
        <v>0</v>
      </c>
      <c r="U14" s="7">
        <f t="shared" si="13"/>
        <v>0</v>
      </c>
      <c r="V14" s="14"/>
      <c r="W14" s="16">
        <v>0</v>
      </c>
      <c r="X14" s="16">
        <f t="shared" si="9"/>
        <v>0</v>
      </c>
      <c r="Y14" s="16">
        <f t="shared" si="0"/>
        <v>0</v>
      </c>
      <c r="Z14" s="14"/>
      <c r="AB14" s="16">
        <f t="shared" si="1"/>
        <v>0</v>
      </c>
      <c r="AC14" s="7">
        <f t="shared" si="10"/>
        <v>0</v>
      </c>
    </row>
    <row r="15" spans="2:30">
      <c r="B15" s="19">
        <v>45730</v>
      </c>
      <c r="C15" s="19"/>
      <c r="D15" s="13">
        <f t="shared" si="2"/>
        <v>1</v>
      </c>
      <c r="E15" s="16">
        <v>0</v>
      </c>
      <c r="F15" s="16">
        <v>0</v>
      </c>
      <c r="G15" s="7">
        <f t="shared" si="3"/>
        <v>100000</v>
      </c>
      <c r="H15" s="14"/>
      <c r="I15" s="16">
        <v>0</v>
      </c>
      <c r="J15" s="16">
        <f t="shared" si="4"/>
        <v>27.4</v>
      </c>
      <c r="K15" s="16">
        <f t="shared" si="11"/>
        <v>301.39999999999998</v>
      </c>
      <c r="L15" s="14"/>
      <c r="M15" s="20">
        <f t="shared" si="5"/>
        <v>0</v>
      </c>
      <c r="N15" s="20">
        <f t="shared" si="5"/>
        <v>0</v>
      </c>
      <c r="O15" s="9">
        <f t="shared" si="6"/>
        <v>0</v>
      </c>
      <c r="P15" s="16">
        <v>0</v>
      </c>
      <c r="Q15" s="16">
        <v>0</v>
      </c>
      <c r="R15" s="7">
        <f t="shared" si="12"/>
        <v>0</v>
      </c>
      <c r="S15" s="16">
        <v>0</v>
      </c>
      <c r="T15" s="16">
        <v>0</v>
      </c>
      <c r="U15" s="7">
        <f t="shared" si="13"/>
        <v>0</v>
      </c>
      <c r="V15" s="14"/>
      <c r="W15" s="16">
        <v>0</v>
      </c>
      <c r="X15" s="16">
        <f t="shared" si="9"/>
        <v>0</v>
      </c>
      <c r="Y15" s="16">
        <f t="shared" si="0"/>
        <v>0</v>
      </c>
      <c r="Z15" s="14"/>
      <c r="AB15" s="16">
        <f t="shared" si="1"/>
        <v>0</v>
      </c>
      <c r="AC15" s="7">
        <f t="shared" si="10"/>
        <v>0</v>
      </c>
    </row>
    <row r="16" spans="2:30">
      <c r="B16" s="19">
        <v>45731</v>
      </c>
      <c r="C16" s="19"/>
      <c r="D16" s="13">
        <f t="shared" si="2"/>
        <v>1</v>
      </c>
      <c r="E16" s="16">
        <v>0</v>
      </c>
      <c r="F16" s="16">
        <v>0</v>
      </c>
      <c r="G16" s="7">
        <f t="shared" si="3"/>
        <v>100000</v>
      </c>
      <c r="H16" s="14"/>
      <c r="I16" s="16">
        <v>0</v>
      </c>
      <c r="J16" s="16">
        <f t="shared" si="4"/>
        <v>27.4</v>
      </c>
      <c r="K16" s="16">
        <f t="shared" si="11"/>
        <v>328.8</v>
      </c>
      <c r="L16" s="14"/>
      <c r="M16" s="20">
        <f t="shared" si="5"/>
        <v>0</v>
      </c>
      <c r="N16" s="20">
        <f t="shared" si="5"/>
        <v>0</v>
      </c>
      <c r="O16" s="9">
        <f t="shared" si="6"/>
        <v>0</v>
      </c>
      <c r="P16" s="16">
        <v>0</v>
      </c>
      <c r="Q16" s="16">
        <v>0</v>
      </c>
      <c r="R16" s="7">
        <f t="shared" si="12"/>
        <v>0</v>
      </c>
      <c r="S16" s="16">
        <v>0</v>
      </c>
      <c r="T16" s="16">
        <v>0</v>
      </c>
      <c r="U16" s="7">
        <f t="shared" si="13"/>
        <v>0</v>
      </c>
      <c r="V16" s="14"/>
      <c r="W16" s="16">
        <v>0</v>
      </c>
      <c r="X16" s="16">
        <f t="shared" si="9"/>
        <v>0</v>
      </c>
      <c r="Y16" s="16">
        <f t="shared" si="0"/>
        <v>0</v>
      </c>
      <c r="Z16" s="14"/>
      <c r="AB16" s="16">
        <f t="shared" si="1"/>
        <v>0</v>
      </c>
      <c r="AC16" s="7">
        <f t="shared" si="10"/>
        <v>0</v>
      </c>
    </row>
    <row r="17" spans="2:30">
      <c r="B17" s="19">
        <v>45732</v>
      </c>
      <c r="C17" s="19"/>
      <c r="D17" s="13">
        <f t="shared" si="2"/>
        <v>1</v>
      </c>
      <c r="E17" s="16">
        <v>0</v>
      </c>
      <c r="F17" s="16">
        <v>0</v>
      </c>
      <c r="G17" s="7">
        <f t="shared" si="3"/>
        <v>100000</v>
      </c>
      <c r="H17" s="14"/>
      <c r="I17" s="16">
        <v>0</v>
      </c>
      <c r="J17" s="16">
        <f t="shared" si="4"/>
        <v>27.4</v>
      </c>
      <c r="K17" s="16">
        <f t="shared" si="11"/>
        <v>356.2</v>
      </c>
      <c r="L17" s="14"/>
      <c r="M17" s="20">
        <f t="shared" si="5"/>
        <v>0</v>
      </c>
      <c r="N17" s="20">
        <f t="shared" si="5"/>
        <v>0</v>
      </c>
      <c r="O17" s="9">
        <f t="shared" si="6"/>
        <v>0</v>
      </c>
      <c r="P17" s="16">
        <v>0</v>
      </c>
      <c r="Q17" s="16">
        <v>0</v>
      </c>
      <c r="R17" s="7">
        <f t="shared" si="12"/>
        <v>0</v>
      </c>
      <c r="S17" s="16">
        <v>0</v>
      </c>
      <c r="T17" s="16">
        <v>0</v>
      </c>
      <c r="U17" s="7">
        <f t="shared" si="13"/>
        <v>0</v>
      </c>
      <c r="V17" s="14"/>
      <c r="W17" s="16">
        <v>0</v>
      </c>
      <c r="X17" s="16">
        <f t="shared" si="9"/>
        <v>0</v>
      </c>
      <c r="Y17" s="16">
        <f t="shared" si="0"/>
        <v>0</v>
      </c>
      <c r="Z17" s="14"/>
      <c r="AB17" s="16">
        <f t="shared" si="1"/>
        <v>0</v>
      </c>
      <c r="AC17" s="7">
        <f t="shared" si="10"/>
        <v>0</v>
      </c>
    </row>
    <row r="18" spans="2:30">
      <c r="B18" s="19">
        <v>45733</v>
      </c>
      <c r="C18" s="19"/>
      <c r="D18" s="13">
        <f t="shared" si="2"/>
        <v>1</v>
      </c>
      <c r="E18" s="16">
        <v>0</v>
      </c>
      <c r="F18" s="16">
        <v>0</v>
      </c>
      <c r="G18" s="7">
        <f t="shared" si="3"/>
        <v>100000</v>
      </c>
      <c r="H18" s="14"/>
      <c r="I18" s="16">
        <v>0</v>
      </c>
      <c r="J18" s="16">
        <f t="shared" si="4"/>
        <v>27.4</v>
      </c>
      <c r="K18" s="16">
        <f t="shared" si="11"/>
        <v>383.6</v>
      </c>
      <c r="L18" s="14"/>
      <c r="M18" s="20">
        <f t="shared" si="5"/>
        <v>0</v>
      </c>
      <c r="N18" s="20">
        <f t="shared" si="5"/>
        <v>0</v>
      </c>
      <c r="O18" s="9">
        <f t="shared" si="6"/>
        <v>0</v>
      </c>
      <c r="P18" s="16">
        <v>0</v>
      </c>
      <c r="Q18" s="16">
        <v>0</v>
      </c>
      <c r="R18" s="7">
        <f t="shared" si="12"/>
        <v>0</v>
      </c>
      <c r="S18" s="16">
        <v>0</v>
      </c>
      <c r="T18" s="16">
        <v>0</v>
      </c>
      <c r="U18" s="7">
        <f t="shared" si="13"/>
        <v>0</v>
      </c>
      <c r="V18" s="14"/>
      <c r="W18" s="16">
        <v>0</v>
      </c>
      <c r="X18" s="16">
        <f t="shared" si="9"/>
        <v>0</v>
      </c>
      <c r="Y18" s="16">
        <f t="shared" si="0"/>
        <v>0</v>
      </c>
      <c r="Z18" s="14"/>
      <c r="AB18" s="16">
        <f t="shared" si="1"/>
        <v>0</v>
      </c>
      <c r="AC18" s="7">
        <f t="shared" si="10"/>
        <v>0</v>
      </c>
    </row>
    <row r="19" spans="2:30">
      <c r="B19" s="19">
        <v>45734</v>
      </c>
      <c r="C19" s="19"/>
      <c r="D19" s="13">
        <f t="shared" si="2"/>
        <v>1</v>
      </c>
      <c r="E19" s="16">
        <v>0</v>
      </c>
      <c r="F19" s="16">
        <v>0</v>
      </c>
      <c r="G19" s="7">
        <f t="shared" si="3"/>
        <v>100000</v>
      </c>
      <c r="H19" s="14"/>
      <c r="I19" s="16">
        <v>0</v>
      </c>
      <c r="J19" s="16">
        <f t="shared" si="4"/>
        <v>27.4</v>
      </c>
      <c r="K19" s="16">
        <f t="shared" si="11"/>
        <v>411</v>
      </c>
      <c r="L19" s="14"/>
      <c r="M19" s="16">
        <f t="shared" si="5"/>
        <v>0</v>
      </c>
      <c r="N19" s="16">
        <f t="shared" si="5"/>
        <v>0</v>
      </c>
      <c r="O19" s="7">
        <f t="shared" si="6"/>
        <v>0</v>
      </c>
      <c r="P19" s="16">
        <v>0</v>
      </c>
      <c r="Q19" s="16">
        <v>0</v>
      </c>
      <c r="R19" s="7">
        <f t="shared" si="12"/>
        <v>0</v>
      </c>
      <c r="S19" s="16">
        <v>0</v>
      </c>
      <c r="T19" s="16">
        <v>0</v>
      </c>
      <c r="U19" s="7">
        <f t="shared" si="13"/>
        <v>0</v>
      </c>
      <c r="V19" s="14"/>
      <c r="W19" s="16">
        <v>0</v>
      </c>
      <c r="X19" s="16">
        <f t="shared" si="9"/>
        <v>0</v>
      </c>
      <c r="Y19" s="16">
        <f t="shared" si="0"/>
        <v>0</v>
      </c>
      <c r="Z19" s="14"/>
      <c r="AB19" s="16">
        <f t="shared" si="1"/>
        <v>0</v>
      </c>
      <c r="AC19" s="7">
        <f t="shared" si="10"/>
        <v>0</v>
      </c>
    </row>
    <row r="20" spans="2:30">
      <c r="B20" s="19">
        <v>45735</v>
      </c>
      <c r="C20" s="19"/>
      <c r="D20" s="13">
        <f t="shared" si="2"/>
        <v>1</v>
      </c>
      <c r="E20" s="16">
        <v>0</v>
      </c>
      <c r="F20" s="16">
        <v>0</v>
      </c>
      <c r="G20" s="7">
        <f t="shared" si="3"/>
        <v>100000</v>
      </c>
      <c r="H20" s="14"/>
      <c r="I20" s="16">
        <v>0</v>
      </c>
      <c r="J20" s="16">
        <f t="shared" si="4"/>
        <v>27.4</v>
      </c>
      <c r="K20" s="16">
        <f t="shared" si="11"/>
        <v>438.4</v>
      </c>
      <c r="L20" s="14"/>
      <c r="M20" s="16">
        <f t="shared" si="5"/>
        <v>0</v>
      </c>
      <c r="N20" s="16">
        <f t="shared" si="5"/>
        <v>0</v>
      </c>
      <c r="O20" s="7">
        <f t="shared" si="6"/>
        <v>0</v>
      </c>
      <c r="P20" s="16">
        <v>0</v>
      </c>
      <c r="Q20" s="16">
        <v>0</v>
      </c>
      <c r="R20" s="7">
        <f t="shared" si="12"/>
        <v>0</v>
      </c>
      <c r="S20" s="16">
        <v>0</v>
      </c>
      <c r="T20" s="16">
        <v>0</v>
      </c>
      <c r="U20" s="7">
        <f t="shared" si="13"/>
        <v>0</v>
      </c>
      <c r="V20" s="14"/>
      <c r="W20" s="16">
        <v>0</v>
      </c>
      <c r="X20" s="16">
        <f t="shared" si="9"/>
        <v>0</v>
      </c>
      <c r="Y20" s="16">
        <f t="shared" si="0"/>
        <v>0</v>
      </c>
      <c r="Z20" s="14"/>
      <c r="AB20" s="16">
        <f t="shared" si="1"/>
        <v>0</v>
      </c>
      <c r="AC20" s="7">
        <f t="shared" si="10"/>
        <v>0</v>
      </c>
    </row>
    <row r="21" spans="2:30">
      <c r="B21" s="19">
        <v>45736</v>
      </c>
      <c r="C21" s="19"/>
      <c r="D21" s="13">
        <f t="shared" si="2"/>
        <v>1</v>
      </c>
      <c r="E21" s="16">
        <v>0</v>
      </c>
      <c r="F21" s="16">
        <v>0</v>
      </c>
      <c r="G21" s="7">
        <f t="shared" si="3"/>
        <v>100000</v>
      </c>
      <c r="H21" s="14"/>
      <c r="I21" s="16">
        <v>0</v>
      </c>
      <c r="J21" s="16">
        <f t="shared" si="4"/>
        <v>27.4</v>
      </c>
      <c r="K21" s="16">
        <f t="shared" si="11"/>
        <v>465.8</v>
      </c>
      <c r="L21" s="14"/>
      <c r="M21" s="16">
        <f t="shared" si="5"/>
        <v>0</v>
      </c>
      <c r="N21" s="16">
        <f t="shared" si="5"/>
        <v>0</v>
      </c>
      <c r="O21" s="7">
        <f t="shared" si="6"/>
        <v>0</v>
      </c>
      <c r="P21" s="16">
        <v>0</v>
      </c>
      <c r="Q21" s="16">
        <v>0</v>
      </c>
      <c r="R21" s="7">
        <f t="shared" si="12"/>
        <v>0</v>
      </c>
      <c r="S21" s="16">
        <v>0</v>
      </c>
      <c r="T21" s="16">
        <v>0</v>
      </c>
      <c r="U21" s="7">
        <f t="shared" si="13"/>
        <v>0</v>
      </c>
      <c r="V21" s="14"/>
      <c r="W21" s="16">
        <v>0</v>
      </c>
      <c r="X21" s="16">
        <f t="shared" si="9"/>
        <v>0</v>
      </c>
      <c r="Y21" s="16">
        <f t="shared" si="0"/>
        <v>0</v>
      </c>
      <c r="Z21" s="14"/>
      <c r="AA21" s="16">
        <v>0</v>
      </c>
      <c r="AB21" s="16">
        <f t="shared" si="1"/>
        <v>0</v>
      </c>
      <c r="AC21" s="7">
        <f t="shared" si="10"/>
        <v>0</v>
      </c>
    </row>
    <row r="22" spans="2:30">
      <c r="B22" s="19">
        <v>45737</v>
      </c>
      <c r="C22" s="19"/>
      <c r="D22" s="13">
        <f t="shared" si="2"/>
        <v>1</v>
      </c>
      <c r="E22" s="16">
        <v>0</v>
      </c>
      <c r="F22" s="16">
        <v>0</v>
      </c>
      <c r="G22" s="7">
        <f t="shared" si="3"/>
        <v>100000</v>
      </c>
      <c r="H22" s="14"/>
      <c r="I22" s="16">
        <v>0</v>
      </c>
      <c r="J22" s="16">
        <f t="shared" si="4"/>
        <v>27.4</v>
      </c>
      <c r="K22" s="16">
        <f t="shared" si="11"/>
        <v>493.2</v>
      </c>
      <c r="L22" s="14"/>
      <c r="M22" s="16">
        <f t="shared" si="5"/>
        <v>0</v>
      </c>
      <c r="N22" s="16">
        <f t="shared" si="5"/>
        <v>0</v>
      </c>
      <c r="O22" s="7">
        <f t="shared" si="6"/>
        <v>0</v>
      </c>
      <c r="P22" s="16">
        <v>0</v>
      </c>
      <c r="Q22" s="16">
        <v>0</v>
      </c>
      <c r="R22" s="7">
        <f t="shared" si="12"/>
        <v>0</v>
      </c>
      <c r="S22" s="16">
        <v>0</v>
      </c>
      <c r="T22" s="16">
        <v>0</v>
      </c>
      <c r="U22" s="7">
        <f t="shared" si="13"/>
        <v>0</v>
      </c>
      <c r="V22" s="14"/>
      <c r="W22" s="16">
        <v>0</v>
      </c>
      <c r="X22" s="16">
        <f t="shared" si="9"/>
        <v>0</v>
      </c>
      <c r="Y22" s="16">
        <f t="shared" si="0"/>
        <v>0</v>
      </c>
      <c r="Z22" s="14"/>
      <c r="AA22" s="16">
        <v>0</v>
      </c>
      <c r="AB22" s="16">
        <f t="shared" si="1"/>
        <v>0</v>
      </c>
      <c r="AC22" s="7">
        <f t="shared" si="10"/>
        <v>0</v>
      </c>
    </row>
    <row r="23" spans="2:30">
      <c r="B23" s="19">
        <v>45738</v>
      </c>
      <c r="C23" s="19"/>
      <c r="D23" s="13">
        <f t="shared" si="2"/>
        <v>1</v>
      </c>
      <c r="E23" s="16">
        <v>0</v>
      </c>
      <c r="F23" s="16">
        <v>0</v>
      </c>
      <c r="G23" s="7">
        <f t="shared" si="3"/>
        <v>100000</v>
      </c>
      <c r="H23" s="14"/>
      <c r="I23" s="16">
        <v>0</v>
      </c>
      <c r="J23" s="16">
        <f t="shared" si="4"/>
        <v>27.4</v>
      </c>
      <c r="K23" s="16">
        <f t="shared" si="11"/>
        <v>520.6</v>
      </c>
      <c r="L23" s="14"/>
      <c r="M23" s="16">
        <f t="shared" si="5"/>
        <v>0</v>
      </c>
      <c r="N23" s="16">
        <f t="shared" si="5"/>
        <v>0</v>
      </c>
      <c r="O23" s="7">
        <f t="shared" si="6"/>
        <v>0</v>
      </c>
      <c r="P23" s="16">
        <v>0</v>
      </c>
      <c r="Q23" s="16">
        <v>0</v>
      </c>
      <c r="R23" s="7">
        <f t="shared" si="12"/>
        <v>0</v>
      </c>
      <c r="S23" s="16">
        <v>0</v>
      </c>
      <c r="T23" s="16">
        <v>0</v>
      </c>
      <c r="U23" s="7">
        <f t="shared" si="13"/>
        <v>0</v>
      </c>
      <c r="V23" s="14"/>
      <c r="W23" s="16">
        <v>0</v>
      </c>
      <c r="X23" s="16">
        <f t="shared" si="9"/>
        <v>0</v>
      </c>
      <c r="Y23" s="16">
        <f t="shared" si="0"/>
        <v>0</v>
      </c>
      <c r="Z23" s="14"/>
      <c r="AA23" s="16">
        <v>0</v>
      </c>
      <c r="AB23" s="16">
        <f t="shared" si="1"/>
        <v>0</v>
      </c>
      <c r="AC23" s="7">
        <f t="shared" si="10"/>
        <v>0</v>
      </c>
    </row>
    <row r="24" spans="2:30">
      <c r="B24" s="19">
        <v>45739</v>
      </c>
      <c r="C24" s="19"/>
      <c r="D24" s="13">
        <f t="shared" si="2"/>
        <v>1</v>
      </c>
      <c r="E24" s="16">
        <v>0</v>
      </c>
      <c r="F24" s="16">
        <v>0</v>
      </c>
      <c r="G24" s="7">
        <f t="shared" si="3"/>
        <v>100000</v>
      </c>
      <c r="H24" s="14"/>
      <c r="I24" s="16">
        <v>0</v>
      </c>
      <c r="J24" s="16">
        <f t="shared" si="4"/>
        <v>27.4</v>
      </c>
      <c r="K24" s="16">
        <f t="shared" si="11"/>
        <v>548</v>
      </c>
      <c r="L24" s="14"/>
      <c r="M24" s="16">
        <f t="shared" si="5"/>
        <v>0</v>
      </c>
      <c r="N24" s="16">
        <f t="shared" si="5"/>
        <v>0</v>
      </c>
      <c r="O24" s="7">
        <f t="shared" si="6"/>
        <v>0</v>
      </c>
      <c r="P24" s="16">
        <v>0</v>
      </c>
      <c r="Q24" s="16">
        <v>0</v>
      </c>
      <c r="R24" s="7">
        <f t="shared" si="12"/>
        <v>0</v>
      </c>
      <c r="S24" s="16">
        <v>0</v>
      </c>
      <c r="T24" s="16">
        <v>0</v>
      </c>
      <c r="U24" s="7">
        <f t="shared" si="13"/>
        <v>0</v>
      </c>
      <c r="V24" s="14"/>
      <c r="W24" s="16">
        <v>0</v>
      </c>
      <c r="X24" s="16">
        <f t="shared" si="9"/>
        <v>0</v>
      </c>
      <c r="Y24" s="16">
        <f t="shared" si="0"/>
        <v>0</v>
      </c>
      <c r="Z24" s="14"/>
      <c r="AA24" s="16">
        <v>0</v>
      </c>
      <c r="AB24" s="16">
        <f t="shared" si="1"/>
        <v>0</v>
      </c>
      <c r="AC24" s="7">
        <f t="shared" si="10"/>
        <v>0</v>
      </c>
    </row>
    <row r="25" spans="2:30">
      <c r="B25" s="19">
        <v>45740</v>
      </c>
      <c r="C25" s="19"/>
      <c r="D25" s="13">
        <f t="shared" si="2"/>
        <v>1</v>
      </c>
      <c r="E25" s="16">
        <v>0</v>
      </c>
      <c r="F25" s="16">
        <v>0</v>
      </c>
      <c r="G25" s="7">
        <f t="shared" si="3"/>
        <v>100000</v>
      </c>
      <c r="H25" s="14"/>
      <c r="I25" s="16">
        <v>0</v>
      </c>
      <c r="J25" s="16">
        <f t="shared" si="4"/>
        <v>27.4</v>
      </c>
      <c r="K25" s="16">
        <f t="shared" si="11"/>
        <v>575.4</v>
      </c>
      <c r="L25" s="14"/>
      <c r="M25" s="16">
        <f t="shared" si="5"/>
        <v>0</v>
      </c>
      <c r="N25" s="16">
        <f t="shared" si="5"/>
        <v>0</v>
      </c>
      <c r="O25" s="7">
        <f t="shared" si="6"/>
        <v>0</v>
      </c>
      <c r="P25" s="16">
        <v>0</v>
      </c>
      <c r="Q25" s="16">
        <v>0</v>
      </c>
      <c r="R25" s="7">
        <f t="shared" si="12"/>
        <v>0</v>
      </c>
      <c r="S25" s="16">
        <v>0</v>
      </c>
      <c r="T25" s="16">
        <v>0</v>
      </c>
      <c r="U25" s="7">
        <f t="shared" si="13"/>
        <v>0</v>
      </c>
      <c r="V25" s="14"/>
      <c r="W25" s="16">
        <v>0</v>
      </c>
      <c r="X25" s="16">
        <f t="shared" si="9"/>
        <v>0</v>
      </c>
      <c r="Y25" s="16">
        <f t="shared" si="0"/>
        <v>0</v>
      </c>
      <c r="Z25" s="14"/>
      <c r="AA25" s="16">
        <v>0</v>
      </c>
      <c r="AB25" s="16">
        <f t="shared" si="1"/>
        <v>0</v>
      </c>
      <c r="AC25" s="7">
        <f t="shared" si="10"/>
        <v>0</v>
      </c>
    </row>
    <row r="26" spans="2:30">
      <c r="B26" s="19">
        <v>45741</v>
      </c>
      <c r="C26" s="19"/>
      <c r="D26" s="13">
        <f t="shared" si="2"/>
        <v>1</v>
      </c>
      <c r="E26" s="16">
        <v>0</v>
      </c>
      <c r="F26" s="16">
        <v>0</v>
      </c>
      <c r="G26" s="7">
        <f t="shared" si="3"/>
        <v>100000</v>
      </c>
      <c r="H26" s="14"/>
      <c r="I26" s="16">
        <v>0</v>
      </c>
      <c r="J26" s="16">
        <f t="shared" si="4"/>
        <v>27.4</v>
      </c>
      <c r="K26" s="16">
        <f t="shared" si="11"/>
        <v>602.79999999999995</v>
      </c>
      <c r="L26" s="14"/>
      <c r="M26" s="16">
        <f t="shared" si="5"/>
        <v>0</v>
      </c>
      <c r="N26" s="16">
        <f t="shared" si="5"/>
        <v>0</v>
      </c>
      <c r="O26" s="7">
        <f t="shared" si="6"/>
        <v>0</v>
      </c>
      <c r="P26" s="16">
        <v>0</v>
      </c>
      <c r="Q26" s="16">
        <v>0</v>
      </c>
      <c r="R26" s="7">
        <f t="shared" si="12"/>
        <v>0</v>
      </c>
      <c r="S26" s="16">
        <v>0</v>
      </c>
      <c r="T26" s="16">
        <v>0</v>
      </c>
      <c r="U26" s="7">
        <f t="shared" si="13"/>
        <v>0</v>
      </c>
      <c r="V26" s="14"/>
      <c r="W26" s="16">
        <v>0</v>
      </c>
      <c r="X26" s="16">
        <f t="shared" si="9"/>
        <v>0</v>
      </c>
      <c r="Y26" s="16">
        <f t="shared" si="0"/>
        <v>0</v>
      </c>
      <c r="Z26" s="14"/>
      <c r="AA26" s="16">
        <v>0</v>
      </c>
      <c r="AB26" s="16">
        <f t="shared" si="1"/>
        <v>0</v>
      </c>
      <c r="AC26" s="7">
        <f t="shared" si="10"/>
        <v>0</v>
      </c>
    </row>
    <row r="27" spans="2:30">
      <c r="B27" s="19">
        <v>45742</v>
      </c>
      <c r="C27" s="19"/>
      <c r="D27" s="13">
        <f t="shared" si="2"/>
        <v>1</v>
      </c>
      <c r="E27" s="16">
        <v>0</v>
      </c>
      <c r="F27" s="16">
        <v>0</v>
      </c>
      <c r="G27" s="7">
        <f t="shared" si="3"/>
        <v>100000</v>
      </c>
      <c r="H27" s="14"/>
      <c r="I27" s="16">
        <v>0</v>
      </c>
      <c r="J27" s="16">
        <f t="shared" si="4"/>
        <v>27.4</v>
      </c>
      <c r="K27" s="16">
        <f t="shared" si="11"/>
        <v>630.20000000000005</v>
      </c>
      <c r="L27" s="14"/>
      <c r="M27" s="16">
        <f t="shared" si="5"/>
        <v>0</v>
      </c>
      <c r="N27" s="16">
        <f t="shared" si="5"/>
        <v>0</v>
      </c>
      <c r="O27" s="7">
        <f t="shared" si="6"/>
        <v>0</v>
      </c>
      <c r="P27" s="16">
        <v>0</v>
      </c>
      <c r="Q27" s="16">
        <v>0</v>
      </c>
      <c r="R27" s="7">
        <f t="shared" si="12"/>
        <v>0</v>
      </c>
      <c r="S27" s="16">
        <v>0</v>
      </c>
      <c r="T27" s="16">
        <v>0</v>
      </c>
      <c r="U27" s="7">
        <f t="shared" si="13"/>
        <v>0</v>
      </c>
      <c r="V27" s="14"/>
      <c r="W27" s="16">
        <v>0</v>
      </c>
      <c r="X27" s="16">
        <f t="shared" si="9"/>
        <v>0</v>
      </c>
      <c r="Y27" s="16">
        <f t="shared" si="0"/>
        <v>0</v>
      </c>
      <c r="Z27" s="14"/>
      <c r="AA27" s="16">
        <v>0</v>
      </c>
      <c r="AB27" s="16">
        <f t="shared" si="1"/>
        <v>0</v>
      </c>
      <c r="AC27" s="7">
        <f t="shared" si="10"/>
        <v>0</v>
      </c>
    </row>
    <row r="28" spans="2:30">
      <c r="B28" s="19">
        <v>45743</v>
      </c>
      <c r="C28" s="19"/>
      <c r="D28" s="13">
        <f t="shared" si="2"/>
        <v>1</v>
      </c>
      <c r="E28" s="16">
        <v>0</v>
      </c>
      <c r="F28" s="16">
        <v>0</v>
      </c>
      <c r="G28" s="7">
        <f t="shared" si="3"/>
        <v>100000</v>
      </c>
      <c r="H28" s="14"/>
      <c r="I28" s="16">
        <v>0</v>
      </c>
      <c r="J28" s="16">
        <f t="shared" si="4"/>
        <v>27.4</v>
      </c>
      <c r="K28" s="16">
        <f t="shared" si="11"/>
        <v>657.6</v>
      </c>
      <c r="L28" s="14"/>
      <c r="M28" s="16">
        <f t="shared" si="5"/>
        <v>0</v>
      </c>
      <c r="N28" s="16">
        <f t="shared" si="5"/>
        <v>0</v>
      </c>
      <c r="O28" s="7">
        <f t="shared" si="6"/>
        <v>0</v>
      </c>
      <c r="P28" s="16">
        <v>0</v>
      </c>
      <c r="Q28" s="16">
        <v>0</v>
      </c>
      <c r="R28" s="7">
        <f t="shared" si="12"/>
        <v>0</v>
      </c>
      <c r="S28" s="16">
        <v>0</v>
      </c>
      <c r="T28" s="16">
        <v>0</v>
      </c>
      <c r="U28" s="7">
        <f t="shared" si="13"/>
        <v>0</v>
      </c>
      <c r="V28" s="14"/>
      <c r="W28" s="16">
        <v>0</v>
      </c>
      <c r="X28" s="16">
        <f t="shared" si="9"/>
        <v>0</v>
      </c>
      <c r="Y28" s="16">
        <f t="shared" si="0"/>
        <v>0</v>
      </c>
      <c r="Z28" s="14"/>
      <c r="AA28" s="16">
        <v>0</v>
      </c>
      <c r="AB28" s="16">
        <f t="shared" si="1"/>
        <v>0</v>
      </c>
      <c r="AC28" s="7">
        <f t="shared" si="10"/>
        <v>0</v>
      </c>
    </row>
    <row r="29" spans="2:30">
      <c r="B29" s="19">
        <v>45744</v>
      </c>
      <c r="C29" s="19"/>
      <c r="D29" s="13">
        <f t="shared" si="2"/>
        <v>1</v>
      </c>
      <c r="E29" s="16">
        <v>0</v>
      </c>
      <c r="F29" s="16">
        <v>0</v>
      </c>
      <c r="G29" s="7">
        <f t="shared" si="3"/>
        <v>100000</v>
      </c>
      <c r="H29" s="14"/>
      <c r="I29" s="16">
        <v>0</v>
      </c>
      <c r="J29" s="16">
        <f t="shared" si="4"/>
        <v>27.4</v>
      </c>
      <c r="K29" s="16">
        <f t="shared" si="11"/>
        <v>685</v>
      </c>
      <c r="L29" s="14"/>
      <c r="M29" s="16">
        <f t="shared" si="5"/>
        <v>0</v>
      </c>
      <c r="N29" s="16">
        <f t="shared" si="5"/>
        <v>0</v>
      </c>
      <c r="O29" s="7">
        <f t="shared" si="6"/>
        <v>0</v>
      </c>
      <c r="P29" s="16">
        <v>0</v>
      </c>
      <c r="Q29" s="16">
        <v>0</v>
      </c>
      <c r="R29" s="7">
        <f t="shared" si="12"/>
        <v>0</v>
      </c>
      <c r="S29" s="16">
        <v>0</v>
      </c>
      <c r="T29" s="16">
        <v>0</v>
      </c>
      <c r="U29" s="7">
        <f t="shared" si="13"/>
        <v>0</v>
      </c>
      <c r="V29" s="14"/>
      <c r="W29" s="16">
        <v>0</v>
      </c>
      <c r="X29" s="16">
        <f t="shared" si="9"/>
        <v>0</v>
      </c>
      <c r="Y29" s="16">
        <f t="shared" si="0"/>
        <v>0</v>
      </c>
      <c r="Z29" s="14"/>
      <c r="AA29" s="16">
        <v>0</v>
      </c>
      <c r="AB29" s="16">
        <f t="shared" si="1"/>
        <v>0</v>
      </c>
      <c r="AC29" s="7">
        <f t="shared" si="10"/>
        <v>0</v>
      </c>
    </row>
    <row r="30" spans="2:30">
      <c r="B30" s="19">
        <v>45745</v>
      </c>
      <c r="C30" s="19"/>
      <c r="D30" s="13">
        <f t="shared" si="2"/>
        <v>1</v>
      </c>
      <c r="E30" s="16">
        <v>0</v>
      </c>
      <c r="F30" s="16">
        <v>0</v>
      </c>
      <c r="G30" s="7">
        <f t="shared" si="3"/>
        <v>100000</v>
      </c>
      <c r="H30" s="14"/>
      <c r="I30" s="16">
        <v>0</v>
      </c>
      <c r="J30" s="16">
        <f t="shared" si="4"/>
        <v>27.4</v>
      </c>
      <c r="K30" s="16">
        <f t="shared" si="11"/>
        <v>712.4</v>
      </c>
      <c r="L30" s="14"/>
      <c r="M30" s="16">
        <f t="shared" si="5"/>
        <v>0</v>
      </c>
      <c r="N30" s="16">
        <f t="shared" si="5"/>
        <v>0</v>
      </c>
      <c r="O30" s="7">
        <f t="shared" si="6"/>
        <v>0</v>
      </c>
      <c r="P30" s="16">
        <v>0</v>
      </c>
      <c r="Q30" s="16">
        <v>0</v>
      </c>
      <c r="R30" s="7">
        <f t="shared" si="12"/>
        <v>0</v>
      </c>
      <c r="S30" s="16">
        <v>0</v>
      </c>
      <c r="T30" s="16">
        <v>0</v>
      </c>
      <c r="U30" s="7">
        <f t="shared" si="13"/>
        <v>0</v>
      </c>
      <c r="V30" s="14"/>
      <c r="W30" s="16">
        <v>0</v>
      </c>
      <c r="X30" s="16">
        <f t="shared" si="9"/>
        <v>0</v>
      </c>
      <c r="Y30" s="16">
        <f t="shared" si="0"/>
        <v>0</v>
      </c>
      <c r="Z30" s="14"/>
      <c r="AA30" s="16">
        <v>0</v>
      </c>
      <c r="AB30" s="16">
        <f t="shared" si="1"/>
        <v>0</v>
      </c>
      <c r="AC30" s="7">
        <f t="shared" si="10"/>
        <v>0</v>
      </c>
    </row>
    <row r="31" spans="2:30">
      <c r="B31" s="19">
        <v>45746</v>
      </c>
      <c r="C31" s="19"/>
      <c r="D31" s="13">
        <f t="shared" si="2"/>
        <v>1</v>
      </c>
      <c r="E31" s="16">
        <v>0</v>
      </c>
      <c r="F31" s="16">
        <v>0</v>
      </c>
      <c r="G31" s="7">
        <f t="shared" si="3"/>
        <v>100000</v>
      </c>
      <c r="H31" s="14"/>
      <c r="I31" s="16">
        <v>0</v>
      </c>
      <c r="J31" s="16">
        <f t="shared" si="4"/>
        <v>27.4</v>
      </c>
      <c r="K31" s="16">
        <f t="shared" si="11"/>
        <v>739.8</v>
      </c>
      <c r="L31" s="14"/>
      <c r="M31" s="16">
        <f t="shared" si="5"/>
        <v>0</v>
      </c>
      <c r="N31" s="16">
        <f t="shared" si="5"/>
        <v>0</v>
      </c>
      <c r="O31" s="7">
        <f t="shared" si="6"/>
        <v>0</v>
      </c>
      <c r="P31" s="16">
        <v>0</v>
      </c>
      <c r="Q31" s="16">
        <v>0</v>
      </c>
      <c r="R31" s="7">
        <f t="shared" si="12"/>
        <v>0</v>
      </c>
      <c r="S31" s="16">
        <v>0</v>
      </c>
      <c r="T31" s="16">
        <v>0</v>
      </c>
      <c r="U31" s="7">
        <f t="shared" si="13"/>
        <v>0</v>
      </c>
      <c r="V31" s="14"/>
      <c r="W31" s="16">
        <v>0</v>
      </c>
      <c r="X31" s="16">
        <f t="shared" si="9"/>
        <v>0</v>
      </c>
      <c r="Y31" s="16">
        <f t="shared" si="0"/>
        <v>0</v>
      </c>
      <c r="Z31" s="14"/>
      <c r="AA31" s="16">
        <v>0</v>
      </c>
      <c r="AB31" s="16">
        <f t="shared" si="1"/>
        <v>0</v>
      </c>
      <c r="AC31" s="7">
        <f t="shared" si="10"/>
        <v>0</v>
      </c>
    </row>
    <row r="32" spans="2:30" ht="34">
      <c r="B32" s="19">
        <v>45747</v>
      </c>
      <c r="C32" s="19"/>
      <c r="D32" s="13">
        <f t="shared" si="2"/>
        <v>1</v>
      </c>
      <c r="E32" s="16">
        <v>0</v>
      </c>
      <c r="F32" s="16">
        <v>0</v>
      </c>
      <c r="G32" s="7">
        <f t="shared" si="3"/>
        <v>100000</v>
      </c>
      <c r="H32" s="14"/>
      <c r="I32" s="21">
        <f>K31</f>
        <v>739.8</v>
      </c>
      <c r="J32" s="16">
        <f t="shared" si="4"/>
        <v>27.4</v>
      </c>
      <c r="K32" s="16">
        <f t="shared" si="11"/>
        <v>27.4</v>
      </c>
      <c r="L32" s="14"/>
      <c r="M32" s="16">
        <f>P32+S32</f>
        <v>0</v>
      </c>
      <c r="N32" s="21">
        <f>Q32+T32</f>
        <v>695.41199999999992</v>
      </c>
      <c r="O32" s="10">
        <f>O31+N32-M32</f>
        <v>695.41199999999992</v>
      </c>
      <c r="P32" s="16">
        <v>0</v>
      </c>
      <c r="Q32" s="16">
        <v>0</v>
      </c>
      <c r="R32" s="7">
        <f t="shared" si="12"/>
        <v>0</v>
      </c>
      <c r="S32" s="16">
        <v>0</v>
      </c>
      <c r="T32" s="21">
        <f>(I32+W32)-AB32</f>
        <v>695.41199999999992</v>
      </c>
      <c r="U32" s="7">
        <f t="shared" si="13"/>
        <v>695.41199999999992</v>
      </c>
      <c r="V32" s="14"/>
      <c r="W32" s="21">
        <f>Y31</f>
        <v>0</v>
      </c>
      <c r="X32" s="16">
        <f>ROUND((O32-N32)*$M$3/$N$3*D32,2)</f>
        <v>0</v>
      </c>
      <c r="Y32" s="16">
        <f t="shared" si="0"/>
        <v>0</v>
      </c>
      <c r="Z32" s="14"/>
      <c r="AA32" s="16">
        <v>0</v>
      </c>
      <c r="AB32" s="22">
        <f t="shared" si="1"/>
        <v>44.387999999999998</v>
      </c>
      <c r="AC32" s="69">
        <f t="shared" si="10"/>
        <v>44.39</v>
      </c>
      <c r="AD32" s="23" t="s">
        <v>47</v>
      </c>
    </row>
    <row r="33" spans="1:30">
      <c r="B33" s="19">
        <v>45748</v>
      </c>
      <c r="C33" s="19"/>
      <c r="D33" s="13">
        <f t="shared" si="2"/>
        <v>1</v>
      </c>
      <c r="E33" s="16">
        <v>0</v>
      </c>
      <c r="F33" s="16">
        <v>0</v>
      </c>
      <c r="G33" s="7">
        <f t="shared" si="3"/>
        <v>100000</v>
      </c>
      <c r="H33" s="14"/>
      <c r="I33" s="16">
        <v>0</v>
      </c>
      <c r="J33" s="16">
        <f>ROUND((G33-F33)*$B$3/$D$3*D33,2)</f>
        <v>27.4</v>
      </c>
      <c r="K33" s="16">
        <f t="shared" si="11"/>
        <v>54.8</v>
      </c>
      <c r="L33" s="14"/>
      <c r="M33" s="16">
        <f t="shared" si="5"/>
        <v>0</v>
      </c>
      <c r="N33" s="16">
        <f t="shared" si="5"/>
        <v>0</v>
      </c>
      <c r="O33" s="7">
        <f t="shared" si="6"/>
        <v>695.41199999999992</v>
      </c>
      <c r="P33" s="16">
        <v>0</v>
      </c>
      <c r="Q33" s="16">
        <v>0</v>
      </c>
      <c r="R33" s="7">
        <f t="shared" si="12"/>
        <v>0</v>
      </c>
      <c r="S33" s="16">
        <v>0</v>
      </c>
      <c r="T33" s="16">
        <v>0</v>
      </c>
      <c r="U33" s="7">
        <f t="shared" si="13"/>
        <v>695.41199999999992</v>
      </c>
      <c r="V33" s="14"/>
      <c r="W33" s="16">
        <v>0</v>
      </c>
      <c r="X33" s="16">
        <f>ROUND((O33-N33)*$M$3/$N$3*D33,2)</f>
        <v>0.02</v>
      </c>
      <c r="Y33" s="16">
        <f t="shared" si="0"/>
        <v>0.02</v>
      </c>
      <c r="Z33" s="14"/>
      <c r="AA33" s="16">
        <v>0</v>
      </c>
      <c r="AB33" s="16">
        <f t="shared" si="1"/>
        <v>0</v>
      </c>
      <c r="AC33" s="7">
        <f t="shared" si="10"/>
        <v>44.39</v>
      </c>
    </row>
    <row r="34" spans="1:30">
      <c r="B34" s="19">
        <v>45749</v>
      </c>
      <c r="C34" s="19"/>
      <c r="D34" s="13">
        <f t="shared" si="2"/>
        <v>1</v>
      </c>
      <c r="E34" s="16">
        <v>0</v>
      </c>
      <c r="F34" s="16">
        <v>0</v>
      </c>
      <c r="G34" s="7">
        <f t="shared" si="3"/>
        <v>100000</v>
      </c>
      <c r="H34" s="14"/>
      <c r="I34" s="16">
        <v>0</v>
      </c>
      <c r="J34" s="16">
        <f t="shared" si="4"/>
        <v>27.4</v>
      </c>
      <c r="K34" s="16">
        <f t="shared" si="11"/>
        <v>82.2</v>
      </c>
      <c r="L34" s="14"/>
      <c r="M34" s="16">
        <f t="shared" si="5"/>
        <v>0</v>
      </c>
      <c r="N34" s="16">
        <f t="shared" si="5"/>
        <v>0</v>
      </c>
      <c r="O34" s="7">
        <f t="shared" si="6"/>
        <v>695.41199999999992</v>
      </c>
      <c r="P34" s="16">
        <v>0</v>
      </c>
      <c r="Q34" s="16">
        <v>0</v>
      </c>
      <c r="R34" s="7">
        <f t="shared" si="12"/>
        <v>0</v>
      </c>
      <c r="S34" s="16">
        <v>0</v>
      </c>
      <c r="T34" s="16">
        <v>0</v>
      </c>
      <c r="U34" s="7">
        <f t="shared" si="13"/>
        <v>695.41199999999992</v>
      </c>
      <c r="V34" s="14"/>
      <c r="W34" s="16">
        <v>0</v>
      </c>
      <c r="X34" s="16">
        <f t="shared" si="9"/>
        <v>0.02</v>
      </c>
      <c r="Y34" s="16">
        <f t="shared" si="0"/>
        <v>0.04</v>
      </c>
      <c r="Z34" s="14"/>
      <c r="AA34" s="16">
        <v>0</v>
      </c>
      <c r="AB34" s="16">
        <f t="shared" si="1"/>
        <v>0</v>
      </c>
      <c r="AC34" s="7">
        <f t="shared" si="10"/>
        <v>44.39</v>
      </c>
    </row>
    <row r="35" spans="1:30" s="16" customFormat="1">
      <c r="A35" s="13"/>
      <c r="B35" s="19">
        <v>45750</v>
      </c>
      <c r="C35" s="19"/>
      <c r="D35" s="13">
        <f t="shared" si="2"/>
        <v>1</v>
      </c>
      <c r="E35" s="16">
        <v>0</v>
      </c>
      <c r="F35" s="16">
        <v>0</v>
      </c>
      <c r="G35" s="7">
        <f t="shared" si="3"/>
        <v>100000</v>
      </c>
      <c r="H35" s="14"/>
      <c r="I35" s="16">
        <v>0</v>
      </c>
      <c r="J35" s="16">
        <f t="shared" si="4"/>
        <v>27.4</v>
      </c>
      <c r="K35" s="16">
        <f t="shared" si="11"/>
        <v>109.6</v>
      </c>
      <c r="L35" s="14"/>
      <c r="M35" s="16">
        <f t="shared" si="5"/>
        <v>0</v>
      </c>
      <c r="N35" s="16">
        <f t="shared" si="5"/>
        <v>0</v>
      </c>
      <c r="O35" s="7">
        <f t="shared" si="6"/>
        <v>695.41199999999992</v>
      </c>
      <c r="P35" s="16">
        <v>0</v>
      </c>
      <c r="Q35" s="16">
        <v>0</v>
      </c>
      <c r="R35" s="7">
        <f t="shared" si="12"/>
        <v>0</v>
      </c>
      <c r="S35" s="16">
        <v>0</v>
      </c>
      <c r="T35" s="16">
        <v>0</v>
      </c>
      <c r="U35" s="7">
        <f t="shared" si="13"/>
        <v>695.41199999999992</v>
      </c>
      <c r="V35" s="14"/>
      <c r="W35" s="16">
        <v>0</v>
      </c>
      <c r="X35" s="16">
        <f t="shared" si="9"/>
        <v>0.02</v>
      </c>
      <c r="Y35" s="16">
        <f t="shared" si="0"/>
        <v>0.06</v>
      </c>
      <c r="Z35" s="14"/>
      <c r="AA35" s="16">
        <v>0</v>
      </c>
      <c r="AB35" s="16">
        <f t="shared" si="1"/>
        <v>0</v>
      </c>
      <c r="AC35" s="7">
        <f t="shared" si="10"/>
        <v>44.39</v>
      </c>
    </row>
    <row r="36" spans="1:30" s="16" customFormat="1">
      <c r="A36" s="13"/>
      <c r="B36" s="19">
        <v>45751</v>
      </c>
      <c r="C36" s="19"/>
      <c r="D36" s="13">
        <f t="shared" si="2"/>
        <v>1</v>
      </c>
      <c r="E36" s="16">
        <v>0</v>
      </c>
      <c r="F36" s="16">
        <v>0</v>
      </c>
      <c r="G36" s="7">
        <f t="shared" si="3"/>
        <v>100000</v>
      </c>
      <c r="H36" s="14"/>
      <c r="I36" s="16">
        <v>0</v>
      </c>
      <c r="J36" s="16">
        <f t="shared" si="4"/>
        <v>27.4</v>
      </c>
      <c r="K36" s="16">
        <f t="shared" si="11"/>
        <v>137</v>
      </c>
      <c r="L36" s="14"/>
      <c r="M36" s="16">
        <f t="shared" si="5"/>
        <v>0</v>
      </c>
      <c r="N36" s="16">
        <f t="shared" si="5"/>
        <v>0</v>
      </c>
      <c r="O36" s="7">
        <f t="shared" si="6"/>
        <v>695.41199999999992</v>
      </c>
      <c r="P36" s="16">
        <v>0</v>
      </c>
      <c r="Q36" s="16">
        <v>0</v>
      </c>
      <c r="R36" s="7">
        <f t="shared" si="12"/>
        <v>0</v>
      </c>
      <c r="S36" s="16">
        <v>0</v>
      </c>
      <c r="T36" s="16">
        <v>0</v>
      </c>
      <c r="U36" s="7">
        <f t="shared" si="13"/>
        <v>695.41199999999992</v>
      </c>
      <c r="V36" s="14"/>
      <c r="W36" s="16">
        <v>0</v>
      </c>
      <c r="X36" s="16">
        <f t="shared" si="9"/>
        <v>0.02</v>
      </c>
      <c r="Y36" s="16">
        <f t="shared" si="0"/>
        <v>0.08</v>
      </c>
      <c r="Z36" s="14"/>
      <c r="AA36" s="16">
        <v>0</v>
      </c>
      <c r="AB36" s="16">
        <f t="shared" si="1"/>
        <v>0</v>
      </c>
      <c r="AC36" s="7">
        <f t="shared" si="10"/>
        <v>44.39</v>
      </c>
    </row>
    <row r="37" spans="1:30" ht="34">
      <c r="B37" s="19">
        <v>45752</v>
      </c>
      <c r="C37" s="19"/>
      <c r="D37" s="13">
        <f t="shared" si="2"/>
        <v>1</v>
      </c>
      <c r="E37" s="16">
        <v>0</v>
      </c>
      <c r="F37" s="14">
        <v>10000</v>
      </c>
      <c r="G37" s="7">
        <f>G36+F37-E37</f>
        <v>110000</v>
      </c>
      <c r="H37" s="14"/>
      <c r="I37" s="16">
        <v>0</v>
      </c>
      <c r="J37" s="16">
        <f t="shared" si="4"/>
        <v>27.4</v>
      </c>
      <c r="K37" s="16">
        <f t="shared" si="11"/>
        <v>164.4</v>
      </c>
      <c r="L37" s="14"/>
      <c r="M37" s="16">
        <f t="shared" si="5"/>
        <v>0</v>
      </c>
      <c r="N37" s="16">
        <f t="shared" si="5"/>
        <v>0</v>
      </c>
      <c r="O37" s="7">
        <f t="shared" si="6"/>
        <v>695.41199999999992</v>
      </c>
      <c r="P37" s="16">
        <v>0</v>
      </c>
      <c r="Q37" s="16">
        <v>0</v>
      </c>
      <c r="R37" s="7">
        <f>R36+Q37-P37</f>
        <v>0</v>
      </c>
      <c r="S37" s="16">
        <v>0</v>
      </c>
      <c r="T37" s="16">
        <v>0</v>
      </c>
      <c r="U37" s="7">
        <f>U36+T37-S37</f>
        <v>695.41199999999992</v>
      </c>
      <c r="V37" s="14"/>
      <c r="W37" s="16">
        <v>0</v>
      </c>
      <c r="X37" s="16">
        <f t="shared" si="9"/>
        <v>0.02</v>
      </c>
      <c r="Y37" s="16">
        <f t="shared" si="0"/>
        <v>0.1</v>
      </c>
      <c r="Z37" s="14"/>
      <c r="AA37" s="16">
        <v>0</v>
      </c>
      <c r="AB37" s="16">
        <f t="shared" si="1"/>
        <v>0</v>
      </c>
      <c r="AC37" s="7">
        <f t="shared" si="10"/>
        <v>44.39</v>
      </c>
      <c r="AD37" s="65" t="s">
        <v>15</v>
      </c>
    </row>
    <row r="38" spans="1:30">
      <c r="B38" s="19">
        <v>45753</v>
      </c>
      <c r="C38" s="19"/>
      <c r="D38" s="13">
        <f t="shared" si="2"/>
        <v>1</v>
      </c>
      <c r="E38" s="16">
        <v>0</v>
      </c>
      <c r="F38" s="16">
        <v>0</v>
      </c>
      <c r="G38" s="7">
        <f>G37+F38-E38</f>
        <v>110000</v>
      </c>
      <c r="H38" s="14"/>
      <c r="I38" s="16">
        <v>0</v>
      </c>
      <c r="J38" s="16">
        <f t="shared" si="4"/>
        <v>30.14</v>
      </c>
      <c r="K38" s="16">
        <f t="shared" si="11"/>
        <v>194.54</v>
      </c>
      <c r="L38" s="14"/>
      <c r="M38" s="16">
        <f t="shared" si="5"/>
        <v>0</v>
      </c>
      <c r="N38" s="16">
        <f t="shared" si="5"/>
        <v>0</v>
      </c>
      <c r="O38" s="7">
        <f t="shared" si="6"/>
        <v>695.41199999999992</v>
      </c>
      <c r="P38" s="16">
        <v>0</v>
      </c>
      <c r="Q38" s="16">
        <v>0</v>
      </c>
      <c r="R38" s="7">
        <f>R37+Q38-P38</f>
        <v>0</v>
      </c>
      <c r="S38" s="16">
        <v>0</v>
      </c>
      <c r="T38" s="16">
        <v>0</v>
      </c>
      <c r="U38" s="7">
        <f>U37+T38-S38</f>
        <v>695.41199999999992</v>
      </c>
      <c r="V38" s="14"/>
      <c r="W38" s="16">
        <v>0</v>
      </c>
      <c r="X38" s="16">
        <f t="shared" si="9"/>
        <v>0.02</v>
      </c>
      <c r="Y38" s="16">
        <f t="shared" si="0"/>
        <v>0.12</v>
      </c>
      <c r="Z38" s="14"/>
      <c r="AA38" s="16">
        <v>0</v>
      </c>
      <c r="AB38" s="16">
        <f t="shared" si="1"/>
        <v>0</v>
      </c>
      <c r="AC38" s="7">
        <f t="shared" si="10"/>
        <v>44.39</v>
      </c>
    </row>
    <row r="39" spans="1:30">
      <c r="B39" s="19">
        <v>45754</v>
      </c>
      <c r="C39" s="19"/>
      <c r="D39" s="13">
        <f t="shared" si="2"/>
        <v>1</v>
      </c>
      <c r="E39" s="16">
        <v>0</v>
      </c>
      <c r="F39" s="16">
        <v>0</v>
      </c>
      <c r="G39" s="7">
        <f t="shared" si="3"/>
        <v>110000</v>
      </c>
      <c r="H39" s="14"/>
      <c r="I39" s="16">
        <v>0</v>
      </c>
      <c r="J39" s="16">
        <f t="shared" si="4"/>
        <v>30.14</v>
      </c>
      <c r="K39" s="16">
        <f t="shared" si="11"/>
        <v>224.68</v>
      </c>
      <c r="L39" s="14"/>
      <c r="M39" s="16">
        <f t="shared" si="5"/>
        <v>0</v>
      </c>
      <c r="N39" s="16">
        <f t="shared" si="5"/>
        <v>0</v>
      </c>
      <c r="O39" s="7">
        <f t="shared" si="6"/>
        <v>695.41199999999992</v>
      </c>
      <c r="P39" s="16">
        <v>0</v>
      </c>
      <c r="Q39" s="16">
        <v>0</v>
      </c>
      <c r="R39" s="7">
        <f t="shared" ref="R39:R102" si="14">R38+Q39-P39</f>
        <v>0</v>
      </c>
      <c r="S39" s="16">
        <v>0</v>
      </c>
      <c r="T39" s="16">
        <v>0</v>
      </c>
      <c r="U39" s="7">
        <f t="shared" ref="U39:U102" si="15">U38+T39-S39</f>
        <v>695.41199999999992</v>
      </c>
      <c r="V39" s="14"/>
      <c r="W39" s="16">
        <v>0</v>
      </c>
      <c r="X39" s="16">
        <f t="shared" si="9"/>
        <v>0.02</v>
      </c>
      <c r="Y39" s="16">
        <f t="shared" si="0"/>
        <v>0.14000000000000001</v>
      </c>
      <c r="Z39" s="14"/>
      <c r="AA39" s="16">
        <v>0</v>
      </c>
      <c r="AB39" s="16">
        <f t="shared" si="1"/>
        <v>0</v>
      </c>
      <c r="AC39" s="7">
        <f t="shared" si="10"/>
        <v>44.39</v>
      </c>
    </row>
    <row r="40" spans="1:30">
      <c r="B40" s="19">
        <v>45755</v>
      </c>
      <c r="C40" s="19"/>
      <c r="D40" s="13">
        <f t="shared" si="2"/>
        <v>1</v>
      </c>
      <c r="E40" s="16">
        <v>0</v>
      </c>
      <c r="F40" s="16">
        <v>0</v>
      </c>
      <c r="G40" s="7">
        <f t="shared" si="3"/>
        <v>110000</v>
      </c>
      <c r="H40" s="14"/>
      <c r="I40" s="16">
        <v>0</v>
      </c>
      <c r="J40" s="16">
        <f t="shared" si="4"/>
        <v>30.14</v>
      </c>
      <c r="K40" s="16">
        <f t="shared" si="11"/>
        <v>254.82</v>
      </c>
      <c r="L40" s="14"/>
      <c r="M40" s="16">
        <f t="shared" si="5"/>
        <v>0</v>
      </c>
      <c r="N40" s="16">
        <f t="shared" si="5"/>
        <v>0</v>
      </c>
      <c r="O40" s="7">
        <f t="shared" si="6"/>
        <v>695.41199999999992</v>
      </c>
      <c r="P40" s="16">
        <v>0</v>
      </c>
      <c r="Q40" s="16">
        <v>0</v>
      </c>
      <c r="R40" s="7">
        <f t="shared" si="14"/>
        <v>0</v>
      </c>
      <c r="S40" s="16">
        <v>0</v>
      </c>
      <c r="T40" s="16">
        <v>0</v>
      </c>
      <c r="U40" s="7">
        <f t="shared" si="15"/>
        <v>695.41199999999992</v>
      </c>
      <c r="V40" s="14"/>
      <c r="W40" s="16">
        <v>0</v>
      </c>
      <c r="X40" s="16">
        <f t="shared" si="9"/>
        <v>0.02</v>
      </c>
      <c r="Y40" s="16">
        <f t="shared" si="0"/>
        <v>0.16</v>
      </c>
      <c r="Z40" s="14"/>
      <c r="AA40" s="16">
        <v>0</v>
      </c>
      <c r="AB40" s="16">
        <f t="shared" si="1"/>
        <v>0</v>
      </c>
      <c r="AC40" s="7">
        <f t="shared" si="10"/>
        <v>44.39</v>
      </c>
    </row>
    <row r="41" spans="1:30">
      <c r="B41" s="19">
        <v>45756</v>
      </c>
      <c r="C41" s="19"/>
      <c r="D41" s="13">
        <f t="shared" si="2"/>
        <v>1</v>
      </c>
      <c r="E41" s="16">
        <v>0</v>
      </c>
      <c r="F41" s="16">
        <v>0</v>
      </c>
      <c r="G41" s="7">
        <f t="shared" si="3"/>
        <v>110000</v>
      </c>
      <c r="H41" s="14"/>
      <c r="I41" s="16">
        <v>0</v>
      </c>
      <c r="J41" s="16">
        <f t="shared" si="4"/>
        <v>30.14</v>
      </c>
      <c r="K41" s="16">
        <f t="shared" si="11"/>
        <v>284.95999999999998</v>
      </c>
      <c r="L41" s="14"/>
      <c r="M41" s="16">
        <f t="shared" si="5"/>
        <v>0</v>
      </c>
      <c r="N41" s="16">
        <f t="shared" si="5"/>
        <v>0</v>
      </c>
      <c r="O41" s="7">
        <f t="shared" si="6"/>
        <v>695.41199999999992</v>
      </c>
      <c r="P41" s="16">
        <v>0</v>
      </c>
      <c r="Q41" s="16">
        <v>0</v>
      </c>
      <c r="R41" s="7">
        <f t="shared" si="14"/>
        <v>0</v>
      </c>
      <c r="S41" s="16">
        <v>0</v>
      </c>
      <c r="T41" s="16">
        <v>0</v>
      </c>
      <c r="U41" s="7">
        <f t="shared" si="15"/>
        <v>695.41199999999992</v>
      </c>
      <c r="V41" s="14"/>
      <c r="W41" s="16">
        <v>0</v>
      </c>
      <c r="X41" s="16">
        <f t="shared" si="9"/>
        <v>0.02</v>
      </c>
      <c r="Y41" s="16">
        <f t="shared" si="0"/>
        <v>0.18</v>
      </c>
      <c r="Z41" s="14"/>
      <c r="AA41" s="16">
        <v>0</v>
      </c>
      <c r="AB41" s="16">
        <f t="shared" si="1"/>
        <v>0</v>
      </c>
      <c r="AC41" s="7">
        <f t="shared" si="10"/>
        <v>44.39</v>
      </c>
    </row>
    <row r="42" spans="1:30">
      <c r="B42" s="19">
        <v>45757</v>
      </c>
      <c r="C42" s="19"/>
      <c r="D42" s="13">
        <f t="shared" si="2"/>
        <v>1</v>
      </c>
      <c r="E42" s="16">
        <v>0</v>
      </c>
      <c r="F42" s="16">
        <v>0</v>
      </c>
      <c r="G42" s="7">
        <f t="shared" si="3"/>
        <v>110000</v>
      </c>
      <c r="H42" s="14"/>
      <c r="I42" s="16">
        <v>0</v>
      </c>
      <c r="J42" s="16">
        <f t="shared" si="4"/>
        <v>30.14</v>
      </c>
      <c r="K42" s="16">
        <f t="shared" si="11"/>
        <v>315.10000000000002</v>
      </c>
      <c r="L42" s="14"/>
      <c r="M42" s="16">
        <f t="shared" si="5"/>
        <v>0</v>
      </c>
      <c r="N42" s="16">
        <f t="shared" si="5"/>
        <v>0</v>
      </c>
      <c r="O42" s="7">
        <f t="shared" si="6"/>
        <v>695.41199999999992</v>
      </c>
      <c r="P42" s="16">
        <v>0</v>
      </c>
      <c r="Q42" s="16">
        <v>0</v>
      </c>
      <c r="R42" s="7">
        <f t="shared" si="14"/>
        <v>0</v>
      </c>
      <c r="S42" s="16">
        <v>0</v>
      </c>
      <c r="T42" s="16">
        <v>0</v>
      </c>
      <c r="U42" s="7">
        <f t="shared" si="15"/>
        <v>695.41199999999992</v>
      </c>
      <c r="V42" s="14"/>
      <c r="W42" s="16">
        <v>0</v>
      </c>
      <c r="X42" s="16">
        <f t="shared" si="9"/>
        <v>0.02</v>
      </c>
      <c r="Y42" s="16">
        <f t="shared" si="0"/>
        <v>0.2</v>
      </c>
      <c r="Z42" s="14"/>
      <c r="AA42" s="16">
        <v>0</v>
      </c>
      <c r="AB42" s="16">
        <f t="shared" si="1"/>
        <v>0</v>
      </c>
      <c r="AC42" s="7">
        <f t="shared" si="10"/>
        <v>44.39</v>
      </c>
    </row>
    <row r="43" spans="1:30">
      <c r="B43" s="19">
        <v>45758</v>
      </c>
      <c r="C43" s="19"/>
      <c r="D43" s="13">
        <f t="shared" si="2"/>
        <v>1</v>
      </c>
      <c r="E43" s="16">
        <v>0</v>
      </c>
      <c r="F43" s="16">
        <v>0</v>
      </c>
      <c r="G43" s="7">
        <f t="shared" si="3"/>
        <v>110000</v>
      </c>
      <c r="H43" s="14"/>
      <c r="I43" s="16">
        <v>0</v>
      </c>
      <c r="J43" s="16">
        <f t="shared" si="4"/>
        <v>30.14</v>
      </c>
      <c r="K43" s="16">
        <f t="shared" si="11"/>
        <v>345.24</v>
      </c>
      <c r="L43" s="14"/>
      <c r="M43" s="16">
        <f t="shared" si="5"/>
        <v>0</v>
      </c>
      <c r="N43" s="16">
        <f t="shared" si="5"/>
        <v>0</v>
      </c>
      <c r="O43" s="7">
        <f t="shared" si="6"/>
        <v>695.41199999999992</v>
      </c>
      <c r="P43" s="16">
        <v>0</v>
      </c>
      <c r="Q43" s="16">
        <v>0</v>
      </c>
      <c r="R43" s="7">
        <f t="shared" si="14"/>
        <v>0</v>
      </c>
      <c r="S43" s="16">
        <v>0</v>
      </c>
      <c r="T43" s="16">
        <v>0</v>
      </c>
      <c r="U43" s="7">
        <f t="shared" si="15"/>
        <v>695.41199999999992</v>
      </c>
      <c r="V43" s="14"/>
      <c r="W43" s="16">
        <v>0</v>
      </c>
      <c r="X43" s="16">
        <f t="shared" si="9"/>
        <v>0.02</v>
      </c>
      <c r="Y43" s="16">
        <f t="shared" si="0"/>
        <v>0.22</v>
      </c>
      <c r="Z43" s="14"/>
      <c r="AA43" s="16">
        <v>0</v>
      </c>
      <c r="AB43" s="16">
        <f t="shared" si="1"/>
        <v>0</v>
      </c>
      <c r="AC43" s="7">
        <f t="shared" si="10"/>
        <v>44.39</v>
      </c>
    </row>
    <row r="44" spans="1:30">
      <c r="B44" s="19">
        <v>45759</v>
      </c>
      <c r="C44" s="19"/>
      <c r="D44" s="13">
        <f t="shared" si="2"/>
        <v>1</v>
      </c>
      <c r="E44" s="16">
        <v>0</v>
      </c>
      <c r="F44" s="16">
        <v>0</v>
      </c>
      <c r="G44" s="7">
        <f t="shared" si="3"/>
        <v>110000</v>
      </c>
      <c r="H44" s="14"/>
      <c r="I44" s="16">
        <v>0</v>
      </c>
      <c r="J44" s="16">
        <f t="shared" si="4"/>
        <v>30.14</v>
      </c>
      <c r="K44" s="16">
        <f t="shared" si="11"/>
        <v>375.38</v>
      </c>
      <c r="L44" s="14"/>
      <c r="M44" s="16">
        <f t="shared" si="5"/>
        <v>0</v>
      </c>
      <c r="N44" s="16">
        <f t="shared" si="5"/>
        <v>0</v>
      </c>
      <c r="O44" s="7">
        <f t="shared" si="6"/>
        <v>695.41199999999992</v>
      </c>
      <c r="P44" s="16">
        <v>0</v>
      </c>
      <c r="Q44" s="16">
        <v>0</v>
      </c>
      <c r="R44" s="7">
        <f t="shared" si="14"/>
        <v>0</v>
      </c>
      <c r="S44" s="16">
        <v>0</v>
      </c>
      <c r="T44" s="16">
        <v>0</v>
      </c>
      <c r="U44" s="7">
        <f t="shared" si="15"/>
        <v>695.41199999999992</v>
      </c>
      <c r="V44" s="14"/>
      <c r="W44" s="16">
        <v>0</v>
      </c>
      <c r="X44" s="16">
        <f t="shared" si="9"/>
        <v>0.02</v>
      </c>
      <c r="Y44" s="16">
        <f t="shared" si="0"/>
        <v>0.24</v>
      </c>
      <c r="Z44" s="14"/>
      <c r="AA44" s="16">
        <v>0</v>
      </c>
      <c r="AB44" s="16">
        <f t="shared" si="1"/>
        <v>0</v>
      </c>
      <c r="AC44" s="7">
        <f t="shared" si="10"/>
        <v>44.39</v>
      </c>
    </row>
    <row r="45" spans="1:30">
      <c r="B45" s="19">
        <v>45760</v>
      </c>
      <c r="C45" s="19"/>
      <c r="D45" s="13">
        <f t="shared" si="2"/>
        <v>1</v>
      </c>
      <c r="E45" s="16">
        <v>0</v>
      </c>
      <c r="F45" s="16">
        <v>0</v>
      </c>
      <c r="G45" s="7">
        <f t="shared" si="3"/>
        <v>110000</v>
      </c>
      <c r="H45" s="14"/>
      <c r="I45" s="16">
        <v>0</v>
      </c>
      <c r="J45" s="16">
        <f t="shared" si="4"/>
        <v>30.14</v>
      </c>
      <c r="K45" s="16">
        <f t="shared" si="11"/>
        <v>405.52</v>
      </c>
      <c r="L45" s="14"/>
      <c r="M45" s="16">
        <f t="shared" si="5"/>
        <v>0</v>
      </c>
      <c r="N45" s="16">
        <f t="shared" si="5"/>
        <v>0</v>
      </c>
      <c r="O45" s="7">
        <f t="shared" si="6"/>
        <v>695.41199999999992</v>
      </c>
      <c r="P45" s="16">
        <v>0</v>
      </c>
      <c r="Q45" s="16">
        <v>0</v>
      </c>
      <c r="R45" s="7">
        <f t="shared" si="14"/>
        <v>0</v>
      </c>
      <c r="S45" s="16">
        <v>0</v>
      </c>
      <c r="T45" s="16">
        <v>0</v>
      </c>
      <c r="U45" s="7">
        <f t="shared" si="15"/>
        <v>695.41199999999992</v>
      </c>
      <c r="V45" s="14"/>
      <c r="W45" s="16">
        <v>0</v>
      </c>
      <c r="X45" s="16">
        <f t="shared" si="9"/>
        <v>0.02</v>
      </c>
      <c r="Y45" s="16">
        <f t="shared" si="0"/>
        <v>0.26</v>
      </c>
      <c r="Z45" s="14"/>
      <c r="AA45" s="16">
        <v>0</v>
      </c>
      <c r="AB45" s="16">
        <f t="shared" si="1"/>
        <v>0</v>
      </c>
      <c r="AC45" s="7">
        <f t="shared" si="10"/>
        <v>44.39</v>
      </c>
    </row>
    <row r="46" spans="1:30" ht="17">
      <c r="B46" s="19">
        <v>45761</v>
      </c>
      <c r="C46" s="19"/>
      <c r="D46" s="13">
        <f t="shared" si="2"/>
        <v>1</v>
      </c>
      <c r="E46" s="16">
        <v>0</v>
      </c>
      <c r="F46" s="16">
        <v>0</v>
      </c>
      <c r="G46" s="7">
        <f t="shared" si="3"/>
        <v>110000</v>
      </c>
      <c r="H46" s="14"/>
      <c r="I46" s="16">
        <v>0</v>
      </c>
      <c r="J46" s="16">
        <f t="shared" si="4"/>
        <v>30.14</v>
      </c>
      <c r="K46" s="16">
        <f t="shared" si="11"/>
        <v>435.66</v>
      </c>
      <c r="L46" s="14"/>
      <c r="M46" s="16">
        <f t="shared" si="5"/>
        <v>0</v>
      </c>
      <c r="N46" s="16">
        <f t="shared" si="5"/>
        <v>0</v>
      </c>
      <c r="O46" s="7">
        <f t="shared" si="6"/>
        <v>695.41199999999992</v>
      </c>
      <c r="P46" s="16">
        <v>0</v>
      </c>
      <c r="Q46" s="16">
        <v>0</v>
      </c>
      <c r="R46" s="7">
        <f t="shared" si="14"/>
        <v>0</v>
      </c>
      <c r="S46" s="16">
        <v>0</v>
      </c>
      <c r="T46" s="16">
        <v>0</v>
      </c>
      <c r="U46" s="7">
        <f t="shared" si="15"/>
        <v>695.41199999999992</v>
      </c>
      <c r="V46" s="14"/>
      <c r="W46" s="16">
        <v>0</v>
      </c>
      <c r="X46" s="16">
        <f t="shared" si="9"/>
        <v>0.02</v>
      </c>
      <c r="Y46" s="16">
        <f t="shared" si="0"/>
        <v>0.28000000000000003</v>
      </c>
      <c r="Z46" s="14"/>
      <c r="AA46" s="22">
        <f>AC45</f>
        <v>44.39</v>
      </c>
      <c r="AB46" s="16">
        <f t="shared" si="1"/>
        <v>0</v>
      </c>
      <c r="AC46" s="69">
        <f t="shared" si="10"/>
        <v>0</v>
      </c>
      <c r="AD46" s="71" t="s">
        <v>48</v>
      </c>
    </row>
    <row r="47" spans="1:30">
      <c r="B47" s="19">
        <v>45762</v>
      </c>
      <c r="C47" s="19"/>
      <c r="D47" s="13">
        <f t="shared" si="2"/>
        <v>1</v>
      </c>
      <c r="E47" s="16">
        <v>0</v>
      </c>
      <c r="F47" s="16">
        <v>0</v>
      </c>
      <c r="G47" s="7">
        <f t="shared" si="3"/>
        <v>110000</v>
      </c>
      <c r="H47" s="14"/>
      <c r="I47" s="16">
        <v>0</v>
      </c>
      <c r="J47" s="16">
        <f t="shared" si="4"/>
        <v>30.14</v>
      </c>
      <c r="K47" s="16">
        <f t="shared" si="11"/>
        <v>465.8</v>
      </c>
      <c r="L47" s="14"/>
      <c r="M47" s="16">
        <f t="shared" si="5"/>
        <v>0</v>
      </c>
      <c r="N47" s="16">
        <f t="shared" si="5"/>
        <v>0</v>
      </c>
      <c r="O47" s="7">
        <f t="shared" si="6"/>
        <v>695.41199999999992</v>
      </c>
      <c r="P47" s="16">
        <v>0</v>
      </c>
      <c r="Q47" s="16">
        <v>0</v>
      </c>
      <c r="R47" s="7">
        <f t="shared" si="14"/>
        <v>0</v>
      </c>
      <c r="S47" s="16">
        <v>0</v>
      </c>
      <c r="T47" s="16">
        <v>0</v>
      </c>
      <c r="U47" s="7">
        <f t="shared" si="15"/>
        <v>695.41199999999992</v>
      </c>
      <c r="V47" s="14"/>
      <c r="W47" s="16">
        <v>0</v>
      </c>
      <c r="X47" s="16">
        <f t="shared" si="9"/>
        <v>0.02</v>
      </c>
      <c r="Y47" s="16">
        <f t="shared" si="0"/>
        <v>0.3</v>
      </c>
      <c r="Z47" s="14"/>
      <c r="AA47" s="16">
        <v>0</v>
      </c>
      <c r="AB47" s="16">
        <f t="shared" si="1"/>
        <v>0</v>
      </c>
      <c r="AC47" s="7">
        <f t="shared" si="10"/>
        <v>0</v>
      </c>
    </row>
    <row r="48" spans="1:30">
      <c r="B48" s="19">
        <v>45763</v>
      </c>
      <c r="C48" s="19"/>
      <c r="D48" s="13">
        <f t="shared" si="2"/>
        <v>1</v>
      </c>
      <c r="E48" s="16">
        <v>0</v>
      </c>
      <c r="F48" s="16">
        <v>0</v>
      </c>
      <c r="G48" s="7">
        <f t="shared" si="3"/>
        <v>110000</v>
      </c>
      <c r="H48" s="14"/>
      <c r="I48" s="16">
        <v>0</v>
      </c>
      <c r="J48" s="16">
        <f t="shared" si="4"/>
        <v>30.14</v>
      </c>
      <c r="K48" s="16">
        <f t="shared" si="11"/>
        <v>495.94</v>
      </c>
      <c r="L48" s="14"/>
      <c r="M48" s="16">
        <f t="shared" si="5"/>
        <v>0</v>
      </c>
      <c r="N48" s="16">
        <f t="shared" si="5"/>
        <v>0</v>
      </c>
      <c r="O48" s="7">
        <f t="shared" si="6"/>
        <v>695.41199999999992</v>
      </c>
      <c r="P48" s="16">
        <v>0</v>
      </c>
      <c r="Q48" s="16">
        <v>0</v>
      </c>
      <c r="R48" s="7">
        <f t="shared" si="14"/>
        <v>0</v>
      </c>
      <c r="S48" s="16">
        <v>0</v>
      </c>
      <c r="T48" s="16">
        <v>0</v>
      </c>
      <c r="U48" s="7">
        <f t="shared" si="15"/>
        <v>695.41199999999992</v>
      </c>
      <c r="V48" s="14"/>
      <c r="W48" s="16">
        <v>0</v>
      </c>
      <c r="X48" s="16">
        <f t="shared" si="9"/>
        <v>0.02</v>
      </c>
      <c r="Y48" s="16">
        <f t="shared" si="0"/>
        <v>0.32</v>
      </c>
      <c r="Z48" s="14"/>
      <c r="AA48" s="16">
        <v>0</v>
      </c>
      <c r="AB48" s="16">
        <f t="shared" si="1"/>
        <v>0</v>
      </c>
      <c r="AC48" s="7">
        <f t="shared" si="10"/>
        <v>0</v>
      </c>
    </row>
    <row r="49" spans="2:30">
      <c r="B49" s="19">
        <v>45764</v>
      </c>
      <c r="C49" s="19"/>
      <c r="D49" s="13">
        <f t="shared" si="2"/>
        <v>1</v>
      </c>
      <c r="E49" s="16">
        <v>0</v>
      </c>
      <c r="F49" s="16">
        <v>0</v>
      </c>
      <c r="G49" s="7">
        <f t="shared" si="3"/>
        <v>110000</v>
      </c>
      <c r="H49" s="14"/>
      <c r="I49" s="16">
        <v>0</v>
      </c>
      <c r="J49" s="16">
        <f t="shared" si="4"/>
        <v>30.14</v>
      </c>
      <c r="K49" s="16">
        <f t="shared" si="11"/>
        <v>526.08000000000004</v>
      </c>
      <c r="L49" s="14"/>
      <c r="M49" s="16">
        <f t="shared" si="5"/>
        <v>0</v>
      </c>
      <c r="N49" s="16">
        <f t="shared" si="5"/>
        <v>0</v>
      </c>
      <c r="O49" s="7">
        <f t="shared" si="6"/>
        <v>695.41199999999992</v>
      </c>
      <c r="P49" s="16">
        <v>0</v>
      </c>
      <c r="Q49" s="16">
        <v>0</v>
      </c>
      <c r="R49" s="7">
        <f t="shared" si="14"/>
        <v>0</v>
      </c>
      <c r="S49" s="16">
        <v>0</v>
      </c>
      <c r="T49" s="16">
        <v>0</v>
      </c>
      <c r="U49" s="7">
        <f t="shared" si="15"/>
        <v>695.41199999999992</v>
      </c>
      <c r="V49" s="14"/>
      <c r="W49" s="16">
        <v>0</v>
      </c>
      <c r="X49" s="16">
        <f t="shared" si="9"/>
        <v>0.02</v>
      </c>
      <c r="Y49" s="16">
        <f t="shared" si="0"/>
        <v>0.34</v>
      </c>
      <c r="Z49" s="14"/>
      <c r="AA49" s="16">
        <v>0</v>
      </c>
      <c r="AB49" s="16">
        <f t="shared" si="1"/>
        <v>0</v>
      </c>
      <c r="AC49" s="7">
        <f t="shared" si="10"/>
        <v>0</v>
      </c>
    </row>
    <row r="50" spans="2:30">
      <c r="B50" s="19">
        <v>45765</v>
      </c>
      <c r="C50" s="19"/>
      <c r="D50" s="13">
        <f t="shared" si="2"/>
        <v>1</v>
      </c>
      <c r="E50" s="16">
        <v>0</v>
      </c>
      <c r="F50" s="16">
        <v>0</v>
      </c>
      <c r="G50" s="7">
        <f t="shared" si="3"/>
        <v>110000</v>
      </c>
      <c r="H50" s="14"/>
      <c r="I50" s="16">
        <v>0</v>
      </c>
      <c r="J50" s="16">
        <f t="shared" si="4"/>
        <v>30.14</v>
      </c>
      <c r="K50" s="16">
        <f t="shared" si="11"/>
        <v>556.22</v>
      </c>
      <c r="L50" s="14"/>
      <c r="M50" s="16">
        <f t="shared" si="5"/>
        <v>0</v>
      </c>
      <c r="N50" s="16">
        <f t="shared" si="5"/>
        <v>0</v>
      </c>
      <c r="O50" s="7">
        <f t="shared" si="6"/>
        <v>695.41199999999992</v>
      </c>
      <c r="P50" s="16">
        <v>0</v>
      </c>
      <c r="Q50" s="16">
        <v>0</v>
      </c>
      <c r="R50" s="7">
        <f t="shared" si="14"/>
        <v>0</v>
      </c>
      <c r="S50" s="16">
        <v>0</v>
      </c>
      <c r="T50" s="16">
        <v>0</v>
      </c>
      <c r="U50" s="7">
        <f t="shared" si="15"/>
        <v>695.41199999999992</v>
      </c>
      <c r="V50" s="14"/>
      <c r="W50" s="16">
        <v>0</v>
      </c>
      <c r="X50" s="16">
        <f t="shared" si="9"/>
        <v>0.02</v>
      </c>
      <c r="Y50" s="16">
        <f t="shared" si="0"/>
        <v>0.36</v>
      </c>
      <c r="Z50" s="14"/>
      <c r="AA50" s="16">
        <v>0</v>
      </c>
      <c r="AB50" s="16">
        <f t="shared" si="1"/>
        <v>0</v>
      </c>
      <c r="AC50" s="7">
        <f t="shared" si="10"/>
        <v>0</v>
      </c>
    </row>
    <row r="51" spans="2:30">
      <c r="B51" s="19">
        <v>45766</v>
      </c>
      <c r="C51" s="19"/>
      <c r="D51" s="13">
        <f t="shared" si="2"/>
        <v>1</v>
      </c>
      <c r="E51" s="16">
        <v>0</v>
      </c>
      <c r="F51" s="16">
        <v>0</v>
      </c>
      <c r="G51" s="7">
        <f t="shared" si="3"/>
        <v>110000</v>
      </c>
      <c r="H51" s="14"/>
      <c r="I51" s="16">
        <v>0</v>
      </c>
      <c r="J51" s="16">
        <f t="shared" si="4"/>
        <v>30.14</v>
      </c>
      <c r="K51" s="16">
        <f t="shared" si="11"/>
        <v>586.36</v>
      </c>
      <c r="L51" s="14"/>
      <c r="M51" s="16">
        <f t="shared" si="5"/>
        <v>0</v>
      </c>
      <c r="N51" s="16">
        <f t="shared" si="5"/>
        <v>0</v>
      </c>
      <c r="O51" s="7">
        <f t="shared" si="6"/>
        <v>695.41199999999992</v>
      </c>
      <c r="P51" s="16">
        <v>0</v>
      </c>
      <c r="Q51" s="16">
        <v>0</v>
      </c>
      <c r="R51" s="7">
        <f t="shared" si="14"/>
        <v>0</v>
      </c>
      <c r="S51" s="16">
        <v>0</v>
      </c>
      <c r="T51" s="16">
        <v>0</v>
      </c>
      <c r="U51" s="7">
        <f t="shared" si="15"/>
        <v>695.41199999999992</v>
      </c>
      <c r="V51" s="14"/>
      <c r="W51" s="16">
        <v>0</v>
      </c>
      <c r="X51" s="16">
        <f t="shared" si="9"/>
        <v>0.02</v>
      </c>
      <c r="Y51" s="16">
        <f t="shared" si="0"/>
        <v>0.38</v>
      </c>
      <c r="Z51" s="14"/>
      <c r="AA51" s="16">
        <v>0</v>
      </c>
      <c r="AB51" s="16">
        <f t="shared" si="1"/>
        <v>0</v>
      </c>
      <c r="AC51" s="7">
        <f t="shared" si="10"/>
        <v>0</v>
      </c>
    </row>
    <row r="52" spans="2:30">
      <c r="B52" s="19">
        <v>45767</v>
      </c>
      <c r="C52" s="19"/>
      <c r="D52" s="13">
        <f t="shared" si="2"/>
        <v>1</v>
      </c>
      <c r="E52" s="16">
        <v>0</v>
      </c>
      <c r="F52" s="16">
        <v>0</v>
      </c>
      <c r="G52" s="7">
        <f t="shared" si="3"/>
        <v>110000</v>
      </c>
      <c r="H52" s="14"/>
      <c r="I52" s="16">
        <v>0</v>
      </c>
      <c r="J52" s="16">
        <f t="shared" si="4"/>
        <v>30.14</v>
      </c>
      <c r="K52" s="16">
        <f t="shared" si="11"/>
        <v>616.5</v>
      </c>
      <c r="L52" s="14"/>
      <c r="M52" s="16">
        <f t="shared" si="5"/>
        <v>0</v>
      </c>
      <c r="N52" s="16">
        <f t="shared" si="5"/>
        <v>0</v>
      </c>
      <c r="O52" s="7">
        <f t="shared" si="6"/>
        <v>695.41199999999992</v>
      </c>
      <c r="P52" s="16">
        <v>0</v>
      </c>
      <c r="Q52" s="16">
        <v>0</v>
      </c>
      <c r="R52" s="7">
        <f t="shared" si="14"/>
        <v>0</v>
      </c>
      <c r="S52" s="16">
        <v>0</v>
      </c>
      <c r="T52" s="16">
        <v>0</v>
      </c>
      <c r="U52" s="7">
        <f t="shared" si="15"/>
        <v>695.41199999999992</v>
      </c>
      <c r="V52" s="14"/>
      <c r="W52" s="16">
        <v>0</v>
      </c>
      <c r="X52" s="16">
        <f t="shared" si="9"/>
        <v>0.02</v>
      </c>
      <c r="Y52" s="16">
        <f t="shared" si="0"/>
        <v>0.4</v>
      </c>
      <c r="Z52" s="14"/>
      <c r="AA52" s="16">
        <v>0</v>
      </c>
      <c r="AB52" s="16">
        <f t="shared" si="1"/>
        <v>0</v>
      </c>
      <c r="AC52" s="7">
        <f t="shared" si="10"/>
        <v>0</v>
      </c>
    </row>
    <row r="53" spans="2:30">
      <c r="B53" s="19">
        <v>45768</v>
      </c>
      <c r="C53" s="19"/>
      <c r="D53" s="13">
        <f t="shared" si="2"/>
        <v>1</v>
      </c>
      <c r="E53" s="16">
        <v>0</v>
      </c>
      <c r="F53" s="16">
        <v>0</v>
      </c>
      <c r="G53" s="7">
        <f t="shared" si="3"/>
        <v>110000</v>
      </c>
      <c r="H53" s="14"/>
      <c r="I53" s="16">
        <v>0</v>
      </c>
      <c r="J53" s="16">
        <f t="shared" si="4"/>
        <v>30.14</v>
      </c>
      <c r="K53" s="16">
        <f t="shared" si="11"/>
        <v>646.64</v>
      </c>
      <c r="L53" s="14"/>
      <c r="M53" s="16">
        <f t="shared" si="5"/>
        <v>0</v>
      </c>
      <c r="N53" s="16">
        <f t="shared" si="5"/>
        <v>0</v>
      </c>
      <c r="O53" s="7">
        <f t="shared" si="6"/>
        <v>695.41199999999992</v>
      </c>
      <c r="P53" s="16">
        <v>0</v>
      </c>
      <c r="Q53" s="16">
        <v>0</v>
      </c>
      <c r="R53" s="7">
        <f t="shared" si="14"/>
        <v>0</v>
      </c>
      <c r="S53" s="16">
        <v>0</v>
      </c>
      <c r="T53" s="16">
        <v>0</v>
      </c>
      <c r="U53" s="7">
        <f t="shared" si="15"/>
        <v>695.41199999999992</v>
      </c>
      <c r="V53" s="14"/>
      <c r="W53" s="16">
        <v>0</v>
      </c>
      <c r="X53" s="16">
        <f t="shared" si="9"/>
        <v>0.02</v>
      </c>
      <c r="Y53" s="16">
        <f t="shared" si="0"/>
        <v>0.42</v>
      </c>
      <c r="Z53" s="14"/>
      <c r="AA53" s="16">
        <v>0</v>
      </c>
      <c r="AB53" s="16">
        <f t="shared" si="1"/>
        <v>0</v>
      </c>
      <c r="AC53" s="7">
        <f t="shared" si="10"/>
        <v>0</v>
      </c>
    </row>
    <row r="54" spans="2:30">
      <c r="B54" s="19">
        <v>45769</v>
      </c>
      <c r="C54" s="19"/>
      <c r="D54" s="13">
        <f t="shared" si="2"/>
        <v>1</v>
      </c>
      <c r="E54" s="16">
        <v>0</v>
      </c>
      <c r="F54" s="16">
        <v>0</v>
      </c>
      <c r="G54" s="7">
        <f t="shared" si="3"/>
        <v>110000</v>
      </c>
      <c r="H54" s="14"/>
      <c r="I54" s="16">
        <v>0</v>
      </c>
      <c r="J54" s="16">
        <f t="shared" si="4"/>
        <v>30.14</v>
      </c>
      <c r="K54" s="16">
        <f t="shared" si="11"/>
        <v>676.78</v>
      </c>
      <c r="L54" s="14"/>
      <c r="M54" s="16">
        <f t="shared" si="5"/>
        <v>0</v>
      </c>
      <c r="N54" s="16">
        <f t="shared" si="5"/>
        <v>0</v>
      </c>
      <c r="O54" s="7">
        <f t="shared" si="6"/>
        <v>695.41199999999992</v>
      </c>
      <c r="P54" s="16">
        <v>0</v>
      </c>
      <c r="Q54" s="16">
        <v>0</v>
      </c>
      <c r="R54" s="7">
        <f t="shared" si="14"/>
        <v>0</v>
      </c>
      <c r="S54" s="16">
        <v>0</v>
      </c>
      <c r="T54" s="16">
        <v>0</v>
      </c>
      <c r="U54" s="7">
        <f t="shared" si="15"/>
        <v>695.41199999999992</v>
      </c>
      <c r="V54" s="14"/>
      <c r="W54" s="16">
        <v>0</v>
      </c>
      <c r="X54" s="16">
        <f t="shared" si="9"/>
        <v>0.02</v>
      </c>
      <c r="Y54" s="16">
        <f t="shared" si="0"/>
        <v>0.44</v>
      </c>
      <c r="Z54" s="14"/>
      <c r="AA54" s="16">
        <v>0</v>
      </c>
      <c r="AB54" s="16">
        <f t="shared" si="1"/>
        <v>0</v>
      </c>
      <c r="AC54" s="7">
        <f t="shared" si="10"/>
        <v>0</v>
      </c>
    </row>
    <row r="55" spans="2:30">
      <c r="B55" s="19">
        <v>45770</v>
      </c>
      <c r="C55" s="19"/>
      <c r="D55" s="13">
        <f t="shared" si="2"/>
        <v>1</v>
      </c>
      <c r="E55" s="16">
        <v>0</v>
      </c>
      <c r="F55" s="16">
        <v>0</v>
      </c>
      <c r="G55" s="7">
        <f t="shared" si="3"/>
        <v>110000</v>
      </c>
      <c r="H55" s="14"/>
      <c r="I55" s="16">
        <v>0</v>
      </c>
      <c r="J55" s="16">
        <f t="shared" si="4"/>
        <v>30.14</v>
      </c>
      <c r="K55" s="16">
        <f t="shared" si="11"/>
        <v>706.92</v>
      </c>
      <c r="L55" s="14"/>
      <c r="M55" s="16">
        <f t="shared" si="5"/>
        <v>0</v>
      </c>
      <c r="N55" s="16">
        <f t="shared" si="5"/>
        <v>0</v>
      </c>
      <c r="O55" s="7">
        <f t="shared" si="6"/>
        <v>695.41199999999992</v>
      </c>
      <c r="P55" s="16">
        <v>0</v>
      </c>
      <c r="Q55" s="16">
        <v>0</v>
      </c>
      <c r="R55" s="7">
        <f t="shared" si="14"/>
        <v>0</v>
      </c>
      <c r="S55" s="16">
        <v>0</v>
      </c>
      <c r="T55" s="16">
        <v>0</v>
      </c>
      <c r="U55" s="7">
        <f t="shared" si="15"/>
        <v>695.41199999999992</v>
      </c>
      <c r="V55" s="14"/>
      <c r="W55" s="16">
        <v>0</v>
      </c>
      <c r="X55" s="16">
        <f t="shared" si="9"/>
        <v>0.02</v>
      </c>
      <c r="Y55" s="16">
        <f t="shared" si="0"/>
        <v>0.46</v>
      </c>
      <c r="Z55" s="14"/>
      <c r="AA55" s="16">
        <v>0</v>
      </c>
      <c r="AB55" s="16">
        <f t="shared" si="1"/>
        <v>0</v>
      </c>
      <c r="AC55" s="7">
        <f t="shared" si="10"/>
        <v>0</v>
      </c>
    </row>
    <row r="56" spans="2:30">
      <c r="B56" s="19">
        <v>45771</v>
      </c>
      <c r="C56" s="19"/>
      <c r="D56" s="13">
        <f t="shared" si="2"/>
        <v>1</v>
      </c>
      <c r="E56" s="16">
        <v>0</v>
      </c>
      <c r="F56" s="16">
        <v>0</v>
      </c>
      <c r="G56" s="7">
        <f t="shared" si="3"/>
        <v>110000</v>
      </c>
      <c r="H56" s="14"/>
      <c r="I56" s="16">
        <v>0</v>
      </c>
      <c r="J56" s="16">
        <f t="shared" si="4"/>
        <v>30.14</v>
      </c>
      <c r="K56" s="16">
        <f t="shared" si="11"/>
        <v>737.06</v>
      </c>
      <c r="L56" s="14"/>
      <c r="M56" s="16">
        <f t="shared" si="5"/>
        <v>0</v>
      </c>
      <c r="N56" s="16">
        <f t="shared" si="5"/>
        <v>0</v>
      </c>
      <c r="O56" s="7">
        <f t="shared" si="6"/>
        <v>695.41199999999992</v>
      </c>
      <c r="P56" s="16">
        <v>0</v>
      </c>
      <c r="Q56" s="16">
        <v>0</v>
      </c>
      <c r="R56" s="7">
        <f t="shared" si="14"/>
        <v>0</v>
      </c>
      <c r="S56" s="16">
        <v>0</v>
      </c>
      <c r="T56" s="16">
        <v>0</v>
      </c>
      <c r="U56" s="7">
        <f t="shared" si="15"/>
        <v>695.41199999999992</v>
      </c>
      <c r="V56" s="14"/>
      <c r="W56" s="16">
        <v>0</v>
      </c>
      <c r="X56" s="16">
        <f t="shared" si="9"/>
        <v>0.02</v>
      </c>
      <c r="Y56" s="16">
        <f t="shared" si="0"/>
        <v>0.48</v>
      </c>
      <c r="Z56" s="14"/>
      <c r="AA56" s="16">
        <v>0</v>
      </c>
      <c r="AB56" s="16">
        <f t="shared" si="1"/>
        <v>0</v>
      </c>
      <c r="AC56" s="7">
        <f t="shared" si="10"/>
        <v>0</v>
      </c>
    </row>
    <row r="57" spans="2:30">
      <c r="B57" s="19">
        <v>45772</v>
      </c>
      <c r="C57" s="19"/>
      <c r="D57" s="13">
        <f t="shared" si="2"/>
        <v>1</v>
      </c>
      <c r="E57" s="16">
        <v>0</v>
      </c>
      <c r="F57" s="16">
        <v>0</v>
      </c>
      <c r="G57" s="7">
        <f t="shared" si="3"/>
        <v>110000</v>
      </c>
      <c r="H57" s="14"/>
      <c r="I57" s="16">
        <v>0</v>
      </c>
      <c r="J57" s="16">
        <f t="shared" si="4"/>
        <v>30.14</v>
      </c>
      <c r="K57" s="16">
        <f t="shared" si="11"/>
        <v>767.2</v>
      </c>
      <c r="L57" s="14"/>
      <c r="M57" s="16">
        <f t="shared" si="5"/>
        <v>0</v>
      </c>
      <c r="N57" s="16">
        <f t="shared" si="5"/>
        <v>0</v>
      </c>
      <c r="O57" s="7">
        <f t="shared" si="6"/>
        <v>695.41199999999992</v>
      </c>
      <c r="P57" s="16">
        <v>0</v>
      </c>
      <c r="Q57" s="16">
        <v>0</v>
      </c>
      <c r="R57" s="7">
        <f t="shared" si="14"/>
        <v>0</v>
      </c>
      <c r="S57" s="16">
        <v>0</v>
      </c>
      <c r="T57" s="16">
        <v>0</v>
      </c>
      <c r="U57" s="7">
        <f t="shared" si="15"/>
        <v>695.41199999999992</v>
      </c>
      <c r="V57" s="14"/>
      <c r="W57" s="16">
        <v>0</v>
      </c>
      <c r="X57" s="16">
        <f t="shared" si="9"/>
        <v>0.02</v>
      </c>
      <c r="Y57" s="16">
        <f t="shared" si="0"/>
        <v>0.5</v>
      </c>
      <c r="Z57" s="14"/>
      <c r="AA57" s="16">
        <v>0</v>
      </c>
      <c r="AB57" s="16">
        <f t="shared" si="1"/>
        <v>0</v>
      </c>
      <c r="AC57" s="7">
        <f t="shared" si="10"/>
        <v>0</v>
      </c>
    </row>
    <row r="58" spans="2:30">
      <c r="B58" s="19">
        <v>45773</v>
      </c>
      <c r="C58" s="19"/>
      <c r="D58" s="13">
        <f t="shared" si="2"/>
        <v>1</v>
      </c>
      <c r="E58" s="16">
        <v>0</v>
      </c>
      <c r="F58" s="16">
        <v>0</v>
      </c>
      <c r="G58" s="7">
        <f t="shared" si="3"/>
        <v>110000</v>
      </c>
      <c r="H58" s="14"/>
      <c r="I58" s="16">
        <v>0</v>
      </c>
      <c r="J58" s="16">
        <f t="shared" si="4"/>
        <v>30.14</v>
      </c>
      <c r="K58" s="16">
        <f t="shared" si="11"/>
        <v>797.34</v>
      </c>
      <c r="L58" s="14"/>
      <c r="M58" s="16">
        <f t="shared" si="5"/>
        <v>0</v>
      </c>
      <c r="N58" s="16">
        <f t="shared" si="5"/>
        <v>0</v>
      </c>
      <c r="O58" s="7">
        <f t="shared" si="6"/>
        <v>695.41199999999992</v>
      </c>
      <c r="P58" s="16">
        <v>0</v>
      </c>
      <c r="Q58" s="16">
        <v>0</v>
      </c>
      <c r="R58" s="7">
        <f t="shared" si="14"/>
        <v>0</v>
      </c>
      <c r="S58" s="16">
        <v>0</v>
      </c>
      <c r="T58" s="16">
        <v>0</v>
      </c>
      <c r="U58" s="7">
        <f t="shared" si="15"/>
        <v>695.41199999999992</v>
      </c>
      <c r="V58" s="14"/>
      <c r="W58" s="16">
        <v>0</v>
      </c>
      <c r="X58" s="16">
        <f t="shared" si="9"/>
        <v>0.02</v>
      </c>
      <c r="Y58" s="16">
        <f t="shared" si="0"/>
        <v>0.52</v>
      </c>
      <c r="Z58" s="14"/>
      <c r="AA58" s="16">
        <v>0</v>
      </c>
      <c r="AB58" s="16">
        <f t="shared" si="1"/>
        <v>0</v>
      </c>
      <c r="AC58" s="7">
        <f t="shared" si="10"/>
        <v>0</v>
      </c>
    </row>
    <row r="59" spans="2:30">
      <c r="B59" s="19">
        <v>45774</v>
      </c>
      <c r="C59" s="19"/>
      <c r="D59" s="13">
        <f t="shared" si="2"/>
        <v>1</v>
      </c>
      <c r="E59" s="16">
        <v>0</v>
      </c>
      <c r="F59" s="16">
        <v>0</v>
      </c>
      <c r="G59" s="7">
        <f t="shared" si="3"/>
        <v>110000</v>
      </c>
      <c r="H59" s="14"/>
      <c r="I59" s="16">
        <v>0</v>
      </c>
      <c r="J59" s="16">
        <f t="shared" si="4"/>
        <v>30.14</v>
      </c>
      <c r="K59" s="16">
        <f t="shared" si="11"/>
        <v>827.48</v>
      </c>
      <c r="L59" s="14"/>
      <c r="M59" s="16">
        <f t="shared" si="5"/>
        <v>0</v>
      </c>
      <c r="N59" s="16">
        <f t="shared" si="5"/>
        <v>0</v>
      </c>
      <c r="O59" s="7">
        <f t="shared" si="6"/>
        <v>695.41199999999992</v>
      </c>
      <c r="P59" s="16">
        <v>0</v>
      </c>
      <c r="Q59" s="16">
        <v>0</v>
      </c>
      <c r="R59" s="7">
        <f t="shared" si="14"/>
        <v>0</v>
      </c>
      <c r="S59" s="16">
        <v>0</v>
      </c>
      <c r="T59" s="16">
        <v>0</v>
      </c>
      <c r="U59" s="7">
        <f t="shared" si="15"/>
        <v>695.41199999999992</v>
      </c>
      <c r="V59" s="14"/>
      <c r="W59" s="16">
        <v>0</v>
      </c>
      <c r="X59" s="16">
        <f t="shared" si="9"/>
        <v>0.02</v>
      </c>
      <c r="Y59" s="16">
        <f t="shared" si="0"/>
        <v>0.54</v>
      </c>
      <c r="Z59" s="14"/>
      <c r="AA59" s="16">
        <v>0</v>
      </c>
      <c r="AB59" s="16">
        <f t="shared" si="1"/>
        <v>0</v>
      </c>
      <c r="AC59" s="7">
        <f t="shared" si="10"/>
        <v>0</v>
      </c>
    </row>
    <row r="60" spans="2:30">
      <c r="B60" s="19">
        <v>45775</v>
      </c>
      <c r="C60" s="19"/>
      <c r="D60" s="13">
        <f t="shared" si="2"/>
        <v>1</v>
      </c>
      <c r="E60" s="16">
        <v>0</v>
      </c>
      <c r="F60" s="16">
        <v>0</v>
      </c>
      <c r="G60" s="7">
        <f t="shared" si="3"/>
        <v>110000</v>
      </c>
      <c r="H60" s="14"/>
      <c r="I60" s="16">
        <v>0</v>
      </c>
      <c r="J60" s="16">
        <f t="shared" si="4"/>
        <v>30.14</v>
      </c>
      <c r="K60" s="16">
        <f t="shared" si="11"/>
        <v>857.62</v>
      </c>
      <c r="L60" s="14"/>
      <c r="M60" s="16">
        <f t="shared" si="5"/>
        <v>0</v>
      </c>
      <c r="N60" s="16">
        <f t="shared" si="5"/>
        <v>0</v>
      </c>
      <c r="O60" s="7">
        <f t="shared" si="6"/>
        <v>695.41199999999992</v>
      </c>
      <c r="P60" s="16">
        <v>0</v>
      </c>
      <c r="Q60" s="16">
        <v>0</v>
      </c>
      <c r="R60" s="7">
        <f t="shared" si="14"/>
        <v>0</v>
      </c>
      <c r="S60" s="16">
        <v>0</v>
      </c>
      <c r="T60" s="16">
        <v>0</v>
      </c>
      <c r="U60" s="7">
        <f t="shared" si="15"/>
        <v>695.41199999999992</v>
      </c>
      <c r="V60" s="14"/>
      <c r="W60" s="16">
        <v>0</v>
      </c>
      <c r="X60" s="16">
        <f t="shared" si="9"/>
        <v>0.02</v>
      </c>
      <c r="Y60" s="16">
        <f t="shared" si="0"/>
        <v>0.56000000000000005</v>
      </c>
      <c r="Z60" s="14"/>
      <c r="AA60" s="16">
        <v>0</v>
      </c>
      <c r="AB60" s="16">
        <f t="shared" si="1"/>
        <v>0</v>
      </c>
      <c r="AC60" s="7">
        <f t="shared" si="10"/>
        <v>0</v>
      </c>
    </row>
    <row r="61" spans="2:30">
      <c r="B61" s="19">
        <v>45776</v>
      </c>
      <c r="C61" s="19"/>
      <c r="D61" s="13">
        <f t="shared" si="2"/>
        <v>1</v>
      </c>
      <c r="E61" s="16">
        <v>0</v>
      </c>
      <c r="F61" s="16">
        <v>0</v>
      </c>
      <c r="G61" s="7">
        <f t="shared" si="3"/>
        <v>110000</v>
      </c>
      <c r="H61" s="14"/>
      <c r="I61" s="16">
        <v>0</v>
      </c>
      <c r="J61" s="16">
        <f t="shared" si="4"/>
        <v>30.14</v>
      </c>
      <c r="K61" s="16">
        <f t="shared" si="11"/>
        <v>887.76</v>
      </c>
      <c r="L61" s="14"/>
      <c r="M61" s="16">
        <f t="shared" si="5"/>
        <v>0</v>
      </c>
      <c r="N61" s="16">
        <f t="shared" si="5"/>
        <v>0</v>
      </c>
      <c r="O61" s="7">
        <f t="shared" si="6"/>
        <v>695.41199999999992</v>
      </c>
      <c r="P61" s="16">
        <v>0</v>
      </c>
      <c r="Q61" s="16">
        <v>0</v>
      </c>
      <c r="R61" s="7">
        <f t="shared" si="14"/>
        <v>0</v>
      </c>
      <c r="S61" s="16">
        <v>0</v>
      </c>
      <c r="T61" s="16">
        <v>0</v>
      </c>
      <c r="U61" s="7">
        <f t="shared" si="15"/>
        <v>695.41199999999992</v>
      </c>
      <c r="V61" s="14"/>
      <c r="W61" s="16">
        <v>0</v>
      </c>
      <c r="X61" s="16">
        <f t="shared" si="9"/>
        <v>0.02</v>
      </c>
      <c r="Y61" s="16">
        <f t="shared" si="0"/>
        <v>0.57999999999999996</v>
      </c>
      <c r="Z61" s="14"/>
      <c r="AA61" s="16">
        <v>0</v>
      </c>
      <c r="AB61" s="16">
        <f t="shared" si="1"/>
        <v>0</v>
      </c>
      <c r="AC61" s="7">
        <f t="shared" si="10"/>
        <v>0</v>
      </c>
    </row>
    <row r="62" spans="2:30" ht="102">
      <c r="B62" s="19">
        <v>45777</v>
      </c>
      <c r="C62" s="19"/>
      <c r="D62" s="13">
        <f t="shared" si="2"/>
        <v>1</v>
      </c>
      <c r="E62" s="16">
        <v>0</v>
      </c>
      <c r="F62" s="16">
        <v>0</v>
      </c>
      <c r="G62" s="7">
        <f>G61+F62-E62</f>
        <v>110000</v>
      </c>
      <c r="H62" s="14"/>
      <c r="I62" s="21">
        <f>K61</f>
        <v>887.76</v>
      </c>
      <c r="J62" s="16">
        <f t="shared" si="4"/>
        <v>30.14</v>
      </c>
      <c r="K62" s="16">
        <f t="shared" si="11"/>
        <v>30.14</v>
      </c>
      <c r="L62" s="14"/>
      <c r="M62" s="16">
        <f>P62+S62</f>
        <v>0</v>
      </c>
      <c r="N62" s="21">
        <f>Q62+T62</f>
        <v>835.03960000000006</v>
      </c>
      <c r="O62" s="10">
        <f>O61+N62-M62</f>
        <v>1530.4515999999999</v>
      </c>
      <c r="P62" s="16">
        <v>0</v>
      </c>
      <c r="Q62" s="16">
        <v>0</v>
      </c>
      <c r="R62" s="7">
        <f t="shared" si="14"/>
        <v>0</v>
      </c>
      <c r="S62" s="16">
        <v>0</v>
      </c>
      <c r="T62" s="21">
        <f>(I62+W62)-AB62</f>
        <v>835.03960000000006</v>
      </c>
      <c r="U62" s="7">
        <f t="shared" si="15"/>
        <v>1530.4515999999999</v>
      </c>
      <c r="V62" s="14"/>
      <c r="W62" s="21">
        <f>Y61</f>
        <v>0.57999999999999996</v>
      </c>
      <c r="X62" s="16">
        <f>ROUND((O62-N62)*$M$3/$N$3*D62,2)</f>
        <v>0.02</v>
      </c>
      <c r="Y62" s="16">
        <f t="shared" si="0"/>
        <v>0.02</v>
      </c>
      <c r="Z62" s="14"/>
      <c r="AA62" s="16">
        <v>0</v>
      </c>
      <c r="AB62" s="22">
        <f t="shared" si="1"/>
        <v>53.300400000000003</v>
      </c>
      <c r="AC62" s="69">
        <f t="shared" si="10"/>
        <v>53.3</v>
      </c>
      <c r="AD62" s="23" t="s">
        <v>20</v>
      </c>
    </row>
    <row r="63" spans="2:30">
      <c r="B63" s="19">
        <v>45778</v>
      </c>
      <c r="C63" s="19"/>
      <c r="D63" s="13">
        <f t="shared" si="2"/>
        <v>1</v>
      </c>
      <c r="E63" s="16">
        <v>0</v>
      </c>
      <c r="F63" s="16">
        <v>0</v>
      </c>
      <c r="G63" s="7">
        <f t="shared" ref="G63:G126" si="16">G62+F63-E63</f>
        <v>110000</v>
      </c>
      <c r="H63" s="14"/>
      <c r="I63" s="16">
        <v>0</v>
      </c>
      <c r="J63" s="16">
        <f>ROUND((G63-F63)*$B$3/$D$3*D63,2)</f>
        <v>30.14</v>
      </c>
      <c r="K63" s="16">
        <f t="shared" si="11"/>
        <v>60.28</v>
      </c>
      <c r="L63" s="14"/>
      <c r="M63" s="16">
        <f t="shared" si="5"/>
        <v>0</v>
      </c>
      <c r="N63" s="16">
        <f t="shared" si="5"/>
        <v>0</v>
      </c>
      <c r="O63" s="7">
        <f t="shared" si="6"/>
        <v>1530.4515999999999</v>
      </c>
      <c r="P63" s="16">
        <v>0</v>
      </c>
      <c r="Q63" s="16">
        <v>0</v>
      </c>
      <c r="R63" s="7">
        <f t="shared" si="14"/>
        <v>0</v>
      </c>
      <c r="S63" s="16">
        <v>0</v>
      </c>
      <c r="T63" s="16">
        <v>0</v>
      </c>
      <c r="U63" s="7">
        <f t="shared" si="15"/>
        <v>1530.4515999999999</v>
      </c>
      <c r="V63" s="14"/>
      <c r="W63" s="16">
        <v>0</v>
      </c>
      <c r="X63" s="16">
        <f t="shared" si="9"/>
        <v>0.04</v>
      </c>
      <c r="Y63" s="16">
        <f t="shared" si="0"/>
        <v>0.06</v>
      </c>
      <c r="Z63" s="14"/>
      <c r="AA63" s="16">
        <v>0</v>
      </c>
      <c r="AB63" s="16">
        <f t="shared" si="1"/>
        <v>0</v>
      </c>
      <c r="AC63" s="7">
        <f t="shared" si="10"/>
        <v>53.3</v>
      </c>
    </row>
    <row r="64" spans="2:30">
      <c r="B64" s="19">
        <v>45779</v>
      </c>
      <c r="C64" s="19"/>
      <c r="D64" s="13">
        <f t="shared" si="2"/>
        <v>1</v>
      </c>
      <c r="E64" s="16">
        <v>0</v>
      </c>
      <c r="F64" s="16">
        <v>0</v>
      </c>
      <c r="G64" s="7">
        <f t="shared" si="16"/>
        <v>110000</v>
      </c>
      <c r="H64" s="14"/>
      <c r="I64" s="16">
        <v>0</v>
      </c>
      <c r="J64" s="16">
        <f t="shared" si="4"/>
        <v>30.14</v>
      </c>
      <c r="K64" s="16">
        <f t="shared" si="11"/>
        <v>90.42</v>
      </c>
      <c r="L64" s="14"/>
      <c r="M64" s="16">
        <f t="shared" si="5"/>
        <v>0</v>
      </c>
      <c r="N64" s="16">
        <f t="shared" si="5"/>
        <v>0</v>
      </c>
      <c r="O64" s="7">
        <f t="shared" si="6"/>
        <v>1530.4515999999999</v>
      </c>
      <c r="P64" s="16">
        <v>0</v>
      </c>
      <c r="Q64" s="16">
        <v>0</v>
      </c>
      <c r="R64" s="7">
        <f t="shared" si="14"/>
        <v>0</v>
      </c>
      <c r="S64" s="16">
        <v>0</v>
      </c>
      <c r="T64" s="16">
        <v>0</v>
      </c>
      <c r="U64" s="7">
        <f t="shared" si="15"/>
        <v>1530.4515999999999</v>
      </c>
      <c r="V64" s="14"/>
      <c r="W64" s="16">
        <v>0</v>
      </c>
      <c r="X64" s="16">
        <f t="shared" si="9"/>
        <v>0.04</v>
      </c>
      <c r="Y64" s="16">
        <f t="shared" si="0"/>
        <v>0.1</v>
      </c>
      <c r="Z64" s="14"/>
      <c r="AA64" s="16">
        <v>0</v>
      </c>
      <c r="AB64" s="16">
        <f t="shared" si="1"/>
        <v>0</v>
      </c>
      <c r="AC64" s="7">
        <f t="shared" si="10"/>
        <v>53.3</v>
      </c>
    </row>
    <row r="65" spans="2:30">
      <c r="B65" s="19">
        <v>45780</v>
      </c>
      <c r="C65" s="19"/>
      <c r="D65" s="13">
        <f t="shared" si="2"/>
        <v>1</v>
      </c>
      <c r="E65" s="16">
        <v>0</v>
      </c>
      <c r="F65" s="16">
        <v>0</v>
      </c>
      <c r="G65" s="7">
        <f t="shared" si="16"/>
        <v>110000</v>
      </c>
      <c r="H65" s="14"/>
      <c r="I65" s="16">
        <v>0</v>
      </c>
      <c r="J65" s="16">
        <f t="shared" si="4"/>
        <v>30.14</v>
      </c>
      <c r="K65" s="16">
        <f t="shared" si="11"/>
        <v>120.56</v>
      </c>
      <c r="L65" s="14"/>
      <c r="M65" s="16">
        <f t="shared" si="5"/>
        <v>0</v>
      </c>
      <c r="N65" s="16">
        <f t="shared" si="5"/>
        <v>0</v>
      </c>
      <c r="O65" s="7">
        <f t="shared" si="6"/>
        <v>1530.4515999999999</v>
      </c>
      <c r="P65" s="16">
        <v>0</v>
      </c>
      <c r="Q65" s="16">
        <v>0</v>
      </c>
      <c r="R65" s="7">
        <f t="shared" si="14"/>
        <v>0</v>
      </c>
      <c r="S65" s="16">
        <v>0</v>
      </c>
      <c r="T65" s="16">
        <v>0</v>
      </c>
      <c r="U65" s="7">
        <f t="shared" si="15"/>
        <v>1530.4515999999999</v>
      </c>
      <c r="V65" s="14"/>
      <c r="W65" s="16">
        <v>0</v>
      </c>
      <c r="X65" s="16">
        <f t="shared" si="9"/>
        <v>0.04</v>
      </c>
      <c r="Y65" s="16">
        <f t="shared" si="0"/>
        <v>0.14000000000000001</v>
      </c>
      <c r="Z65" s="14"/>
      <c r="AA65" s="16">
        <v>0</v>
      </c>
      <c r="AB65" s="16">
        <f t="shared" si="1"/>
        <v>0</v>
      </c>
      <c r="AC65" s="7">
        <f t="shared" si="10"/>
        <v>53.3</v>
      </c>
    </row>
    <row r="66" spans="2:30">
      <c r="B66" s="19">
        <v>45781</v>
      </c>
      <c r="C66" s="19"/>
      <c r="D66" s="13">
        <f t="shared" si="2"/>
        <v>1</v>
      </c>
      <c r="E66" s="16">
        <v>0</v>
      </c>
      <c r="F66" s="16">
        <v>0</v>
      </c>
      <c r="G66" s="7">
        <f t="shared" si="16"/>
        <v>110000</v>
      </c>
      <c r="H66" s="14"/>
      <c r="I66" s="16">
        <v>0</v>
      </c>
      <c r="J66" s="16">
        <f t="shared" si="4"/>
        <v>30.14</v>
      </c>
      <c r="K66" s="16">
        <f t="shared" si="11"/>
        <v>150.69999999999999</v>
      </c>
      <c r="L66" s="14"/>
      <c r="M66" s="16">
        <f t="shared" si="5"/>
        <v>0</v>
      </c>
      <c r="N66" s="16">
        <f t="shared" si="5"/>
        <v>0</v>
      </c>
      <c r="O66" s="7">
        <f t="shared" si="6"/>
        <v>1530.4515999999999</v>
      </c>
      <c r="P66" s="16">
        <v>0</v>
      </c>
      <c r="Q66" s="16">
        <v>0</v>
      </c>
      <c r="R66" s="7">
        <f t="shared" si="14"/>
        <v>0</v>
      </c>
      <c r="S66" s="16">
        <v>0</v>
      </c>
      <c r="T66" s="16">
        <v>0</v>
      </c>
      <c r="U66" s="7">
        <f t="shared" si="15"/>
        <v>1530.4515999999999</v>
      </c>
      <c r="V66" s="14"/>
      <c r="W66" s="16">
        <v>0</v>
      </c>
      <c r="X66" s="16">
        <f t="shared" si="9"/>
        <v>0.04</v>
      </c>
      <c r="Y66" s="16">
        <f t="shared" si="0"/>
        <v>0.18</v>
      </c>
      <c r="Z66" s="14"/>
      <c r="AA66" s="16">
        <v>0</v>
      </c>
      <c r="AB66" s="16">
        <f t="shared" si="1"/>
        <v>0</v>
      </c>
      <c r="AC66" s="7">
        <f t="shared" si="10"/>
        <v>53.3</v>
      </c>
    </row>
    <row r="67" spans="2:30" ht="34">
      <c r="B67" s="19">
        <v>45782</v>
      </c>
      <c r="C67" s="19"/>
      <c r="D67" s="13">
        <f t="shared" si="2"/>
        <v>1</v>
      </c>
      <c r="E67" s="16">
        <v>0</v>
      </c>
      <c r="F67" s="14">
        <v>10000</v>
      </c>
      <c r="G67" s="7">
        <f t="shared" si="16"/>
        <v>120000</v>
      </c>
      <c r="H67" s="14"/>
      <c r="I67" s="16">
        <v>0</v>
      </c>
      <c r="J67" s="16">
        <f t="shared" si="4"/>
        <v>30.14</v>
      </c>
      <c r="K67" s="16">
        <f t="shared" si="11"/>
        <v>180.84</v>
      </c>
      <c r="L67" s="14"/>
      <c r="M67" s="16">
        <f t="shared" si="5"/>
        <v>0</v>
      </c>
      <c r="N67" s="16">
        <f t="shared" si="5"/>
        <v>0</v>
      </c>
      <c r="O67" s="7">
        <f t="shared" si="6"/>
        <v>1530.4515999999999</v>
      </c>
      <c r="P67" s="16">
        <v>0</v>
      </c>
      <c r="Q67" s="16">
        <v>0</v>
      </c>
      <c r="R67" s="7">
        <f t="shared" si="14"/>
        <v>0</v>
      </c>
      <c r="S67" s="16">
        <v>0</v>
      </c>
      <c r="T67" s="16">
        <v>0</v>
      </c>
      <c r="U67" s="7">
        <f t="shared" si="15"/>
        <v>1530.4515999999999</v>
      </c>
      <c r="V67" s="14"/>
      <c r="W67" s="16">
        <v>0</v>
      </c>
      <c r="X67" s="16">
        <f t="shared" si="9"/>
        <v>0.04</v>
      </c>
      <c r="Y67" s="16">
        <f t="shared" si="0"/>
        <v>0.22</v>
      </c>
      <c r="Z67" s="14"/>
      <c r="AA67" s="16">
        <v>0</v>
      </c>
      <c r="AB67" s="16">
        <f t="shared" si="1"/>
        <v>0</v>
      </c>
      <c r="AC67" s="7">
        <f t="shared" si="10"/>
        <v>53.3</v>
      </c>
      <c r="AD67" s="65" t="s">
        <v>15</v>
      </c>
    </row>
    <row r="68" spans="2:30">
      <c r="B68" s="19">
        <v>45783</v>
      </c>
      <c r="C68" s="19"/>
      <c r="D68" s="13">
        <f t="shared" si="2"/>
        <v>1</v>
      </c>
      <c r="E68" s="16">
        <v>0</v>
      </c>
      <c r="F68" s="16">
        <v>0</v>
      </c>
      <c r="G68" s="7">
        <f t="shared" si="16"/>
        <v>120000</v>
      </c>
      <c r="H68" s="14"/>
      <c r="I68" s="16">
        <v>0</v>
      </c>
      <c r="J68" s="16">
        <f t="shared" si="4"/>
        <v>32.880000000000003</v>
      </c>
      <c r="K68" s="16">
        <f t="shared" si="11"/>
        <v>213.72</v>
      </c>
      <c r="L68" s="14"/>
      <c r="M68" s="16">
        <f t="shared" si="5"/>
        <v>0</v>
      </c>
      <c r="N68" s="16">
        <f t="shared" si="5"/>
        <v>0</v>
      </c>
      <c r="O68" s="7">
        <f t="shared" si="6"/>
        <v>1530.4515999999999</v>
      </c>
      <c r="P68" s="16">
        <v>0</v>
      </c>
      <c r="Q68" s="16">
        <v>0</v>
      </c>
      <c r="R68" s="7">
        <f t="shared" si="14"/>
        <v>0</v>
      </c>
      <c r="S68" s="16">
        <v>0</v>
      </c>
      <c r="T68" s="16">
        <v>0</v>
      </c>
      <c r="U68" s="7">
        <f t="shared" si="15"/>
        <v>1530.4515999999999</v>
      </c>
      <c r="V68" s="14"/>
      <c r="W68" s="16">
        <v>0</v>
      </c>
      <c r="X68" s="16">
        <f t="shared" si="9"/>
        <v>0.04</v>
      </c>
      <c r="Y68" s="16">
        <f t="shared" si="0"/>
        <v>0.26</v>
      </c>
      <c r="Z68" s="14"/>
      <c r="AA68" s="16">
        <v>0</v>
      </c>
      <c r="AB68" s="16">
        <f t="shared" si="1"/>
        <v>0</v>
      </c>
      <c r="AC68" s="7">
        <f t="shared" si="10"/>
        <v>53.3</v>
      </c>
    </row>
    <row r="69" spans="2:30">
      <c r="B69" s="19">
        <v>45784</v>
      </c>
      <c r="C69" s="19"/>
      <c r="D69" s="13">
        <f t="shared" si="2"/>
        <v>1</v>
      </c>
      <c r="E69" s="16">
        <v>0</v>
      </c>
      <c r="F69" s="16">
        <v>0</v>
      </c>
      <c r="G69" s="7">
        <f t="shared" si="16"/>
        <v>120000</v>
      </c>
      <c r="H69" s="14"/>
      <c r="I69" s="16">
        <v>0</v>
      </c>
      <c r="J69" s="16">
        <f t="shared" si="4"/>
        <v>32.880000000000003</v>
      </c>
      <c r="K69" s="16">
        <f t="shared" si="11"/>
        <v>246.6</v>
      </c>
      <c r="L69" s="14"/>
      <c r="M69" s="16">
        <f t="shared" si="5"/>
        <v>0</v>
      </c>
      <c r="N69" s="16">
        <f t="shared" si="5"/>
        <v>0</v>
      </c>
      <c r="O69" s="7">
        <f t="shared" si="6"/>
        <v>1530.4515999999999</v>
      </c>
      <c r="P69" s="16">
        <v>0</v>
      </c>
      <c r="Q69" s="16">
        <v>0</v>
      </c>
      <c r="R69" s="7">
        <f t="shared" si="14"/>
        <v>0</v>
      </c>
      <c r="S69" s="16">
        <v>0</v>
      </c>
      <c r="T69" s="16">
        <v>0</v>
      </c>
      <c r="U69" s="7">
        <f t="shared" si="15"/>
        <v>1530.4515999999999</v>
      </c>
      <c r="V69" s="14"/>
      <c r="W69" s="16">
        <v>0</v>
      </c>
      <c r="X69" s="16">
        <f t="shared" si="9"/>
        <v>0.04</v>
      </c>
      <c r="Y69" s="16">
        <f t="shared" ref="Y69:Y132" si="17">ROUND(Y68+X69-W69,2)</f>
        <v>0.3</v>
      </c>
      <c r="Z69" s="14"/>
      <c r="AA69" s="16">
        <v>0</v>
      </c>
      <c r="AB69" s="16">
        <f t="shared" ref="AB69:AB132" si="18">(I69+W69)*$AB$3</f>
        <v>0</v>
      </c>
      <c r="AC69" s="7">
        <f t="shared" si="10"/>
        <v>53.3</v>
      </c>
    </row>
    <row r="70" spans="2:30">
      <c r="B70" s="19">
        <v>45785</v>
      </c>
      <c r="C70" s="19"/>
      <c r="D70" s="13">
        <f t="shared" ref="D70:D133" si="19">B70-B69</f>
        <v>1</v>
      </c>
      <c r="E70" s="16">
        <v>0</v>
      </c>
      <c r="F70" s="16">
        <v>0</v>
      </c>
      <c r="G70" s="7">
        <f t="shared" si="16"/>
        <v>120000</v>
      </c>
      <c r="H70" s="14"/>
      <c r="I70" s="16">
        <v>0</v>
      </c>
      <c r="J70" s="16">
        <f t="shared" ref="J70:J133" si="20">ROUND((G70-F70)*$B$3/$D$3*D70,2)</f>
        <v>32.880000000000003</v>
      </c>
      <c r="K70" s="16">
        <f t="shared" si="11"/>
        <v>279.48</v>
      </c>
      <c r="L70" s="14"/>
      <c r="M70" s="16">
        <f t="shared" ref="M70:N133" si="21">P70+S70</f>
        <v>0</v>
      </c>
      <c r="N70" s="16">
        <f t="shared" si="21"/>
        <v>0</v>
      </c>
      <c r="O70" s="7">
        <f t="shared" ref="O70:O133" si="22">O69+N70-M70</f>
        <v>1530.4515999999999</v>
      </c>
      <c r="P70" s="16">
        <v>0</v>
      </c>
      <c r="Q70" s="16">
        <v>0</v>
      </c>
      <c r="R70" s="7">
        <f t="shared" si="14"/>
        <v>0</v>
      </c>
      <c r="S70" s="16">
        <v>0</v>
      </c>
      <c r="T70" s="16">
        <v>0</v>
      </c>
      <c r="U70" s="7">
        <f t="shared" si="15"/>
        <v>1530.4515999999999</v>
      </c>
      <c r="V70" s="14"/>
      <c r="W70" s="16">
        <v>0</v>
      </c>
      <c r="X70" s="16">
        <f t="shared" ref="X70:X133" si="23">ROUND((O70-N70)*$M$3/$N$3*D70,2)</f>
        <v>0.04</v>
      </c>
      <c r="Y70" s="16">
        <f t="shared" si="17"/>
        <v>0.34</v>
      </c>
      <c r="Z70" s="14"/>
      <c r="AA70" s="16">
        <v>0</v>
      </c>
      <c r="AB70" s="16">
        <f t="shared" si="18"/>
        <v>0</v>
      </c>
      <c r="AC70" s="7">
        <f t="shared" ref="AC70:AC133" si="24">ROUND(AC69+AB70-AA70,2)</f>
        <v>53.3</v>
      </c>
    </row>
    <row r="71" spans="2:30">
      <c r="B71" s="19">
        <v>45786</v>
      </c>
      <c r="C71" s="19"/>
      <c r="D71" s="13">
        <f t="shared" si="19"/>
        <v>1</v>
      </c>
      <c r="E71" s="16">
        <v>0</v>
      </c>
      <c r="F71" s="16">
        <v>0</v>
      </c>
      <c r="G71" s="7">
        <f t="shared" si="16"/>
        <v>120000</v>
      </c>
      <c r="H71" s="14"/>
      <c r="I71" s="16">
        <v>0</v>
      </c>
      <c r="J71" s="16">
        <f t="shared" si="20"/>
        <v>32.880000000000003</v>
      </c>
      <c r="K71" s="16">
        <f t="shared" ref="K71:K134" si="25">ROUND(K70+J71-I71,2)</f>
        <v>312.36</v>
      </c>
      <c r="L71" s="14"/>
      <c r="M71" s="16">
        <f t="shared" si="21"/>
        <v>0</v>
      </c>
      <c r="N71" s="16">
        <f t="shared" si="21"/>
        <v>0</v>
      </c>
      <c r="O71" s="7">
        <f t="shared" si="22"/>
        <v>1530.4515999999999</v>
      </c>
      <c r="P71" s="16">
        <v>0</v>
      </c>
      <c r="Q71" s="16">
        <v>0</v>
      </c>
      <c r="R71" s="7">
        <f t="shared" si="14"/>
        <v>0</v>
      </c>
      <c r="S71" s="16">
        <v>0</v>
      </c>
      <c r="T71" s="16">
        <v>0</v>
      </c>
      <c r="U71" s="7">
        <f t="shared" si="15"/>
        <v>1530.4515999999999</v>
      </c>
      <c r="V71" s="14"/>
      <c r="W71" s="16">
        <v>0</v>
      </c>
      <c r="X71" s="16">
        <f t="shared" si="23"/>
        <v>0.04</v>
      </c>
      <c r="Y71" s="16">
        <f t="shared" si="17"/>
        <v>0.38</v>
      </c>
      <c r="Z71" s="14"/>
      <c r="AA71" s="16">
        <v>0</v>
      </c>
      <c r="AB71" s="16">
        <f t="shared" si="18"/>
        <v>0</v>
      </c>
      <c r="AC71" s="7">
        <f t="shared" si="24"/>
        <v>53.3</v>
      </c>
    </row>
    <row r="72" spans="2:30">
      <c r="B72" s="19">
        <v>45787</v>
      </c>
      <c r="C72" s="19"/>
      <c r="D72" s="13">
        <f t="shared" si="19"/>
        <v>1</v>
      </c>
      <c r="E72" s="16">
        <v>0</v>
      </c>
      <c r="F72" s="16">
        <v>0</v>
      </c>
      <c r="G72" s="7">
        <f t="shared" si="16"/>
        <v>120000</v>
      </c>
      <c r="H72" s="14"/>
      <c r="I72" s="16">
        <v>0</v>
      </c>
      <c r="J72" s="16">
        <f t="shared" si="20"/>
        <v>32.880000000000003</v>
      </c>
      <c r="K72" s="16">
        <f t="shared" si="25"/>
        <v>345.24</v>
      </c>
      <c r="L72" s="14"/>
      <c r="M72" s="16">
        <f t="shared" si="21"/>
        <v>0</v>
      </c>
      <c r="N72" s="16">
        <f t="shared" si="21"/>
        <v>0</v>
      </c>
      <c r="O72" s="7">
        <f t="shared" si="22"/>
        <v>1530.4515999999999</v>
      </c>
      <c r="P72" s="16">
        <v>0</v>
      </c>
      <c r="Q72" s="16">
        <v>0</v>
      </c>
      <c r="R72" s="7">
        <f t="shared" si="14"/>
        <v>0</v>
      </c>
      <c r="S72" s="16">
        <v>0</v>
      </c>
      <c r="T72" s="16">
        <v>0</v>
      </c>
      <c r="U72" s="7">
        <f t="shared" si="15"/>
        <v>1530.4515999999999</v>
      </c>
      <c r="V72" s="14"/>
      <c r="W72" s="16">
        <v>0</v>
      </c>
      <c r="X72" s="16">
        <f t="shared" si="23"/>
        <v>0.04</v>
      </c>
      <c r="Y72" s="16">
        <f t="shared" si="17"/>
        <v>0.42</v>
      </c>
      <c r="Z72" s="14"/>
      <c r="AA72" s="16">
        <v>0</v>
      </c>
      <c r="AB72" s="16">
        <f t="shared" si="18"/>
        <v>0</v>
      </c>
      <c r="AC72" s="7">
        <f t="shared" si="24"/>
        <v>53.3</v>
      </c>
    </row>
    <row r="73" spans="2:30">
      <c r="B73" s="19">
        <v>45788</v>
      </c>
      <c r="C73" s="19"/>
      <c r="D73" s="13">
        <f t="shared" si="19"/>
        <v>1</v>
      </c>
      <c r="E73" s="16">
        <v>0</v>
      </c>
      <c r="F73" s="16">
        <v>0</v>
      </c>
      <c r="G73" s="7">
        <f t="shared" si="16"/>
        <v>120000</v>
      </c>
      <c r="H73" s="14"/>
      <c r="I73" s="16">
        <v>0</v>
      </c>
      <c r="J73" s="16">
        <f t="shared" si="20"/>
        <v>32.880000000000003</v>
      </c>
      <c r="K73" s="16">
        <f t="shared" si="25"/>
        <v>378.12</v>
      </c>
      <c r="L73" s="14"/>
      <c r="M73" s="16">
        <f t="shared" si="21"/>
        <v>0</v>
      </c>
      <c r="N73" s="16">
        <f t="shared" si="21"/>
        <v>0</v>
      </c>
      <c r="O73" s="7">
        <f t="shared" si="22"/>
        <v>1530.4515999999999</v>
      </c>
      <c r="P73" s="16">
        <v>0</v>
      </c>
      <c r="Q73" s="16">
        <v>0</v>
      </c>
      <c r="R73" s="7">
        <f t="shared" si="14"/>
        <v>0</v>
      </c>
      <c r="S73" s="16">
        <v>0</v>
      </c>
      <c r="T73" s="16">
        <v>0</v>
      </c>
      <c r="U73" s="7">
        <f t="shared" si="15"/>
        <v>1530.4515999999999</v>
      </c>
      <c r="V73" s="14"/>
      <c r="W73" s="16">
        <v>0</v>
      </c>
      <c r="X73" s="16">
        <f t="shared" si="23"/>
        <v>0.04</v>
      </c>
      <c r="Y73" s="16">
        <f t="shared" si="17"/>
        <v>0.46</v>
      </c>
      <c r="Z73" s="14"/>
      <c r="AA73" s="16">
        <v>0</v>
      </c>
      <c r="AB73" s="16">
        <f t="shared" si="18"/>
        <v>0</v>
      </c>
      <c r="AC73" s="7">
        <f t="shared" si="24"/>
        <v>53.3</v>
      </c>
    </row>
    <row r="74" spans="2:30">
      <c r="B74" s="19">
        <v>45789</v>
      </c>
      <c r="C74" s="19"/>
      <c r="D74" s="13">
        <f t="shared" si="19"/>
        <v>1</v>
      </c>
      <c r="E74" s="16">
        <v>0</v>
      </c>
      <c r="F74" s="16">
        <v>0</v>
      </c>
      <c r="G74" s="7">
        <f t="shared" si="16"/>
        <v>120000</v>
      </c>
      <c r="H74" s="14"/>
      <c r="I74" s="16">
        <v>0</v>
      </c>
      <c r="J74" s="16">
        <f t="shared" si="20"/>
        <v>32.880000000000003</v>
      </c>
      <c r="K74" s="16">
        <f t="shared" si="25"/>
        <v>411</v>
      </c>
      <c r="L74" s="14"/>
      <c r="M74" s="16">
        <f t="shared" si="21"/>
        <v>0</v>
      </c>
      <c r="N74" s="16">
        <f t="shared" si="21"/>
        <v>0</v>
      </c>
      <c r="O74" s="7">
        <f t="shared" si="22"/>
        <v>1530.4515999999999</v>
      </c>
      <c r="P74" s="16">
        <v>0</v>
      </c>
      <c r="Q74" s="16">
        <v>0</v>
      </c>
      <c r="R74" s="7">
        <f t="shared" si="14"/>
        <v>0</v>
      </c>
      <c r="S74" s="16">
        <v>0</v>
      </c>
      <c r="T74" s="16">
        <v>0</v>
      </c>
      <c r="U74" s="7">
        <f t="shared" si="15"/>
        <v>1530.4515999999999</v>
      </c>
      <c r="V74" s="14"/>
      <c r="W74" s="16">
        <v>0</v>
      </c>
      <c r="X74" s="16">
        <f t="shared" si="23"/>
        <v>0.04</v>
      </c>
      <c r="Y74" s="16">
        <f t="shared" si="17"/>
        <v>0.5</v>
      </c>
      <c r="Z74" s="14"/>
      <c r="AA74" s="16">
        <v>0</v>
      </c>
      <c r="AB74" s="16">
        <f t="shared" si="18"/>
        <v>0</v>
      </c>
      <c r="AC74" s="7">
        <f t="shared" si="24"/>
        <v>53.3</v>
      </c>
    </row>
    <row r="75" spans="2:30">
      <c r="B75" s="19">
        <v>45790</v>
      </c>
      <c r="C75" s="19"/>
      <c r="D75" s="13">
        <f t="shared" si="19"/>
        <v>1</v>
      </c>
      <c r="E75" s="16">
        <v>0</v>
      </c>
      <c r="F75" s="16">
        <v>0</v>
      </c>
      <c r="G75" s="7">
        <f t="shared" si="16"/>
        <v>120000</v>
      </c>
      <c r="H75" s="14"/>
      <c r="I75" s="16">
        <v>0</v>
      </c>
      <c r="J75" s="16">
        <f t="shared" si="20"/>
        <v>32.880000000000003</v>
      </c>
      <c r="K75" s="16">
        <f t="shared" si="25"/>
        <v>443.88</v>
      </c>
      <c r="L75" s="14"/>
      <c r="M75" s="16">
        <f t="shared" si="21"/>
        <v>0</v>
      </c>
      <c r="N75" s="16">
        <f t="shared" si="21"/>
        <v>0</v>
      </c>
      <c r="O75" s="7">
        <f t="shared" si="22"/>
        <v>1530.4515999999999</v>
      </c>
      <c r="P75" s="16">
        <v>0</v>
      </c>
      <c r="Q75" s="16">
        <v>0</v>
      </c>
      <c r="R75" s="7">
        <f t="shared" si="14"/>
        <v>0</v>
      </c>
      <c r="S75" s="16">
        <v>0</v>
      </c>
      <c r="T75" s="16">
        <v>0</v>
      </c>
      <c r="U75" s="7">
        <f t="shared" si="15"/>
        <v>1530.4515999999999</v>
      </c>
      <c r="V75" s="14"/>
      <c r="W75" s="16">
        <v>0</v>
      </c>
      <c r="X75" s="16">
        <f t="shared" si="23"/>
        <v>0.04</v>
      </c>
      <c r="Y75" s="16">
        <f t="shared" si="17"/>
        <v>0.54</v>
      </c>
      <c r="Z75" s="14"/>
      <c r="AA75" s="16">
        <v>0</v>
      </c>
      <c r="AB75" s="16">
        <f t="shared" si="18"/>
        <v>0</v>
      </c>
      <c r="AC75" s="7">
        <f t="shared" si="24"/>
        <v>53.3</v>
      </c>
    </row>
    <row r="76" spans="2:30" ht="17">
      <c r="B76" s="19">
        <v>45791</v>
      </c>
      <c r="C76" s="19"/>
      <c r="D76" s="13">
        <f t="shared" si="19"/>
        <v>1</v>
      </c>
      <c r="E76" s="16">
        <v>0</v>
      </c>
      <c r="F76" s="16">
        <v>0</v>
      </c>
      <c r="G76" s="7">
        <f t="shared" si="16"/>
        <v>120000</v>
      </c>
      <c r="H76" s="14"/>
      <c r="I76" s="16">
        <v>0</v>
      </c>
      <c r="J76" s="16">
        <f t="shared" si="20"/>
        <v>32.880000000000003</v>
      </c>
      <c r="K76" s="16">
        <f t="shared" si="25"/>
        <v>476.76</v>
      </c>
      <c r="L76" s="14"/>
      <c r="M76" s="16">
        <f t="shared" si="21"/>
        <v>0</v>
      </c>
      <c r="N76" s="16">
        <f t="shared" si="21"/>
        <v>0</v>
      </c>
      <c r="O76" s="7">
        <f t="shared" si="22"/>
        <v>1530.4515999999999</v>
      </c>
      <c r="P76" s="16">
        <v>0</v>
      </c>
      <c r="Q76" s="16">
        <v>0</v>
      </c>
      <c r="R76" s="7">
        <f t="shared" si="14"/>
        <v>0</v>
      </c>
      <c r="S76" s="16">
        <v>0</v>
      </c>
      <c r="T76" s="16">
        <v>0</v>
      </c>
      <c r="U76" s="7">
        <f t="shared" si="15"/>
        <v>1530.4515999999999</v>
      </c>
      <c r="V76" s="14"/>
      <c r="W76" s="16">
        <v>0</v>
      </c>
      <c r="X76" s="16">
        <f t="shared" si="23"/>
        <v>0.04</v>
      </c>
      <c r="Y76" s="16">
        <f t="shared" si="17"/>
        <v>0.57999999999999996</v>
      </c>
      <c r="Z76" s="14"/>
      <c r="AA76" s="22">
        <f>AC75</f>
        <v>53.3</v>
      </c>
      <c r="AB76" s="16">
        <f t="shared" si="18"/>
        <v>0</v>
      </c>
      <c r="AC76" s="69">
        <f t="shared" si="24"/>
        <v>0</v>
      </c>
      <c r="AD76" s="71" t="s">
        <v>48</v>
      </c>
    </row>
    <row r="77" spans="2:30">
      <c r="B77" s="19">
        <v>45792</v>
      </c>
      <c r="C77" s="19"/>
      <c r="D77" s="13">
        <f t="shared" si="19"/>
        <v>1</v>
      </c>
      <c r="E77" s="16">
        <v>0</v>
      </c>
      <c r="F77" s="16">
        <v>0</v>
      </c>
      <c r="G77" s="7">
        <f t="shared" si="16"/>
        <v>120000</v>
      </c>
      <c r="H77" s="14"/>
      <c r="I77" s="16">
        <v>0</v>
      </c>
      <c r="J77" s="16">
        <f t="shared" si="20"/>
        <v>32.880000000000003</v>
      </c>
      <c r="K77" s="16">
        <f t="shared" si="25"/>
        <v>509.64</v>
      </c>
      <c r="L77" s="14"/>
      <c r="M77" s="16">
        <f t="shared" si="21"/>
        <v>0</v>
      </c>
      <c r="N77" s="16">
        <f t="shared" si="21"/>
        <v>0</v>
      </c>
      <c r="O77" s="7">
        <f t="shared" si="22"/>
        <v>1530.4515999999999</v>
      </c>
      <c r="P77" s="16">
        <v>0</v>
      </c>
      <c r="Q77" s="16">
        <v>0</v>
      </c>
      <c r="R77" s="7">
        <f t="shared" si="14"/>
        <v>0</v>
      </c>
      <c r="S77" s="16">
        <v>0</v>
      </c>
      <c r="T77" s="16">
        <v>0</v>
      </c>
      <c r="U77" s="7">
        <f t="shared" si="15"/>
        <v>1530.4515999999999</v>
      </c>
      <c r="V77" s="14"/>
      <c r="W77" s="16">
        <v>0</v>
      </c>
      <c r="X77" s="16">
        <f t="shared" si="23"/>
        <v>0.04</v>
      </c>
      <c r="Y77" s="16">
        <f t="shared" si="17"/>
        <v>0.62</v>
      </c>
      <c r="Z77" s="14"/>
      <c r="AA77" s="16">
        <v>0</v>
      </c>
      <c r="AB77" s="16">
        <f t="shared" si="18"/>
        <v>0</v>
      </c>
      <c r="AC77" s="7">
        <f t="shared" si="24"/>
        <v>0</v>
      </c>
    </row>
    <row r="78" spans="2:30">
      <c r="B78" s="19">
        <v>45793</v>
      </c>
      <c r="C78" s="19"/>
      <c r="D78" s="13">
        <f t="shared" si="19"/>
        <v>1</v>
      </c>
      <c r="E78" s="16">
        <v>0</v>
      </c>
      <c r="F78" s="16">
        <v>0</v>
      </c>
      <c r="G78" s="7">
        <f t="shared" si="16"/>
        <v>120000</v>
      </c>
      <c r="H78" s="14"/>
      <c r="I78" s="16">
        <v>0</v>
      </c>
      <c r="J78" s="16">
        <f t="shared" si="20"/>
        <v>32.880000000000003</v>
      </c>
      <c r="K78" s="16">
        <f t="shared" si="25"/>
        <v>542.52</v>
      </c>
      <c r="L78" s="14"/>
      <c r="M78" s="16">
        <f t="shared" si="21"/>
        <v>0</v>
      </c>
      <c r="N78" s="16">
        <f t="shared" si="21"/>
        <v>0</v>
      </c>
      <c r="O78" s="7">
        <f t="shared" si="22"/>
        <v>1530.4515999999999</v>
      </c>
      <c r="P78" s="16">
        <v>0</v>
      </c>
      <c r="Q78" s="16">
        <v>0</v>
      </c>
      <c r="R78" s="7">
        <f t="shared" si="14"/>
        <v>0</v>
      </c>
      <c r="S78" s="16">
        <v>0</v>
      </c>
      <c r="T78" s="16">
        <v>0</v>
      </c>
      <c r="U78" s="7">
        <f t="shared" si="15"/>
        <v>1530.4515999999999</v>
      </c>
      <c r="V78" s="14"/>
      <c r="W78" s="16">
        <v>0</v>
      </c>
      <c r="X78" s="16">
        <f t="shared" si="23"/>
        <v>0.04</v>
      </c>
      <c r="Y78" s="16">
        <f t="shared" si="17"/>
        <v>0.66</v>
      </c>
      <c r="Z78" s="14"/>
      <c r="AA78" s="16">
        <v>0</v>
      </c>
      <c r="AB78" s="16">
        <f t="shared" si="18"/>
        <v>0</v>
      </c>
      <c r="AC78" s="7">
        <f t="shared" si="24"/>
        <v>0</v>
      </c>
    </row>
    <row r="79" spans="2:30">
      <c r="B79" s="19">
        <v>45794</v>
      </c>
      <c r="C79" s="19"/>
      <c r="D79" s="13">
        <f t="shared" si="19"/>
        <v>1</v>
      </c>
      <c r="E79" s="16">
        <v>0</v>
      </c>
      <c r="F79" s="16">
        <v>0</v>
      </c>
      <c r="G79" s="7">
        <f t="shared" si="16"/>
        <v>120000</v>
      </c>
      <c r="H79" s="14"/>
      <c r="I79" s="16">
        <v>0</v>
      </c>
      <c r="J79" s="16">
        <f t="shared" si="20"/>
        <v>32.880000000000003</v>
      </c>
      <c r="K79" s="16">
        <f t="shared" si="25"/>
        <v>575.4</v>
      </c>
      <c r="L79" s="14"/>
      <c r="M79" s="16">
        <f t="shared" si="21"/>
        <v>0</v>
      </c>
      <c r="N79" s="16">
        <f t="shared" si="21"/>
        <v>0</v>
      </c>
      <c r="O79" s="7">
        <f t="shared" si="22"/>
        <v>1530.4515999999999</v>
      </c>
      <c r="P79" s="16">
        <v>0</v>
      </c>
      <c r="Q79" s="16">
        <v>0</v>
      </c>
      <c r="R79" s="7">
        <f t="shared" si="14"/>
        <v>0</v>
      </c>
      <c r="S79" s="16">
        <v>0</v>
      </c>
      <c r="T79" s="16">
        <v>0</v>
      </c>
      <c r="U79" s="7">
        <f t="shared" si="15"/>
        <v>1530.4515999999999</v>
      </c>
      <c r="V79" s="14"/>
      <c r="W79" s="16">
        <v>0</v>
      </c>
      <c r="X79" s="16">
        <f t="shared" si="23"/>
        <v>0.04</v>
      </c>
      <c r="Y79" s="16">
        <f t="shared" si="17"/>
        <v>0.7</v>
      </c>
      <c r="Z79" s="14"/>
      <c r="AA79" s="16">
        <v>0</v>
      </c>
      <c r="AB79" s="16">
        <f t="shared" si="18"/>
        <v>0</v>
      </c>
      <c r="AC79" s="7">
        <f t="shared" si="24"/>
        <v>0</v>
      </c>
    </row>
    <row r="80" spans="2:30">
      <c r="B80" s="19">
        <v>45795</v>
      </c>
      <c r="C80" s="19"/>
      <c r="D80" s="13">
        <f t="shared" si="19"/>
        <v>1</v>
      </c>
      <c r="E80" s="16">
        <v>0</v>
      </c>
      <c r="F80" s="16">
        <v>0</v>
      </c>
      <c r="G80" s="7">
        <f t="shared" si="16"/>
        <v>120000</v>
      </c>
      <c r="H80" s="14"/>
      <c r="I80" s="16">
        <v>0</v>
      </c>
      <c r="J80" s="16">
        <f t="shared" si="20"/>
        <v>32.880000000000003</v>
      </c>
      <c r="K80" s="16">
        <f t="shared" si="25"/>
        <v>608.28</v>
      </c>
      <c r="L80" s="14"/>
      <c r="M80" s="16">
        <f t="shared" si="21"/>
        <v>0</v>
      </c>
      <c r="N80" s="16">
        <f t="shared" si="21"/>
        <v>0</v>
      </c>
      <c r="O80" s="7">
        <f t="shared" si="22"/>
        <v>1530.4515999999999</v>
      </c>
      <c r="P80" s="16">
        <v>0</v>
      </c>
      <c r="Q80" s="16">
        <v>0</v>
      </c>
      <c r="R80" s="7">
        <f t="shared" si="14"/>
        <v>0</v>
      </c>
      <c r="S80" s="16">
        <v>0</v>
      </c>
      <c r="T80" s="16">
        <v>0</v>
      </c>
      <c r="U80" s="7">
        <f t="shared" si="15"/>
        <v>1530.4515999999999</v>
      </c>
      <c r="V80" s="14"/>
      <c r="W80" s="16">
        <v>0</v>
      </c>
      <c r="X80" s="16">
        <f t="shared" si="23"/>
        <v>0.04</v>
      </c>
      <c r="Y80" s="16">
        <f t="shared" si="17"/>
        <v>0.74</v>
      </c>
      <c r="Z80" s="14"/>
      <c r="AA80" s="16">
        <v>0</v>
      </c>
      <c r="AB80" s="16">
        <f t="shared" si="18"/>
        <v>0</v>
      </c>
      <c r="AC80" s="7">
        <f t="shared" si="24"/>
        <v>0</v>
      </c>
    </row>
    <row r="81" spans="2:30">
      <c r="B81" s="19">
        <v>45796</v>
      </c>
      <c r="C81" s="19"/>
      <c r="D81" s="13">
        <f t="shared" si="19"/>
        <v>1</v>
      </c>
      <c r="E81" s="16">
        <v>0</v>
      </c>
      <c r="F81" s="16">
        <v>0</v>
      </c>
      <c r="G81" s="7">
        <f t="shared" si="16"/>
        <v>120000</v>
      </c>
      <c r="H81" s="14"/>
      <c r="I81" s="16">
        <v>0</v>
      </c>
      <c r="J81" s="16">
        <f t="shared" si="20"/>
        <v>32.880000000000003</v>
      </c>
      <c r="K81" s="16">
        <f t="shared" si="25"/>
        <v>641.16</v>
      </c>
      <c r="L81" s="14"/>
      <c r="M81" s="16">
        <f t="shared" si="21"/>
        <v>0</v>
      </c>
      <c r="N81" s="16">
        <f t="shared" si="21"/>
        <v>0</v>
      </c>
      <c r="O81" s="7">
        <f t="shared" si="22"/>
        <v>1530.4515999999999</v>
      </c>
      <c r="P81" s="16">
        <v>0</v>
      </c>
      <c r="Q81" s="16">
        <v>0</v>
      </c>
      <c r="R81" s="7">
        <f t="shared" si="14"/>
        <v>0</v>
      </c>
      <c r="S81" s="16">
        <v>0</v>
      </c>
      <c r="T81" s="16">
        <v>0</v>
      </c>
      <c r="U81" s="7">
        <f t="shared" si="15"/>
        <v>1530.4515999999999</v>
      </c>
      <c r="V81" s="14"/>
      <c r="W81" s="16">
        <v>0</v>
      </c>
      <c r="X81" s="16">
        <f t="shared" si="23"/>
        <v>0.04</v>
      </c>
      <c r="Y81" s="16">
        <f t="shared" si="17"/>
        <v>0.78</v>
      </c>
      <c r="Z81" s="14"/>
      <c r="AA81" s="16">
        <v>0</v>
      </c>
      <c r="AB81" s="16">
        <f t="shared" si="18"/>
        <v>0</v>
      </c>
      <c r="AC81" s="7">
        <f t="shared" si="24"/>
        <v>0</v>
      </c>
    </row>
    <row r="82" spans="2:30">
      <c r="B82" s="19">
        <v>45797</v>
      </c>
      <c r="C82" s="19"/>
      <c r="D82" s="13">
        <f t="shared" si="19"/>
        <v>1</v>
      </c>
      <c r="E82" s="16">
        <v>0</v>
      </c>
      <c r="F82" s="16">
        <v>0</v>
      </c>
      <c r="G82" s="7">
        <f t="shared" si="16"/>
        <v>120000</v>
      </c>
      <c r="H82" s="14"/>
      <c r="I82" s="16">
        <v>0</v>
      </c>
      <c r="J82" s="16">
        <f t="shared" si="20"/>
        <v>32.880000000000003</v>
      </c>
      <c r="K82" s="16">
        <f t="shared" si="25"/>
        <v>674.04</v>
      </c>
      <c r="L82" s="14"/>
      <c r="M82" s="16">
        <f t="shared" si="21"/>
        <v>0</v>
      </c>
      <c r="N82" s="16">
        <f t="shared" si="21"/>
        <v>0</v>
      </c>
      <c r="O82" s="7">
        <f t="shared" si="22"/>
        <v>1530.4515999999999</v>
      </c>
      <c r="P82" s="16">
        <v>0</v>
      </c>
      <c r="Q82" s="16">
        <v>0</v>
      </c>
      <c r="R82" s="7">
        <f t="shared" si="14"/>
        <v>0</v>
      </c>
      <c r="S82" s="16">
        <v>0</v>
      </c>
      <c r="T82" s="16">
        <v>0</v>
      </c>
      <c r="U82" s="7">
        <f t="shared" si="15"/>
        <v>1530.4515999999999</v>
      </c>
      <c r="V82" s="14"/>
      <c r="W82" s="16">
        <v>0</v>
      </c>
      <c r="X82" s="16">
        <f t="shared" si="23"/>
        <v>0.04</v>
      </c>
      <c r="Y82" s="16">
        <f t="shared" si="17"/>
        <v>0.82</v>
      </c>
      <c r="Z82" s="14"/>
      <c r="AA82" s="16">
        <v>0</v>
      </c>
      <c r="AB82" s="16">
        <f t="shared" si="18"/>
        <v>0</v>
      </c>
      <c r="AC82" s="7">
        <f t="shared" si="24"/>
        <v>0</v>
      </c>
    </row>
    <row r="83" spans="2:30">
      <c r="B83" s="19">
        <v>45798</v>
      </c>
      <c r="C83" s="19"/>
      <c r="D83" s="13">
        <f t="shared" si="19"/>
        <v>1</v>
      </c>
      <c r="E83" s="16">
        <v>0</v>
      </c>
      <c r="F83" s="16">
        <v>0</v>
      </c>
      <c r="G83" s="7">
        <f t="shared" si="16"/>
        <v>120000</v>
      </c>
      <c r="H83" s="14"/>
      <c r="I83" s="16">
        <v>0</v>
      </c>
      <c r="J83" s="16">
        <f t="shared" si="20"/>
        <v>32.880000000000003</v>
      </c>
      <c r="K83" s="16">
        <f t="shared" si="25"/>
        <v>706.92</v>
      </c>
      <c r="L83" s="14"/>
      <c r="M83" s="16">
        <f t="shared" si="21"/>
        <v>0</v>
      </c>
      <c r="N83" s="16">
        <f t="shared" si="21"/>
        <v>0</v>
      </c>
      <c r="O83" s="7">
        <f t="shared" si="22"/>
        <v>1530.4515999999999</v>
      </c>
      <c r="P83" s="16">
        <v>0</v>
      </c>
      <c r="Q83" s="16">
        <v>0</v>
      </c>
      <c r="R83" s="7">
        <f t="shared" si="14"/>
        <v>0</v>
      </c>
      <c r="S83" s="16">
        <v>0</v>
      </c>
      <c r="T83" s="16">
        <v>0</v>
      </c>
      <c r="U83" s="7">
        <f t="shared" si="15"/>
        <v>1530.4515999999999</v>
      </c>
      <c r="V83" s="14"/>
      <c r="W83" s="16">
        <v>0</v>
      </c>
      <c r="X83" s="16">
        <f t="shared" si="23"/>
        <v>0.04</v>
      </c>
      <c r="Y83" s="16">
        <f t="shared" si="17"/>
        <v>0.86</v>
      </c>
      <c r="Z83" s="14"/>
      <c r="AA83" s="16">
        <v>0</v>
      </c>
      <c r="AB83" s="16">
        <f t="shared" si="18"/>
        <v>0</v>
      </c>
      <c r="AC83" s="7">
        <f t="shared" si="24"/>
        <v>0</v>
      </c>
    </row>
    <row r="84" spans="2:30">
      <c r="B84" s="19">
        <v>45799</v>
      </c>
      <c r="C84" s="19"/>
      <c r="D84" s="13">
        <f t="shared" si="19"/>
        <v>1</v>
      </c>
      <c r="E84" s="16">
        <v>0</v>
      </c>
      <c r="F84" s="16">
        <v>0</v>
      </c>
      <c r="G84" s="7">
        <f t="shared" si="16"/>
        <v>120000</v>
      </c>
      <c r="H84" s="14"/>
      <c r="I84" s="16">
        <v>0</v>
      </c>
      <c r="J84" s="16">
        <f t="shared" si="20"/>
        <v>32.880000000000003</v>
      </c>
      <c r="K84" s="16">
        <f t="shared" si="25"/>
        <v>739.8</v>
      </c>
      <c r="L84" s="14"/>
      <c r="M84" s="16">
        <f t="shared" si="21"/>
        <v>0</v>
      </c>
      <c r="N84" s="16">
        <f t="shared" si="21"/>
        <v>0</v>
      </c>
      <c r="O84" s="7">
        <f t="shared" si="22"/>
        <v>1530.4515999999999</v>
      </c>
      <c r="P84" s="16">
        <v>0</v>
      </c>
      <c r="Q84" s="16">
        <v>0</v>
      </c>
      <c r="R84" s="7">
        <f t="shared" si="14"/>
        <v>0</v>
      </c>
      <c r="S84" s="16">
        <v>0</v>
      </c>
      <c r="T84" s="16">
        <v>0</v>
      </c>
      <c r="U84" s="7">
        <f t="shared" si="15"/>
        <v>1530.4515999999999</v>
      </c>
      <c r="V84" s="14"/>
      <c r="W84" s="16">
        <v>0</v>
      </c>
      <c r="X84" s="16">
        <f t="shared" si="23"/>
        <v>0.04</v>
      </c>
      <c r="Y84" s="16">
        <f t="shared" si="17"/>
        <v>0.9</v>
      </c>
      <c r="Z84" s="14"/>
      <c r="AA84" s="16">
        <v>0</v>
      </c>
      <c r="AB84" s="16">
        <f t="shared" si="18"/>
        <v>0</v>
      </c>
      <c r="AC84" s="7">
        <f t="shared" si="24"/>
        <v>0</v>
      </c>
    </row>
    <row r="85" spans="2:30">
      <c r="B85" s="19">
        <v>45800</v>
      </c>
      <c r="C85" s="19"/>
      <c r="D85" s="13">
        <f t="shared" si="19"/>
        <v>1</v>
      </c>
      <c r="E85" s="16">
        <v>0</v>
      </c>
      <c r="F85" s="16">
        <v>0</v>
      </c>
      <c r="G85" s="7">
        <f t="shared" si="16"/>
        <v>120000</v>
      </c>
      <c r="H85" s="14"/>
      <c r="I85" s="16">
        <v>0</v>
      </c>
      <c r="J85" s="16">
        <f t="shared" si="20"/>
        <v>32.880000000000003</v>
      </c>
      <c r="K85" s="16">
        <f t="shared" si="25"/>
        <v>772.68</v>
      </c>
      <c r="L85" s="14"/>
      <c r="M85" s="16">
        <f t="shared" si="21"/>
        <v>0</v>
      </c>
      <c r="N85" s="16">
        <f t="shared" si="21"/>
        <v>0</v>
      </c>
      <c r="O85" s="7">
        <f t="shared" si="22"/>
        <v>1530.4515999999999</v>
      </c>
      <c r="P85" s="16">
        <v>0</v>
      </c>
      <c r="Q85" s="16">
        <v>0</v>
      </c>
      <c r="R85" s="7">
        <f t="shared" si="14"/>
        <v>0</v>
      </c>
      <c r="S85" s="16">
        <v>0</v>
      </c>
      <c r="T85" s="16">
        <v>0</v>
      </c>
      <c r="U85" s="7">
        <f t="shared" si="15"/>
        <v>1530.4515999999999</v>
      </c>
      <c r="V85" s="14"/>
      <c r="W85" s="16">
        <v>0</v>
      </c>
      <c r="X85" s="16">
        <f t="shared" si="23"/>
        <v>0.04</v>
      </c>
      <c r="Y85" s="16">
        <f t="shared" si="17"/>
        <v>0.94</v>
      </c>
      <c r="Z85" s="14"/>
      <c r="AA85" s="16">
        <v>0</v>
      </c>
      <c r="AB85" s="16">
        <f t="shared" si="18"/>
        <v>0</v>
      </c>
      <c r="AC85" s="7">
        <f t="shared" si="24"/>
        <v>0</v>
      </c>
    </row>
    <row r="86" spans="2:30">
      <c r="B86" s="19">
        <v>45801</v>
      </c>
      <c r="C86" s="19"/>
      <c r="D86" s="13">
        <f t="shared" si="19"/>
        <v>1</v>
      </c>
      <c r="E86" s="16">
        <v>0</v>
      </c>
      <c r="F86" s="16">
        <v>0</v>
      </c>
      <c r="G86" s="7">
        <f t="shared" si="16"/>
        <v>120000</v>
      </c>
      <c r="H86" s="14"/>
      <c r="I86" s="16">
        <v>0</v>
      </c>
      <c r="J86" s="16">
        <f t="shared" si="20"/>
        <v>32.880000000000003</v>
      </c>
      <c r="K86" s="16">
        <f t="shared" si="25"/>
        <v>805.56</v>
      </c>
      <c r="L86" s="14"/>
      <c r="M86" s="16">
        <f t="shared" si="21"/>
        <v>0</v>
      </c>
      <c r="N86" s="16">
        <f t="shared" si="21"/>
        <v>0</v>
      </c>
      <c r="O86" s="7">
        <f t="shared" si="22"/>
        <v>1530.4515999999999</v>
      </c>
      <c r="P86" s="16">
        <v>0</v>
      </c>
      <c r="Q86" s="16">
        <v>0</v>
      </c>
      <c r="R86" s="7">
        <f t="shared" si="14"/>
        <v>0</v>
      </c>
      <c r="S86" s="16">
        <v>0</v>
      </c>
      <c r="T86" s="16">
        <v>0</v>
      </c>
      <c r="U86" s="7">
        <f t="shared" si="15"/>
        <v>1530.4515999999999</v>
      </c>
      <c r="V86" s="14"/>
      <c r="W86" s="16">
        <v>0</v>
      </c>
      <c r="X86" s="16">
        <f t="shared" si="23"/>
        <v>0.04</v>
      </c>
      <c r="Y86" s="16">
        <f t="shared" si="17"/>
        <v>0.98</v>
      </c>
      <c r="Z86" s="14"/>
      <c r="AA86" s="16">
        <v>0</v>
      </c>
      <c r="AB86" s="16">
        <f t="shared" si="18"/>
        <v>0</v>
      </c>
      <c r="AC86" s="7">
        <f t="shared" si="24"/>
        <v>0</v>
      </c>
    </row>
    <row r="87" spans="2:30">
      <c r="B87" s="19">
        <v>45802</v>
      </c>
      <c r="C87" s="19"/>
      <c r="D87" s="13">
        <f t="shared" si="19"/>
        <v>1</v>
      </c>
      <c r="E87" s="16">
        <v>0</v>
      </c>
      <c r="F87" s="16">
        <v>0</v>
      </c>
      <c r="G87" s="7">
        <f t="shared" si="16"/>
        <v>120000</v>
      </c>
      <c r="H87" s="14"/>
      <c r="I87" s="16">
        <v>0</v>
      </c>
      <c r="J87" s="16">
        <f t="shared" si="20"/>
        <v>32.880000000000003</v>
      </c>
      <c r="K87" s="16">
        <f t="shared" si="25"/>
        <v>838.44</v>
      </c>
      <c r="L87" s="14"/>
      <c r="M87" s="16">
        <f t="shared" si="21"/>
        <v>0</v>
      </c>
      <c r="N87" s="16">
        <f t="shared" si="21"/>
        <v>0</v>
      </c>
      <c r="O87" s="7">
        <f t="shared" si="22"/>
        <v>1530.4515999999999</v>
      </c>
      <c r="P87" s="16">
        <v>0</v>
      </c>
      <c r="Q87" s="16">
        <v>0</v>
      </c>
      <c r="R87" s="7">
        <f t="shared" si="14"/>
        <v>0</v>
      </c>
      <c r="S87" s="16">
        <v>0</v>
      </c>
      <c r="T87" s="16">
        <v>0</v>
      </c>
      <c r="U87" s="7">
        <f t="shared" si="15"/>
        <v>1530.4515999999999</v>
      </c>
      <c r="V87" s="14"/>
      <c r="W87" s="16">
        <v>0</v>
      </c>
      <c r="X87" s="16">
        <f t="shared" si="23"/>
        <v>0.04</v>
      </c>
      <c r="Y87" s="16">
        <f t="shared" si="17"/>
        <v>1.02</v>
      </c>
      <c r="Z87" s="14"/>
      <c r="AA87" s="16">
        <v>0</v>
      </c>
      <c r="AB87" s="16">
        <f t="shared" si="18"/>
        <v>0</v>
      </c>
      <c r="AC87" s="7">
        <f t="shared" si="24"/>
        <v>0</v>
      </c>
    </row>
    <row r="88" spans="2:30">
      <c r="B88" s="19">
        <v>45803</v>
      </c>
      <c r="C88" s="19"/>
      <c r="D88" s="13">
        <f t="shared" si="19"/>
        <v>1</v>
      </c>
      <c r="E88" s="16">
        <v>0</v>
      </c>
      <c r="F88" s="16">
        <v>0</v>
      </c>
      <c r="G88" s="7">
        <f t="shared" si="16"/>
        <v>120000</v>
      </c>
      <c r="H88" s="14"/>
      <c r="I88" s="16">
        <v>0</v>
      </c>
      <c r="J88" s="16">
        <f t="shared" si="20"/>
        <v>32.880000000000003</v>
      </c>
      <c r="K88" s="16">
        <f t="shared" si="25"/>
        <v>871.32</v>
      </c>
      <c r="L88" s="14"/>
      <c r="M88" s="16">
        <f t="shared" si="21"/>
        <v>0</v>
      </c>
      <c r="N88" s="16">
        <f t="shared" si="21"/>
        <v>0</v>
      </c>
      <c r="O88" s="7">
        <f t="shared" si="22"/>
        <v>1530.4515999999999</v>
      </c>
      <c r="P88" s="16">
        <v>0</v>
      </c>
      <c r="Q88" s="16">
        <v>0</v>
      </c>
      <c r="R88" s="7">
        <f t="shared" si="14"/>
        <v>0</v>
      </c>
      <c r="S88" s="16">
        <v>0</v>
      </c>
      <c r="T88" s="16">
        <v>0</v>
      </c>
      <c r="U88" s="7">
        <f t="shared" si="15"/>
        <v>1530.4515999999999</v>
      </c>
      <c r="V88" s="14"/>
      <c r="W88" s="16">
        <v>0</v>
      </c>
      <c r="X88" s="16">
        <f t="shared" si="23"/>
        <v>0.04</v>
      </c>
      <c r="Y88" s="16">
        <f t="shared" si="17"/>
        <v>1.06</v>
      </c>
      <c r="Z88" s="14"/>
      <c r="AA88" s="16">
        <v>0</v>
      </c>
      <c r="AB88" s="16">
        <f t="shared" si="18"/>
        <v>0</v>
      </c>
      <c r="AC88" s="7">
        <f t="shared" si="24"/>
        <v>0</v>
      </c>
    </row>
    <row r="89" spans="2:30">
      <c r="B89" s="19">
        <v>45804</v>
      </c>
      <c r="C89" s="19"/>
      <c r="D89" s="13">
        <f t="shared" si="19"/>
        <v>1</v>
      </c>
      <c r="E89" s="16">
        <v>0</v>
      </c>
      <c r="F89" s="16">
        <v>0</v>
      </c>
      <c r="G89" s="7">
        <f t="shared" si="16"/>
        <v>120000</v>
      </c>
      <c r="H89" s="14"/>
      <c r="I89" s="16">
        <v>0</v>
      </c>
      <c r="J89" s="16">
        <f t="shared" si="20"/>
        <v>32.880000000000003</v>
      </c>
      <c r="K89" s="16">
        <f t="shared" si="25"/>
        <v>904.2</v>
      </c>
      <c r="L89" s="14"/>
      <c r="M89" s="16">
        <f t="shared" si="21"/>
        <v>0</v>
      </c>
      <c r="N89" s="16">
        <f t="shared" si="21"/>
        <v>0</v>
      </c>
      <c r="O89" s="7">
        <f t="shared" si="22"/>
        <v>1530.4515999999999</v>
      </c>
      <c r="P89" s="16">
        <v>0</v>
      </c>
      <c r="Q89" s="16">
        <v>0</v>
      </c>
      <c r="R89" s="7">
        <f t="shared" si="14"/>
        <v>0</v>
      </c>
      <c r="S89" s="16">
        <v>0</v>
      </c>
      <c r="T89" s="16">
        <v>0</v>
      </c>
      <c r="U89" s="7">
        <f t="shared" si="15"/>
        <v>1530.4515999999999</v>
      </c>
      <c r="V89" s="14"/>
      <c r="W89" s="16">
        <v>0</v>
      </c>
      <c r="X89" s="16">
        <f t="shared" si="23"/>
        <v>0.04</v>
      </c>
      <c r="Y89" s="16">
        <f t="shared" si="17"/>
        <v>1.1000000000000001</v>
      </c>
      <c r="Z89" s="14"/>
      <c r="AA89" s="16">
        <v>0</v>
      </c>
      <c r="AB89" s="16">
        <f t="shared" si="18"/>
        <v>0</v>
      </c>
      <c r="AC89" s="7">
        <f t="shared" si="24"/>
        <v>0</v>
      </c>
    </row>
    <row r="90" spans="2:30">
      <c r="B90" s="19">
        <v>45805</v>
      </c>
      <c r="C90" s="19"/>
      <c r="D90" s="13">
        <f t="shared" si="19"/>
        <v>1</v>
      </c>
      <c r="E90" s="16">
        <v>0</v>
      </c>
      <c r="F90" s="16">
        <v>0</v>
      </c>
      <c r="G90" s="7">
        <f t="shared" si="16"/>
        <v>120000</v>
      </c>
      <c r="H90" s="14"/>
      <c r="I90" s="16">
        <v>0</v>
      </c>
      <c r="J90" s="16">
        <f t="shared" si="20"/>
        <v>32.880000000000003</v>
      </c>
      <c r="K90" s="16">
        <f t="shared" si="25"/>
        <v>937.08</v>
      </c>
      <c r="L90" s="14"/>
      <c r="M90" s="16">
        <f t="shared" si="21"/>
        <v>0</v>
      </c>
      <c r="N90" s="16">
        <f t="shared" si="21"/>
        <v>0</v>
      </c>
      <c r="O90" s="7">
        <f t="shared" si="22"/>
        <v>1530.4515999999999</v>
      </c>
      <c r="P90" s="16">
        <v>0</v>
      </c>
      <c r="Q90" s="16">
        <v>0</v>
      </c>
      <c r="R90" s="7">
        <f t="shared" si="14"/>
        <v>0</v>
      </c>
      <c r="S90" s="16">
        <v>0</v>
      </c>
      <c r="T90" s="16">
        <v>0</v>
      </c>
      <c r="U90" s="7">
        <f t="shared" si="15"/>
        <v>1530.4515999999999</v>
      </c>
      <c r="V90" s="14"/>
      <c r="W90" s="16">
        <v>0</v>
      </c>
      <c r="X90" s="16">
        <f t="shared" si="23"/>
        <v>0.04</v>
      </c>
      <c r="Y90" s="16">
        <f t="shared" si="17"/>
        <v>1.1399999999999999</v>
      </c>
      <c r="Z90" s="14"/>
      <c r="AA90" s="16">
        <v>0</v>
      </c>
      <c r="AB90" s="16">
        <f t="shared" si="18"/>
        <v>0</v>
      </c>
      <c r="AC90" s="7">
        <f t="shared" si="24"/>
        <v>0</v>
      </c>
    </row>
    <row r="91" spans="2:30">
      <c r="B91" s="19">
        <v>45806</v>
      </c>
      <c r="C91" s="19"/>
      <c r="D91" s="13">
        <f t="shared" si="19"/>
        <v>1</v>
      </c>
      <c r="E91" s="16">
        <v>0</v>
      </c>
      <c r="F91" s="16">
        <v>0</v>
      </c>
      <c r="G91" s="7">
        <f t="shared" si="16"/>
        <v>120000</v>
      </c>
      <c r="H91" s="14"/>
      <c r="I91" s="16">
        <v>0</v>
      </c>
      <c r="J91" s="16">
        <f t="shared" si="20"/>
        <v>32.880000000000003</v>
      </c>
      <c r="K91" s="16">
        <f t="shared" si="25"/>
        <v>969.96</v>
      </c>
      <c r="L91" s="14"/>
      <c r="M91" s="16">
        <f t="shared" si="21"/>
        <v>0</v>
      </c>
      <c r="N91" s="16">
        <f t="shared" si="21"/>
        <v>0</v>
      </c>
      <c r="O91" s="7">
        <f t="shared" si="22"/>
        <v>1530.4515999999999</v>
      </c>
      <c r="P91" s="16">
        <v>0</v>
      </c>
      <c r="Q91" s="16">
        <v>0</v>
      </c>
      <c r="R91" s="7">
        <f t="shared" si="14"/>
        <v>0</v>
      </c>
      <c r="S91" s="16">
        <v>0</v>
      </c>
      <c r="T91" s="16">
        <v>0</v>
      </c>
      <c r="U91" s="7">
        <f t="shared" si="15"/>
        <v>1530.4515999999999</v>
      </c>
      <c r="V91" s="14"/>
      <c r="W91" s="16">
        <v>0</v>
      </c>
      <c r="X91" s="16">
        <f t="shared" si="23"/>
        <v>0.04</v>
      </c>
      <c r="Y91" s="16">
        <f t="shared" si="17"/>
        <v>1.18</v>
      </c>
      <c r="Z91" s="14"/>
      <c r="AA91" s="16">
        <v>0</v>
      </c>
      <c r="AB91" s="16">
        <f t="shared" si="18"/>
        <v>0</v>
      </c>
      <c r="AC91" s="7">
        <f t="shared" si="24"/>
        <v>0</v>
      </c>
    </row>
    <row r="92" spans="2:30">
      <c r="B92" s="19">
        <v>45807</v>
      </c>
      <c r="C92" s="19"/>
      <c r="D92" s="13">
        <f t="shared" si="19"/>
        <v>1</v>
      </c>
      <c r="E92" s="16">
        <v>0</v>
      </c>
      <c r="F92" s="16">
        <v>0</v>
      </c>
      <c r="G92" s="7">
        <f t="shared" si="16"/>
        <v>120000</v>
      </c>
      <c r="H92" s="14"/>
      <c r="I92" s="16">
        <v>0</v>
      </c>
      <c r="J92" s="16">
        <f t="shared" si="20"/>
        <v>32.880000000000003</v>
      </c>
      <c r="K92" s="16">
        <f t="shared" si="25"/>
        <v>1002.84</v>
      </c>
      <c r="L92" s="14"/>
      <c r="M92" s="16">
        <f t="shared" si="21"/>
        <v>0</v>
      </c>
      <c r="N92" s="16">
        <f t="shared" si="21"/>
        <v>0</v>
      </c>
      <c r="O92" s="7">
        <f t="shared" si="22"/>
        <v>1530.4515999999999</v>
      </c>
      <c r="P92" s="16">
        <v>0</v>
      </c>
      <c r="Q92" s="16">
        <v>0</v>
      </c>
      <c r="R92" s="7">
        <f t="shared" si="14"/>
        <v>0</v>
      </c>
      <c r="S92" s="16">
        <v>0</v>
      </c>
      <c r="T92" s="16">
        <v>0</v>
      </c>
      <c r="U92" s="7">
        <f t="shared" si="15"/>
        <v>1530.4515999999999</v>
      </c>
      <c r="V92" s="14"/>
      <c r="W92" s="16">
        <v>0</v>
      </c>
      <c r="X92" s="16">
        <f t="shared" si="23"/>
        <v>0.04</v>
      </c>
      <c r="Y92" s="16">
        <f t="shared" si="17"/>
        <v>1.22</v>
      </c>
      <c r="Z92" s="14"/>
      <c r="AA92" s="16">
        <v>0</v>
      </c>
      <c r="AB92" s="16">
        <f t="shared" si="18"/>
        <v>0</v>
      </c>
      <c r="AC92" s="7">
        <f t="shared" si="24"/>
        <v>0</v>
      </c>
    </row>
    <row r="93" spans="2:30" ht="102">
      <c r="B93" s="19">
        <v>45808</v>
      </c>
      <c r="C93" s="19"/>
      <c r="D93" s="13">
        <f t="shared" si="19"/>
        <v>1</v>
      </c>
      <c r="E93" s="16">
        <v>0</v>
      </c>
      <c r="F93" s="16">
        <v>0</v>
      </c>
      <c r="G93" s="7">
        <f t="shared" si="16"/>
        <v>120000</v>
      </c>
      <c r="H93" s="14"/>
      <c r="I93" s="21">
        <f>K92</f>
        <v>1002.84</v>
      </c>
      <c r="J93" s="16">
        <f t="shared" si="20"/>
        <v>32.880000000000003</v>
      </c>
      <c r="K93" s="16">
        <f t="shared" si="25"/>
        <v>32.880000000000003</v>
      </c>
      <c r="L93" s="14"/>
      <c r="M93" s="16">
        <f>P93+S93</f>
        <v>0</v>
      </c>
      <c r="N93" s="21">
        <f>Q93+T93</f>
        <v>943.81640000000004</v>
      </c>
      <c r="O93" s="10">
        <f>O92+N93-M93</f>
        <v>2474.268</v>
      </c>
      <c r="P93" s="16">
        <v>0</v>
      </c>
      <c r="Q93" s="16">
        <v>0</v>
      </c>
      <c r="R93" s="7">
        <f t="shared" si="14"/>
        <v>0</v>
      </c>
      <c r="S93" s="16">
        <v>0</v>
      </c>
      <c r="T93" s="21">
        <f>(I93+W93)-AB93</f>
        <v>943.81640000000004</v>
      </c>
      <c r="U93" s="7">
        <f t="shared" si="15"/>
        <v>2474.268</v>
      </c>
      <c r="V93" s="14"/>
      <c r="W93" s="21">
        <f>Y92</f>
        <v>1.22</v>
      </c>
      <c r="X93" s="16">
        <f>ROUND((O93-N93)*$M$3/$N$3*D93,2)</f>
        <v>0.04</v>
      </c>
      <c r="Y93" s="16">
        <f t="shared" si="17"/>
        <v>0.04</v>
      </c>
      <c r="Z93" s="14"/>
      <c r="AA93" s="16">
        <v>0</v>
      </c>
      <c r="AB93" s="22">
        <f t="shared" si="18"/>
        <v>60.243600000000001</v>
      </c>
      <c r="AC93" s="69">
        <f t="shared" si="24"/>
        <v>60.24</v>
      </c>
      <c r="AD93" s="23" t="s">
        <v>21</v>
      </c>
    </row>
    <row r="94" spans="2:30">
      <c r="B94" s="19">
        <v>45809</v>
      </c>
      <c r="C94" s="19"/>
      <c r="D94" s="13">
        <f t="shared" si="19"/>
        <v>1</v>
      </c>
      <c r="E94" s="16">
        <v>0</v>
      </c>
      <c r="F94" s="16">
        <v>0</v>
      </c>
      <c r="G94" s="7">
        <f t="shared" si="16"/>
        <v>120000</v>
      </c>
      <c r="H94" s="14"/>
      <c r="I94" s="16">
        <v>0</v>
      </c>
      <c r="J94" s="16">
        <f t="shared" si="20"/>
        <v>32.880000000000003</v>
      </c>
      <c r="K94" s="16">
        <f t="shared" si="25"/>
        <v>65.760000000000005</v>
      </c>
      <c r="L94" s="14"/>
      <c r="M94" s="16">
        <f t="shared" si="21"/>
        <v>0</v>
      </c>
      <c r="N94" s="16">
        <f t="shared" si="21"/>
        <v>0</v>
      </c>
      <c r="O94" s="7">
        <f t="shared" si="22"/>
        <v>2474.268</v>
      </c>
      <c r="P94" s="16">
        <v>0</v>
      </c>
      <c r="Q94" s="16">
        <v>0</v>
      </c>
      <c r="R94" s="7">
        <f t="shared" si="14"/>
        <v>0</v>
      </c>
      <c r="S94" s="16">
        <v>0</v>
      </c>
      <c r="T94" s="16">
        <v>0</v>
      </c>
      <c r="U94" s="7">
        <f t="shared" si="15"/>
        <v>2474.268</v>
      </c>
      <c r="V94" s="14"/>
      <c r="W94" s="16">
        <v>0</v>
      </c>
      <c r="X94" s="16">
        <f t="shared" si="23"/>
        <v>7.0000000000000007E-2</v>
      </c>
      <c r="Y94" s="16">
        <f t="shared" si="17"/>
        <v>0.11</v>
      </c>
      <c r="Z94" s="14"/>
      <c r="AA94" s="16">
        <v>0</v>
      </c>
      <c r="AB94" s="16">
        <f t="shared" si="18"/>
        <v>0</v>
      </c>
      <c r="AC94" s="7">
        <f t="shared" si="24"/>
        <v>60.24</v>
      </c>
    </row>
    <row r="95" spans="2:30">
      <c r="B95" s="19">
        <v>45810</v>
      </c>
      <c r="C95" s="19"/>
      <c r="D95" s="13">
        <f t="shared" si="19"/>
        <v>1</v>
      </c>
      <c r="E95" s="16">
        <v>0</v>
      </c>
      <c r="F95" s="16">
        <v>0</v>
      </c>
      <c r="G95" s="7">
        <f t="shared" si="16"/>
        <v>120000</v>
      </c>
      <c r="H95" s="14"/>
      <c r="I95" s="16">
        <v>0</v>
      </c>
      <c r="J95" s="16">
        <f t="shared" si="20"/>
        <v>32.880000000000003</v>
      </c>
      <c r="K95" s="16">
        <f t="shared" si="25"/>
        <v>98.64</v>
      </c>
      <c r="L95" s="14"/>
      <c r="M95" s="16">
        <f t="shared" si="21"/>
        <v>0</v>
      </c>
      <c r="N95" s="16">
        <f t="shared" si="21"/>
        <v>0</v>
      </c>
      <c r="O95" s="7">
        <f t="shared" si="22"/>
        <v>2474.268</v>
      </c>
      <c r="P95" s="16">
        <v>0</v>
      </c>
      <c r="Q95" s="16">
        <v>0</v>
      </c>
      <c r="R95" s="7">
        <f t="shared" si="14"/>
        <v>0</v>
      </c>
      <c r="S95" s="16">
        <v>0</v>
      </c>
      <c r="T95" s="16">
        <v>0</v>
      </c>
      <c r="U95" s="7">
        <f t="shared" si="15"/>
        <v>2474.268</v>
      </c>
      <c r="V95" s="14"/>
      <c r="W95" s="16">
        <v>0</v>
      </c>
      <c r="X95" s="16">
        <f>ROUND((O95-N95)*$M$3/$N$3*D95,2)</f>
        <v>7.0000000000000007E-2</v>
      </c>
      <c r="Y95" s="16">
        <f t="shared" si="17"/>
        <v>0.18</v>
      </c>
      <c r="Z95" s="14"/>
      <c r="AA95" s="16">
        <v>0</v>
      </c>
      <c r="AB95" s="16">
        <f t="shared" si="18"/>
        <v>0</v>
      </c>
      <c r="AC95" s="7">
        <f t="shared" si="24"/>
        <v>60.24</v>
      </c>
    </row>
    <row r="96" spans="2:30">
      <c r="B96" s="19">
        <v>45811</v>
      </c>
      <c r="C96" s="19"/>
      <c r="D96" s="13">
        <f t="shared" si="19"/>
        <v>1</v>
      </c>
      <c r="E96" s="16">
        <v>0</v>
      </c>
      <c r="F96" s="16">
        <v>0</v>
      </c>
      <c r="G96" s="7">
        <f t="shared" si="16"/>
        <v>120000</v>
      </c>
      <c r="H96" s="14"/>
      <c r="I96" s="16">
        <v>0</v>
      </c>
      <c r="J96" s="16">
        <f t="shared" si="20"/>
        <v>32.880000000000003</v>
      </c>
      <c r="K96" s="16">
        <f t="shared" si="25"/>
        <v>131.52000000000001</v>
      </c>
      <c r="L96" s="14"/>
      <c r="M96" s="16">
        <f t="shared" si="21"/>
        <v>0</v>
      </c>
      <c r="N96" s="16">
        <f t="shared" si="21"/>
        <v>0</v>
      </c>
      <c r="O96" s="7">
        <f t="shared" si="22"/>
        <v>2474.268</v>
      </c>
      <c r="P96" s="16">
        <v>0</v>
      </c>
      <c r="Q96" s="16">
        <v>0</v>
      </c>
      <c r="R96" s="7">
        <f t="shared" si="14"/>
        <v>0</v>
      </c>
      <c r="S96" s="16">
        <v>0</v>
      </c>
      <c r="T96" s="16">
        <v>0</v>
      </c>
      <c r="U96" s="7">
        <f t="shared" si="15"/>
        <v>2474.268</v>
      </c>
      <c r="V96" s="14"/>
      <c r="W96" s="16">
        <v>0</v>
      </c>
      <c r="X96" s="16">
        <f t="shared" si="23"/>
        <v>7.0000000000000007E-2</v>
      </c>
      <c r="Y96" s="16">
        <f t="shared" si="17"/>
        <v>0.25</v>
      </c>
      <c r="Z96" s="14"/>
      <c r="AA96" s="16">
        <v>0</v>
      </c>
      <c r="AB96" s="16">
        <f t="shared" si="18"/>
        <v>0</v>
      </c>
      <c r="AC96" s="7">
        <f t="shared" si="24"/>
        <v>60.24</v>
      </c>
    </row>
    <row r="97" spans="2:30">
      <c r="B97" s="19">
        <v>45812</v>
      </c>
      <c r="C97" s="19"/>
      <c r="D97" s="13">
        <f t="shared" si="19"/>
        <v>1</v>
      </c>
      <c r="E97" s="16">
        <v>0</v>
      </c>
      <c r="F97" s="16">
        <v>0</v>
      </c>
      <c r="G97" s="7">
        <f t="shared" si="16"/>
        <v>120000</v>
      </c>
      <c r="H97" s="14"/>
      <c r="I97" s="16">
        <v>0</v>
      </c>
      <c r="J97" s="16">
        <f t="shared" si="20"/>
        <v>32.880000000000003</v>
      </c>
      <c r="K97" s="16">
        <f t="shared" si="25"/>
        <v>164.4</v>
      </c>
      <c r="L97" s="14"/>
      <c r="M97" s="16">
        <f t="shared" si="21"/>
        <v>0</v>
      </c>
      <c r="N97" s="16">
        <f t="shared" si="21"/>
        <v>0</v>
      </c>
      <c r="O97" s="7">
        <f t="shared" si="22"/>
        <v>2474.268</v>
      </c>
      <c r="P97" s="16">
        <v>0</v>
      </c>
      <c r="Q97" s="16">
        <v>0</v>
      </c>
      <c r="R97" s="7">
        <f t="shared" si="14"/>
        <v>0</v>
      </c>
      <c r="S97" s="16">
        <v>0</v>
      </c>
      <c r="T97" s="16">
        <v>0</v>
      </c>
      <c r="U97" s="7">
        <f t="shared" si="15"/>
        <v>2474.268</v>
      </c>
      <c r="V97" s="14"/>
      <c r="W97" s="16">
        <v>0</v>
      </c>
      <c r="X97" s="16">
        <f t="shared" si="23"/>
        <v>7.0000000000000007E-2</v>
      </c>
      <c r="Y97" s="16">
        <f t="shared" si="17"/>
        <v>0.32</v>
      </c>
      <c r="Z97" s="14"/>
      <c r="AA97" s="16">
        <v>0</v>
      </c>
      <c r="AB97" s="16">
        <f t="shared" si="18"/>
        <v>0</v>
      </c>
      <c r="AC97" s="7">
        <f t="shared" si="24"/>
        <v>60.24</v>
      </c>
    </row>
    <row r="98" spans="2:30" ht="34">
      <c r="B98" s="19">
        <v>45813</v>
      </c>
      <c r="C98" s="19"/>
      <c r="D98" s="13">
        <f t="shared" si="19"/>
        <v>1</v>
      </c>
      <c r="E98" s="16">
        <v>0</v>
      </c>
      <c r="F98" s="14">
        <v>10000</v>
      </c>
      <c r="G98" s="7">
        <f t="shared" si="16"/>
        <v>130000</v>
      </c>
      <c r="H98" s="14"/>
      <c r="I98" s="16">
        <v>0</v>
      </c>
      <c r="J98" s="16">
        <f>ROUND((G98-F98)*$B$3/$D$3*D98,2)</f>
        <v>32.880000000000003</v>
      </c>
      <c r="K98" s="16">
        <f>ROUND(K97+J98-I98,2)</f>
        <v>197.28</v>
      </c>
      <c r="L98" s="14"/>
      <c r="M98" s="16">
        <f t="shared" si="21"/>
        <v>0</v>
      </c>
      <c r="N98" s="16">
        <f t="shared" si="21"/>
        <v>0</v>
      </c>
      <c r="O98" s="7">
        <f t="shared" si="22"/>
        <v>2474.268</v>
      </c>
      <c r="P98" s="16">
        <v>0</v>
      </c>
      <c r="Q98" s="16">
        <v>0</v>
      </c>
      <c r="R98" s="7">
        <f t="shared" si="14"/>
        <v>0</v>
      </c>
      <c r="S98" s="16">
        <v>0</v>
      </c>
      <c r="T98" s="16">
        <v>0</v>
      </c>
      <c r="U98" s="7">
        <f t="shared" si="15"/>
        <v>2474.268</v>
      </c>
      <c r="V98" s="14"/>
      <c r="W98" s="16">
        <v>0</v>
      </c>
      <c r="X98" s="16">
        <f t="shared" si="23"/>
        <v>7.0000000000000007E-2</v>
      </c>
      <c r="Y98" s="16">
        <f t="shared" si="17"/>
        <v>0.39</v>
      </c>
      <c r="Z98" s="14"/>
      <c r="AA98" s="16">
        <v>0</v>
      </c>
      <c r="AB98" s="16">
        <f t="shared" si="18"/>
        <v>0</v>
      </c>
      <c r="AC98" s="7">
        <f t="shared" si="24"/>
        <v>60.24</v>
      </c>
      <c r="AD98" s="65" t="s">
        <v>15</v>
      </c>
    </row>
    <row r="99" spans="2:30">
      <c r="B99" s="19">
        <v>45814</v>
      </c>
      <c r="C99" s="19"/>
      <c r="D99" s="13">
        <f t="shared" si="19"/>
        <v>1</v>
      </c>
      <c r="E99" s="16">
        <v>0</v>
      </c>
      <c r="F99" s="16">
        <v>0</v>
      </c>
      <c r="G99" s="7">
        <f t="shared" si="16"/>
        <v>130000</v>
      </c>
      <c r="H99" s="14"/>
      <c r="I99" s="16">
        <v>0</v>
      </c>
      <c r="J99" s="16">
        <f t="shared" si="20"/>
        <v>35.619999999999997</v>
      </c>
      <c r="K99" s="16">
        <f t="shared" si="25"/>
        <v>232.9</v>
      </c>
      <c r="L99" s="14"/>
      <c r="M99" s="16">
        <f t="shared" si="21"/>
        <v>0</v>
      </c>
      <c r="N99" s="16">
        <f t="shared" si="21"/>
        <v>0</v>
      </c>
      <c r="O99" s="7">
        <f t="shared" si="22"/>
        <v>2474.268</v>
      </c>
      <c r="P99" s="16">
        <v>0</v>
      </c>
      <c r="Q99" s="16">
        <v>0</v>
      </c>
      <c r="R99" s="7">
        <f t="shared" si="14"/>
        <v>0</v>
      </c>
      <c r="S99" s="16">
        <v>0</v>
      </c>
      <c r="T99" s="16">
        <v>0</v>
      </c>
      <c r="U99" s="7">
        <f t="shared" si="15"/>
        <v>2474.268</v>
      </c>
      <c r="V99" s="14"/>
      <c r="W99" s="16">
        <v>0</v>
      </c>
      <c r="X99" s="16">
        <f t="shared" si="23"/>
        <v>7.0000000000000007E-2</v>
      </c>
      <c r="Y99" s="16">
        <f t="shared" si="17"/>
        <v>0.46</v>
      </c>
      <c r="Z99" s="14"/>
      <c r="AA99" s="16">
        <v>0</v>
      </c>
      <c r="AB99" s="16">
        <f t="shared" si="18"/>
        <v>0</v>
      </c>
      <c r="AC99" s="7">
        <f t="shared" si="24"/>
        <v>60.24</v>
      </c>
    </row>
    <row r="100" spans="2:30">
      <c r="B100" s="19">
        <v>45815</v>
      </c>
      <c r="C100" s="19"/>
      <c r="D100" s="13">
        <f t="shared" si="19"/>
        <v>1</v>
      </c>
      <c r="E100" s="16">
        <v>0</v>
      </c>
      <c r="F100" s="16">
        <v>0</v>
      </c>
      <c r="G100" s="7">
        <f t="shared" si="16"/>
        <v>130000</v>
      </c>
      <c r="H100" s="14"/>
      <c r="I100" s="16">
        <v>0</v>
      </c>
      <c r="J100" s="16">
        <f t="shared" si="20"/>
        <v>35.619999999999997</v>
      </c>
      <c r="K100" s="16">
        <f t="shared" si="25"/>
        <v>268.52</v>
      </c>
      <c r="L100" s="14"/>
      <c r="M100" s="16">
        <f t="shared" si="21"/>
        <v>0</v>
      </c>
      <c r="N100" s="16">
        <f t="shared" si="21"/>
        <v>0</v>
      </c>
      <c r="O100" s="7">
        <f t="shared" si="22"/>
        <v>2474.268</v>
      </c>
      <c r="P100" s="16">
        <v>0</v>
      </c>
      <c r="Q100" s="16">
        <v>0</v>
      </c>
      <c r="R100" s="7">
        <f t="shared" si="14"/>
        <v>0</v>
      </c>
      <c r="S100" s="16">
        <v>0</v>
      </c>
      <c r="T100" s="16">
        <v>0</v>
      </c>
      <c r="U100" s="7">
        <f t="shared" si="15"/>
        <v>2474.268</v>
      </c>
      <c r="V100" s="14"/>
      <c r="W100" s="16">
        <v>0</v>
      </c>
      <c r="X100" s="16">
        <f t="shared" si="23"/>
        <v>7.0000000000000007E-2</v>
      </c>
      <c r="Y100" s="16">
        <f t="shared" si="17"/>
        <v>0.53</v>
      </c>
      <c r="Z100" s="14"/>
      <c r="AA100" s="16">
        <v>0</v>
      </c>
      <c r="AB100" s="16">
        <f t="shared" si="18"/>
        <v>0</v>
      </c>
      <c r="AC100" s="7">
        <f t="shared" si="24"/>
        <v>60.24</v>
      </c>
    </row>
    <row r="101" spans="2:30">
      <c r="B101" s="19">
        <v>45816</v>
      </c>
      <c r="C101" s="19"/>
      <c r="D101" s="13">
        <f t="shared" si="19"/>
        <v>1</v>
      </c>
      <c r="E101" s="16">
        <v>0</v>
      </c>
      <c r="F101" s="16">
        <v>0</v>
      </c>
      <c r="G101" s="7">
        <f t="shared" si="16"/>
        <v>130000</v>
      </c>
      <c r="H101" s="14"/>
      <c r="I101" s="16">
        <v>0</v>
      </c>
      <c r="J101" s="16">
        <f t="shared" si="20"/>
        <v>35.619999999999997</v>
      </c>
      <c r="K101" s="16">
        <f t="shared" si="25"/>
        <v>304.14</v>
      </c>
      <c r="L101" s="14"/>
      <c r="M101" s="16">
        <f t="shared" si="21"/>
        <v>0</v>
      </c>
      <c r="N101" s="16">
        <f t="shared" si="21"/>
        <v>0</v>
      </c>
      <c r="O101" s="7">
        <f t="shared" si="22"/>
        <v>2474.268</v>
      </c>
      <c r="P101" s="16">
        <v>0</v>
      </c>
      <c r="Q101" s="16">
        <v>0</v>
      </c>
      <c r="R101" s="7">
        <f t="shared" si="14"/>
        <v>0</v>
      </c>
      <c r="S101" s="16">
        <v>0</v>
      </c>
      <c r="T101" s="16">
        <v>0</v>
      </c>
      <c r="U101" s="7">
        <f t="shared" si="15"/>
        <v>2474.268</v>
      </c>
      <c r="V101" s="14"/>
      <c r="W101" s="16">
        <v>0</v>
      </c>
      <c r="X101" s="16">
        <f t="shared" si="23"/>
        <v>7.0000000000000007E-2</v>
      </c>
      <c r="Y101" s="16">
        <f t="shared" si="17"/>
        <v>0.6</v>
      </c>
      <c r="Z101" s="14"/>
      <c r="AA101" s="16">
        <v>0</v>
      </c>
      <c r="AB101" s="16">
        <f t="shared" si="18"/>
        <v>0</v>
      </c>
      <c r="AC101" s="7">
        <f t="shared" si="24"/>
        <v>60.24</v>
      </c>
    </row>
    <row r="102" spans="2:30">
      <c r="B102" s="19">
        <v>45817</v>
      </c>
      <c r="C102" s="19"/>
      <c r="D102" s="13">
        <f t="shared" si="19"/>
        <v>1</v>
      </c>
      <c r="E102" s="16">
        <v>0</v>
      </c>
      <c r="F102" s="16">
        <v>0</v>
      </c>
      <c r="G102" s="7">
        <f t="shared" si="16"/>
        <v>130000</v>
      </c>
      <c r="H102" s="14"/>
      <c r="I102" s="16">
        <v>0</v>
      </c>
      <c r="J102" s="16">
        <f t="shared" si="20"/>
        <v>35.619999999999997</v>
      </c>
      <c r="K102" s="16">
        <f t="shared" si="25"/>
        <v>339.76</v>
      </c>
      <c r="L102" s="14"/>
      <c r="M102" s="16">
        <f t="shared" si="21"/>
        <v>0</v>
      </c>
      <c r="N102" s="16">
        <f t="shared" si="21"/>
        <v>0</v>
      </c>
      <c r="O102" s="7">
        <f t="shared" si="22"/>
        <v>2474.268</v>
      </c>
      <c r="P102" s="16">
        <v>0</v>
      </c>
      <c r="Q102" s="16">
        <v>0</v>
      </c>
      <c r="R102" s="7">
        <f t="shared" si="14"/>
        <v>0</v>
      </c>
      <c r="S102" s="16">
        <v>0</v>
      </c>
      <c r="T102" s="16">
        <v>0</v>
      </c>
      <c r="U102" s="7">
        <f t="shared" si="15"/>
        <v>2474.268</v>
      </c>
      <c r="V102" s="14"/>
      <c r="W102" s="16">
        <v>0</v>
      </c>
      <c r="X102" s="16">
        <f t="shared" si="23"/>
        <v>7.0000000000000007E-2</v>
      </c>
      <c r="Y102" s="16">
        <f t="shared" si="17"/>
        <v>0.67</v>
      </c>
      <c r="Z102" s="14"/>
      <c r="AA102" s="16">
        <v>0</v>
      </c>
      <c r="AB102" s="16">
        <f t="shared" si="18"/>
        <v>0</v>
      </c>
      <c r="AC102" s="7">
        <f t="shared" si="24"/>
        <v>60.24</v>
      </c>
    </row>
    <row r="103" spans="2:30">
      <c r="B103" s="19">
        <v>45818</v>
      </c>
      <c r="C103" s="19"/>
      <c r="D103" s="13">
        <f t="shared" si="19"/>
        <v>1</v>
      </c>
      <c r="E103" s="16">
        <v>0</v>
      </c>
      <c r="F103" s="16">
        <v>0</v>
      </c>
      <c r="G103" s="7">
        <f t="shared" si="16"/>
        <v>130000</v>
      </c>
      <c r="H103" s="14"/>
      <c r="I103" s="16">
        <v>0</v>
      </c>
      <c r="J103" s="16">
        <f t="shared" si="20"/>
        <v>35.619999999999997</v>
      </c>
      <c r="K103" s="16">
        <f t="shared" si="25"/>
        <v>375.38</v>
      </c>
      <c r="L103" s="14"/>
      <c r="M103" s="16">
        <f t="shared" si="21"/>
        <v>0</v>
      </c>
      <c r="N103" s="16">
        <f t="shared" si="21"/>
        <v>0</v>
      </c>
      <c r="O103" s="7">
        <f t="shared" si="22"/>
        <v>2474.268</v>
      </c>
      <c r="P103" s="16">
        <v>0</v>
      </c>
      <c r="Q103" s="16">
        <v>0</v>
      </c>
      <c r="R103" s="7">
        <f t="shared" ref="R103:R166" si="26">R102+Q103-P103</f>
        <v>0</v>
      </c>
      <c r="S103" s="16">
        <v>0</v>
      </c>
      <c r="T103" s="16">
        <v>0</v>
      </c>
      <c r="U103" s="7">
        <f t="shared" ref="U103:U166" si="27">U102+T103-S103</f>
        <v>2474.268</v>
      </c>
      <c r="V103" s="14"/>
      <c r="W103" s="16">
        <v>0</v>
      </c>
      <c r="X103" s="16">
        <f t="shared" si="23"/>
        <v>7.0000000000000007E-2</v>
      </c>
      <c r="Y103" s="16">
        <f t="shared" si="17"/>
        <v>0.74</v>
      </c>
      <c r="Z103" s="14"/>
      <c r="AA103" s="16">
        <v>0</v>
      </c>
      <c r="AB103" s="16">
        <f t="shared" si="18"/>
        <v>0</v>
      </c>
      <c r="AC103" s="7">
        <f t="shared" si="24"/>
        <v>60.24</v>
      </c>
    </row>
    <row r="104" spans="2:30">
      <c r="B104" s="19">
        <v>45819</v>
      </c>
      <c r="C104" s="19"/>
      <c r="D104" s="13">
        <f t="shared" si="19"/>
        <v>1</v>
      </c>
      <c r="E104" s="16">
        <v>0</v>
      </c>
      <c r="F104" s="16">
        <v>0</v>
      </c>
      <c r="G104" s="7">
        <f t="shared" si="16"/>
        <v>130000</v>
      </c>
      <c r="H104" s="14"/>
      <c r="I104" s="16">
        <v>0</v>
      </c>
      <c r="J104" s="16">
        <f t="shared" si="20"/>
        <v>35.619999999999997</v>
      </c>
      <c r="K104" s="16">
        <f t="shared" si="25"/>
        <v>411</v>
      </c>
      <c r="L104" s="14"/>
      <c r="M104" s="16">
        <f t="shared" si="21"/>
        <v>0</v>
      </c>
      <c r="N104" s="16">
        <f t="shared" si="21"/>
        <v>0</v>
      </c>
      <c r="O104" s="7">
        <f t="shared" si="22"/>
        <v>2474.268</v>
      </c>
      <c r="P104" s="16">
        <v>0</v>
      </c>
      <c r="Q104" s="16">
        <v>0</v>
      </c>
      <c r="R104" s="7">
        <f t="shared" si="26"/>
        <v>0</v>
      </c>
      <c r="S104" s="16">
        <v>0</v>
      </c>
      <c r="T104" s="16">
        <v>0</v>
      </c>
      <c r="U104" s="7">
        <f t="shared" si="27"/>
        <v>2474.268</v>
      </c>
      <c r="V104" s="14"/>
      <c r="W104" s="16">
        <v>0</v>
      </c>
      <c r="X104" s="16">
        <f t="shared" si="23"/>
        <v>7.0000000000000007E-2</v>
      </c>
      <c r="Y104" s="16">
        <f t="shared" si="17"/>
        <v>0.81</v>
      </c>
      <c r="Z104" s="14"/>
      <c r="AA104" s="16">
        <v>0</v>
      </c>
      <c r="AB104" s="16">
        <f t="shared" si="18"/>
        <v>0</v>
      </c>
      <c r="AC104" s="7">
        <f t="shared" si="24"/>
        <v>60.24</v>
      </c>
    </row>
    <row r="105" spans="2:30">
      <c r="B105" s="19">
        <v>45820</v>
      </c>
      <c r="C105" s="19"/>
      <c r="D105" s="13">
        <f t="shared" si="19"/>
        <v>1</v>
      </c>
      <c r="E105" s="16">
        <v>0</v>
      </c>
      <c r="F105" s="16">
        <v>0</v>
      </c>
      <c r="G105" s="7">
        <f t="shared" si="16"/>
        <v>130000</v>
      </c>
      <c r="H105" s="14"/>
      <c r="I105" s="16">
        <v>0</v>
      </c>
      <c r="J105" s="16">
        <f t="shared" si="20"/>
        <v>35.619999999999997</v>
      </c>
      <c r="K105" s="16">
        <f t="shared" si="25"/>
        <v>446.62</v>
      </c>
      <c r="L105" s="14"/>
      <c r="M105" s="16">
        <f t="shared" si="21"/>
        <v>0</v>
      </c>
      <c r="N105" s="16">
        <f t="shared" si="21"/>
        <v>0</v>
      </c>
      <c r="O105" s="7">
        <f t="shared" si="22"/>
        <v>2474.268</v>
      </c>
      <c r="P105" s="16">
        <v>0</v>
      </c>
      <c r="Q105" s="16">
        <v>0</v>
      </c>
      <c r="R105" s="7">
        <f t="shared" si="26"/>
        <v>0</v>
      </c>
      <c r="S105" s="16">
        <v>0</v>
      </c>
      <c r="T105" s="16">
        <v>0</v>
      </c>
      <c r="U105" s="7">
        <f t="shared" si="27"/>
        <v>2474.268</v>
      </c>
      <c r="V105" s="14"/>
      <c r="W105" s="16">
        <v>0</v>
      </c>
      <c r="X105" s="16">
        <f t="shared" si="23"/>
        <v>7.0000000000000007E-2</v>
      </c>
      <c r="Y105" s="16">
        <f t="shared" si="17"/>
        <v>0.88</v>
      </c>
      <c r="Z105" s="14"/>
      <c r="AA105" s="16">
        <v>0</v>
      </c>
      <c r="AB105" s="16">
        <f t="shared" si="18"/>
        <v>0</v>
      </c>
      <c r="AC105" s="7">
        <f t="shared" si="24"/>
        <v>60.24</v>
      </c>
    </row>
    <row r="106" spans="2:30">
      <c r="B106" s="19">
        <v>45821</v>
      </c>
      <c r="C106" s="19"/>
      <c r="D106" s="13">
        <f t="shared" si="19"/>
        <v>1</v>
      </c>
      <c r="E106" s="16">
        <v>0</v>
      </c>
      <c r="F106" s="16">
        <v>0</v>
      </c>
      <c r="G106" s="7">
        <f t="shared" si="16"/>
        <v>130000</v>
      </c>
      <c r="H106" s="14"/>
      <c r="I106" s="16">
        <v>0</v>
      </c>
      <c r="J106" s="16">
        <f t="shared" si="20"/>
        <v>35.619999999999997</v>
      </c>
      <c r="K106" s="16">
        <f t="shared" si="25"/>
        <v>482.24</v>
      </c>
      <c r="L106" s="14"/>
      <c r="M106" s="16">
        <f t="shared" si="21"/>
        <v>0</v>
      </c>
      <c r="N106" s="16">
        <f t="shared" si="21"/>
        <v>0</v>
      </c>
      <c r="O106" s="7">
        <f t="shared" si="22"/>
        <v>2474.268</v>
      </c>
      <c r="P106" s="16">
        <v>0</v>
      </c>
      <c r="Q106" s="16">
        <v>0</v>
      </c>
      <c r="R106" s="7">
        <f t="shared" si="26"/>
        <v>0</v>
      </c>
      <c r="S106" s="16">
        <v>0</v>
      </c>
      <c r="T106" s="16">
        <v>0</v>
      </c>
      <c r="U106" s="7">
        <f t="shared" si="27"/>
        <v>2474.268</v>
      </c>
      <c r="V106" s="14"/>
      <c r="W106" s="16">
        <v>0</v>
      </c>
      <c r="X106" s="16">
        <f t="shared" si="23"/>
        <v>7.0000000000000007E-2</v>
      </c>
      <c r="Y106" s="16">
        <f t="shared" si="17"/>
        <v>0.95</v>
      </c>
      <c r="Z106" s="14"/>
      <c r="AA106" s="16">
        <v>0</v>
      </c>
      <c r="AB106" s="16">
        <f t="shared" si="18"/>
        <v>0</v>
      </c>
      <c r="AC106" s="7">
        <f t="shared" si="24"/>
        <v>60.24</v>
      </c>
    </row>
    <row r="107" spans="2:30" ht="17">
      <c r="B107" s="19">
        <v>45822</v>
      </c>
      <c r="C107" s="19"/>
      <c r="D107" s="13">
        <f t="shared" si="19"/>
        <v>1</v>
      </c>
      <c r="E107" s="16">
        <v>0</v>
      </c>
      <c r="F107" s="16">
        <v>0</v>
      </c>
      <c r="G107" s="7">
        <f t="shared" si="16"/>
        <v>130000</v>
      </c>
      <c r="H107" s="14"/>
      <c r="I107" s="16">
        <v>0</v>
      </c>
      <c r="J107" s="16">
        <f t="shared" si="20"/>
        <v>35.619999999999997</v>
      </c>
      <c r="K107" s="16">
        <f t="shared" si="25"/>
        <v>517.86</v>
      </c>
      <c r="L107" s="14"/>
      <c r="M107" s="16">
        <f t="shared" si="21"/>
        <v>0</v>
      </c>
      <c r="N107" s="16">
        <f t="shared" si="21"/>
        <v>0</v>
      </c>
      <c r="O107" s="7">
        <f t="shared" si="22"/>
        <v>2474.268</v>
      </c>
      <c r="P107" s="16">
        <v>0</v>
      </c>
      <c r="Q107" s="16">
        <v>0</v>
      </c>
      <c r="R107" s="7">
        <f t="shared" si="26"/>
        <v>0</v>
      </c>
      <c r="S107" s="16">
        <v>0</v>
      </c>
      <c r="T107" s="16">
        <v>0</v>
      </c>
      <c r="U107" s="7">
        <f t="shared" si="27"/>
        <v>2474.268</v>
      </c>
      <c r="V107" s="14"/>
      <c r="W107" s="16">
        <v>0</v>
      </c>
      <c r="X107" s="16">
        <f t="shared" si="23"/>
        <v>7.0000000000000007E-2</v>
      </c>
      <c r="Y107" s="16">
        <f t="shared" si="17"/>
        <v>1.02</v>
      </c>
      <c r="Z107" s="14"/>
      <c r="AA107" s="22">
        <f>AC106</f>
        <v>60.24</v>
      </c>
      <c r="AB107" s="16">
        <f t="shared" si="18"/>
        <v>0</v>
      </c>
      <c r="AC107" s="69">
        <f t="shared" si="24"/>
        <v>0</v>
      </c>
      <c r="AD107" s="71" t="s">
        <v>48</v>
      </c>
    </row>
    <row r="108" spans="2:30">
      <c r="B108" s="19">
        <v>45823</v>
      </c>
      <c r="C108" s="19"/>
      <c r="D108" s="13">
        <f t="shared" si="19"/>
        <v>1</v>
      </c>
      <c r="E108" s="16">
        <v>0</v>
      </c>
      <c r="F108" s="16">
        <v>0</v>
      </c>
      <c r="G108" s="7">
        <f t="shared" si="16"/>
        <v>130000</v>
      </c>
      <c r="H108" s="14"/>
      <c r="I108" s="16">
        <v>0</v>
      </c>
      <c r="J108" s="16">
        <f t="shared" si="20"/>
        <v>35.619999999999997</v>
      </c>
      <c r="K108" s="16">
        <f t="shared" si="25"/>
        <v>553.48</v>
      </c>
      <c r="L108" s="14"/>
      <c r="M108" s="16">
        <f t="shared" si="21"/>
        <v>0</v>
      </c>
      <c r="N108" s="16">
        <f t="shared" si="21"/>
        <v>0</v>
      </c>
      <c r="O108" s="7">
        <f t="shared" si="22"/>
        <v>2474.268</v>
      </c>
      <c r="P108" s="16">
        <v>0</v>
      </c>
      <c r="Q108" s="16">
        <v>0</v>
      </c>
      <c r="R108" s="7">
        <f t="shared" si="26"/>
        <v>0</v>
      </c>
      <c r="S108" s="16">
        <v>0</v>
      </c>
      <c r="T108" s="16">
        <v>0</v>
      </c>
      <c r="U108" s="7">
        <f t="shared" si="27"/>
        <v>2474.268</v>
      </c>
      <c r="V108" s="14"/>
      <c r="W108" s="16">
        <v>0</v>
      </c>
      <c r="X108" s="16">
        <f t="shared" si="23"/>
        <v>7.0000000000000007E-2</v>
      </c>
      <c r="Y108" s="16">
        <f t="shared" si="17"/>
        <v>1.0900000000000001</v>
      </c>
      <c r="Z108" s="14"/>
      <c r="AA108" s="16">
        <v>0</v>
      </c>
      <c r="AB108" s="16">
        <f t="shared" si="18"/>
        <v>0</v>
      </c>
      <c r="AC108" s="7">
        <f t="shared" si="24"/>
        <v>0</v>
      </c>
    </row>
    <row r="109" spans="2:30">
      <c r="B109" s="19">
        <v>45824</v>
      </c>
      <c r="C109" s="19"/>
      <c r="D109" s="13">
        <f t="shared" si="19"/>
        <v>1</v>
      </c>
      <c r="E109" s="16">
        <v>0</v>
      </c>
      <c r="F109" s="16">
        <v>0</v>
      </c>
      <c r="G109" s="7">
        <f t="shared" si="16"/>
        <v>130000</v>
      </c>
      <c r="H109" s="14"/>
      <c r="I109" s="16">
        <v>0</v>
      </c>
      <c r="J109" s="16">
        <f t="shared" si="20"/>
        <v>35.619999999999997</v>
      </c>
      <c r="K109" s="16">
        <f t="shared" si="25"/>
        <v>589.1</v>
      </c>
      <c r="L109" s="14"/>
      <c r="M109" s="16">
        <f t="shared" si="21"/>
        <v>0</v>
      </c>
      <c r="N109" s="16">
        <f t="shared" si="21"/>
        <v>0</v>
      </c>
      <c r="O109" s="7">
        <f t="shared" si="22"/>
        <v>2474.268</v>
      </c>
      <c r="P109" s="16">
        <v>0</v>
      </c>
      <c r="Q109" s="16">
        <v>0</v>
      </c>
      <c r="R109" s="7">
        <f t="shared" si="26"/>
        <v>0</v>
      </c>
      <c r="S109" s="16">
        <v>0</v>
      </c>
      <c r="T109" s="16">
        <v>0</v>
      </c>
      <c r="U109" s="7">
        <f t="shared" si="27"/>
        <v>2474.268</v>
      </c>
      <c r="V109" s="14"/>
      <c r="W109" s="16">
        <v>0</v>
      </c>
      <c r="X109" s="16">
        <f t="shared" si="23"/>
        <v>7.0000000000000007E-2</v>
      </c>
      <c r="Y109" s="16">
        <f t="shared" si="17"/>
        <v>1.1599999999999999</v>
      </c>
      <c r="Z109" s="14"/>
      <c r="AA109" s="16">
        <v>0</v>
      </c>
      <c r="AB109" s="16">
        <f t="shared" si="18"/>
        <v>0</v>
      </c>
      <c r="AC109" s="7">
        <f t="shared" si="24"/>
        <v>0</v>
      </c>
    </row>
    <row r="110" spans="2:30">
      <c r="B110" s="19">
        <v>45825</v>
      </c>
      <c r="C110" s="19"/>
      <c r="D110" s="13">
        <f t="shared" si="19"/>
        <v>1</v>
      </c>
      <c r="E110" s="16">
        <v>0</v>
      </c>
      <c r="F110" s="16">
        <v>0</v>
      </c>
      <c r="G110" s="7">
        <f t="shared" si="16"/>
        <v>130000</v>
      </c>
      <c r="H110" s="14"/>
      <c r="I110" s="16">
        <v>0</v>
      </c>
      <c r="J110" s="16">
        <f t="shared" si="20"/>
        <v>35.619999999999997</v>
      </c>
      <c r="K110" s="16">
        <f t="shared" si="25"/>
        <v>624.72</v>
      </c>
      <c r="L110" s="14"/>
      <c r="M110" s="16">
        <f t="shared" si="21"/>
        <v>0</v>
      </c>
      <c r="N110" s="16">
        <f t="shared" si="21"/>
        <v>0</v>
      </c>
      <c r="O110" s="7">
        <f t="shared" si="22"/>
        <v>2474.268</v>
      </c>
      <c r="P110" s="16">
        <v>0</v>
      </c>
      <c r="Q110" s="16">
        <v>0</v>
      </c>
      <c r="R110" s="7">
        <f t="shared" si="26"/>
        <v>0</v>
      </c>
      <c r="S110" s="16">
        <v>0</v>
      </c>
      <c r="T110" s="16">
        <v>0</v>
      </c>
      <c r="U110" s="7">
        <f t="shared" si="27"/>
        <v>2474.268</v>
      </c>
      <c r="V110" s="14"/>
      <c r="W110" s="16">
        <v>0</v>
      </c>
      <c r="X110" s="16">
        <f t="shared" si="23"/>
        <v>7.0000000000000007E-2</v>
      </c>
      <c r="Y110" s="16">
        <f t="shared" si="17"/>
        <v>1.23</v>
      </c>
      <c r="Z110" s="14"/>
      <c r="AA110" s="16">
        <v>0</v>
      </c>
      <c r="AB110" s="16">
        <f t="shared" si="18"/>
        <v>0</v>
      </c>
      <c r="AC110" s="7">
        <f t="shared" si="24"/>
        <v>0</v>
      </c>
    </row>
    <row r="111" spans="2:30">
      <c r="B111" s="19">
        <v>45826</v>
      </c>
      <c r="C111" s="19"/>
      <c r="D111" s="13">
        <f t="shared" si="19"/>
        <v>1</v>
      </c>
      <c r="E111" s="16">
        <v>0</v>
      </c>
      <c r="F111" s="16">
        <v>0</v>
      </c>
      <c r="G111" s="7">
        <f t="shared" si="16"/>
        <v>130000</v>
      </c>
      <c r="H111" s="14"/>
      <c r="I111" s="16">
        <v>0</v>
      </c>
      <c r="J111" s="16">
        <f t="shared" si="20"/>
        <v>35.619999999999997</v>
      </c>
      <c r="K111" s="16">
        <f t="shared" si="25"/>
        <v>660.34</v>
      </c>
      <c r="L111" s="14"/>
      <c r="M111" s="16">
        <f t="shared" si="21"/>
        <v>0</v>
      </c>
      <c r="N111" s="16">
        <f t="shared" si="21"/>
        <v>0</v>
      </c>
      <c r="O111" s="7">
        <f t="shared" si="22"/>
        <v>2474.268</v>
      </c>
      <c r="P111" s="16">
        <v>0</v>
      </c>
      <c r="Q111" s="16">
        <v>0</v>
      </c>
      <c r="R111" s="7">
        <f t="shared" si="26"/>
        <v>0</v>
      </c>
      <c r="S111" s="16">
        <v>0</v>
      </c>
      <c r="T111" s="16">
        <v>0</v>
      </c>
      <c r="U111" s="7">
        <f t="shared" si="27"/>
        <v>2474.268</v>
      </c>
      <c r="V111" s="14"/>
      <c r="W111" s="16">
        <v>0</v>
      </c>
      <c r="X111" s="16">
        <f t="shared" si="23"/>
        <v>7.0000000000000007E-2</v>
      </c>
      <c r="Y111" s="16">
        <f t="shared" si="17"/>
        <v>1.3</v>
      </c>
      <c r="Z111" s="14"/>
      <c r="AA111" s="16">
        <v>0</v>
      </c>
      <c r="AB111" s="16">
        <f t="shared" si="18"/>
        <v>0</v>
      </c>
      <c r="AC111" s="7">
        <f t="shared" si="24"/>
        <v>0</v>
      </c>
    </row>
    <row r="112" spans="2:30">
      <c r="B112" s="19">
        <v>45827</v>
      </c>
      <c r="C112" s="19"/>
      <c r="D112" s="13">
        <f t="shared" si="19"/>
        <v>1</v>
      </c>
      <c r="E112" s="16">
        <v>0</v>
      </c>
      <c r="F112" s="16">
        <v>0</v>
      </c>
      <c r="G112" s="7">
        <f t="shared" si="16"/>
        <v>130000</v>
      </c>
      <c r="H112" s="14"/>
      <c r="I112" s="16">
        <v>0</v>
      </c>
      <c r="J112" s="16">
        <f t="shared" si="20"/>
        <v>35.619999999999997</v>
      </c>
      <c r="K112" s="16">
        <f t="shared" si="25"/>
        <v>695.96</v>
      </c>
      <c r="L112" s="14"/>
      <c r="M112" s="16">
        <f t="shared" si="21"/>
        <v>0</v>
      </c>
      <c r="N112" s="16">
        <f t="shared" si="21"/>
        <v>0</v>
      </c>
      <c r="O112" s="7">
        <f t="shared" si="22"/>
        <v>2474.268</v>
      </c>
      <c r="P112" s="16">
        <v>0</v>
      </c>
      <c r="Q112" s="16">
        <v>0</v>
      </c>
      <c r="R112" s="7">
        <f t="shared" si="26"/>
        <v>0</v>
      </c>
      <c r="S112" s="16">
        <v>0</v>
      </c>
      <c r="T112" s="16">
        <v>0</v>
      </c>
      <c r="U112" s="7">
        <f t="shared" si="27"/>
        <v>2474.268</v>
      </c>
      <c r="V112" s="14"/>
      <c r="W112" s="16">
        <v>0</v>
      </c>
      <c r="X112" s="16">
        <f t="shared" si="23"/>
        <v>7.0000000000000007E-2</v>
      </c>
      <c r="Y112" s="16">
        <f t="shared" si="17"/>
        <v>1.37</v>
      </c>
      <c r="Z112" s="14"/>
      <c r="AA112" s="16">
        <v>0</v>
      </c>
      <c r="AB112" s="16">
        <f t="shared" si="18"/>
        <v>0</v>
      </c>
      <c r="AC112" s="7">
        <f t="shared" si="24"/>
        <v>0</v>
      </c>
    </row>
    <row r="113" spans="2:30">
      <c r="B113" s="19">
        <v>45828</v>
      </c>
      <c r="C113" s="19"/>
      <c r="D113" s="13">
        <f t="shared" si="19"/>
        <v>1</v>
      </c>
      <c r="E113" s="16">
        <v>0</v>
      </c>
      <c r="F113" s="16">
        <v>0</v>
      </c>
      <c r="G113" s="7">
        <f t="shared" si="16"/>
        <v>130000</v>
      </c>
      <c r="H113" s="14"/>
      <c r="I113" s="16">
        <v>0</v>
      </c>
      <c r="J113" s="16">
        <f t="shared" si="20"/>
        <v>35.619999999999997</v>
      </c>
      <c r="K113" s="16">
        <f t="shared" si="25"/>
        <v>731.58</v>
      </c>
      <c r="L113" s="14"/>
      <c r="M113" s="16">
        <f t="shared" si="21"/>
        <v>0</v>
      </c>
      <c r="N113" s="16">
        <f t="shared" si="21"/>
        <v>0</v>
      </c>
      <c r="O113" s="7">
        <f t="shared" si="22"/>
        <v>2474.268</v>
      </c>
      <c r="P113" s="16">
        <v>0</v>
      </c>
      <c r="Q113" s="16">
        <v>0</v>
      </c>
      <c r="R113" s="7">
        <f t="shared" si="26"/>
        <v>0</v>
      </c>
      <c r="S113" s="16">
        <v>0</v>
      </c>
      <c r="T113" s="16">
        <v>0</v>
      </c>
      <c r="U113" s="7">
        <f t="shared" si="27"/>
        <v>2474.268</v>
      </c>
      <c r="V113" s="14"/>
      <c r="W113" s="16">
        <v>0</v>
      </c>
      <c r="X113" s="16">
        <f t="shared" si="23"/>
        <v>7.0000000000000007E-2</v>
      </c>
      <c r="Y113" s="16">
        <f t="shared" si="17"/>
        <v>1.44</v>
      </c>
      <c r="Z113" s="14"/>
      <c r="AA113" s="16">
        <v>0</v>
      </c>
      <c r="AB113" s="16">
        <f t="shared" si="18"/>
        <v>0</v>
      </c>
      <c r="AC113" s="7">
        <f t="shared" si="24"/>
        <v>0</v>
      </c>
    </row>
    <row r="114" spans="2:30">
      <c r="B114" s="19">
        <v>45829</v>
      </c>
      <c r="C114" s="19"/>
      <c r="D114" s="13">
        <f t="shared" si="19"/>
        <v>1</v>
      </c>
      <c r="E114" s="16">
        <v>0</v>
      </c>
      <c r="F114" s="16">
        <v>0</v>
      </c>
      <c r="G114" s="7">
        <f t="shared" si="16"/>
        <v>130000</v>
      </c>
      <c r="H114" s="14"/>
      <c r="I114" s="16">
        <v>0</v>
      </c>
      <c r="J114" s="16">
        <f t="shared" si="20"/>
        <v>35.619999999999997</v>
      </c>
      <c r="K114" s="16">
        <f t="shared" si="25"/>
        <v>767.2</v>
      </c>
      <c r="L114" s="14"/>
      <c r="M114" s="16">
        <f t="shared" si="21"/>
        <v>0</v>
      </c>
      <c r="N114" s="16">
        <f t="shared" si="21"/>
        <v>0</v>
      </c>
      <c r="O114" s="7">
        <f t="shared" si="22"/>
        <v>2474.268</v>
      </c>
      <c r="P114" s="16">
        <v>0</v>
      </c>
      <c r="Q114" s="16">
        <v>0</v>
      </c>
      <c r="R114" s="7">
        <f t="shared" si="26"/>
        <v>0</v>
      </c>
      <c r="S114" s="16">
        <v>0</v>
      </c>
      <c r="T114" s="16">
        <v>0</v>
      </c>
      <c r="U114" s="7">
        <f t="shared" si="27"/>
        <v>2474.268</v>
      </c>
      <c r="V114" s="14"/>
      <c r="W114" s="16">
        <v>0</v>
      </c>
      <c r="X114" s="16">
        <f t="shared" si="23"/>
        <v>7.0000000000000007E-2</v>
      </c>
      <c r="Y114" s="16">
        <f t="shared" si="17"/>
        <v>1.51</v>
      </c>
      <c r="Z114" s="14"/>
      <c r="AA114" s="16">
        <v>0</v>
      </c>
      <c r="AB114" s="16">
        <f t="shared" si="18"/>
        <v>0</v>
      </c>
      <c r="AC114" s="7">
        <f t="shared" si="24"/>
        <v>0</v>
      </c>
    </row>
    <row r="115" spans="2:30">
      <c r="B115" s="19">
        <v>45830</v>
      </c>
      <c r="C115" s="19"/>
      <c r="D115" s="13">
        <f t="shared" si="19"/>
        <v>1</v>
      </c>
      <c r="E115" s="16">
        <v>0</v>
      </c>
      <c r="F115" s="16">
        <v>0</v>
      </c>
      <c r="G115" s="7">
        <f t="shared" si="16"/>
        <v>130000</v>
      </c>
      <c r="H115" s="14"/>
      <c r="I115" s="16">
        <v>0</v>
      </c>
      <c r="J115" s="16">
        <f t="shared" si="20"/>
        <v>35.619999999999997</v>
      </c>
      <c r="K115" s="16">
        <f t="shared" si="25"/>
        <v>802.82</v>
      </c>
      <c r="L115" s="14"/>
      <c r="M115" s="16">
        <f t="shared" si="21"/>
        <v>0</v>
      </c>
      <c r="N115" s="16">
        <f t="shared" si="21"/>
        <v>0</v>
      </c>
      <c r="O115" s="7">
        <f t="shared" si="22"/>
        <v>2474.268</v>
      </c>
      <c r="P115" s="16">
        <v>0</v>
      </c>
      <c r="Q115" s="16">
        <v>0</v>
      </c>
      <c r="R115" s="7">
        <f t="shared" si="26"/>
        <v>0</v>
      </c>
      <c r="S115" s="16">
        <v>0</v>
      </c>
      <c r="T115" s="16">
        <v>0</v>
      </c>
      <c r="U115" s="7">
        <f t="shared" si="27"/>
        <v>2474.268</v>
      </c>
      <c r="V115" s="14"/>
      <c r="W115" s="16">
        <v>0</v>
      </c>
      <c r="X115" s="16">
        <f t="shared" si="23"/>
        <v>7.0000000000000007E-2</v>
      </c>
      <c r="Y115" s="16">
        <f t="shared" si="17"/>
        <v>1.58</v>
      </c>
      <c r="Z115" s="14"/>
      <c r="AA115" s="16">
        <v>0</v>
      </c>
      <c r="AB115" s="16">
        <f t="shared" si="18"/>
        <v>0</v>
      </c>
      <c r="AC115" s="7">
        <f t="shared" si="24"/>
        <v>0</v>
      </c>
    </row>
    <row r="116" spans="2:30">
      <c r="B116" s="19">
        <v>45831</v>
      </c>
      <c r="C116" s="19"/>
      <c r="D116" s="13">
        <f t="shared" si="19"/>
        <v>1</v>
      </c>
      <c r="E116" s="16">
        <v>0</v>
      </c>
      <c r="F116" s="16">
        <v>0</v>
      </c>
      <c r="G116" s="7">
        <f t="shared" si="16"/>
        <v>130000</v>
      </c>
      <c r="H116" s="14"/>
      <c r="I116" s="16">
        <v>0</v>
      </c>
      <c r="J116" s="16">
        <f t="shared" si="20"/>
        <v>35.619999999999997</v>
      </c>
      <c r="K116" s="16">
        <f t="shared" si="25"/>
        <v>838.44</v>
      </c>
      <c r="L116" s="14"/>
      <c r="M116" s="16">
        <f t="shared" si="21"/>
        <v>0</v>
      </c>
      <c r="N116" s="16">
        <f t="shared" si="21"/>
        <v>0</v>
      </c>
      <c r="O116" s="7">
        <f t="shared" si="22"/>
        <v>2474.268</v>
      </c>
      <c r="P116" s="16">
        <v>0</v>
      </c>
      <c r="Q116" s="16">
        <v>0</v>
      </c>
      <c r="R116" s="7">
        <f t="shared" si="26"/>
        <v>0</v>
      </c>
      <c r="S116" s="16">
        <v>0</v>
      </c>
      <c r="T116" s="16">
        <v>0</v>
      </c>
      <c r="U116" s="7">
        <f t="shared" si="27"/>
        <v>2474.268</v>
      </c>
      <c r="V116" s="14"/>
      <c r="W116" s="16">
        <v>0</v>
      </c>
      <c r="X116" s="16">
        <f t="shared" si="23"/>
        <v>7.0000000000000007E-2</v>
      </c>
      <c r="Y116" s="16">
        <f t="shared" si="17"/>
        <v>1.65</v>
      </c>
      <c r="Z116" s="14"/>
      <c r="AA116" s="16">
        <v>0</v>
      </c>
      <c r="AB116" s="16">
        <f t="shared" si="18"/>
        <v>0</v>
      </c>
      <c r="AC116" s="7">
        <f t="shared" si="24"/>
        <v>0</v>
      </c>
    </row>
    <row r="117" spans="2:30">
      <c r="B117" s="19">
        <v>45832</v>
      </c>
      <c r="C117" s="19"/>
      <c r="D117" s="13">
        <f t="shared" si="19"/>
        <v>1</v>
      </c>
      <c r="E117" s="16">
        <v>0</v>
      </c>
      <c r="F117" s="16">
        <v>0</v>
      </c>
      <c r="G117" s="7">
        <f t="shared" si="16"/>
        <v>130000</v>
      </c>
      <c r="H117" s="14"/>
      <c r="I117" s="16">
        <v>0</v>
      </c>
      <c r="J117" s="16">
        <f t="shared" si="20"/>
        <v>35.619999999999997</v>
      </c>
      <c r="K117" s="16">
        <f t="shared" si="25"/>
        <v>874.06</v>
      </c>
      <c r="L117" s="14"/>
      <c r="M117" s="16">
        <f t="shared" si="21"/>
        <v>0</v>
      </c>
      <c r="N117" s="16">
        <f t="shared" si="21"/>
        <v>0</v>
      </c>
      <c r="O117" s="7">
        <f t="shared" si="22"/>
        <v>2474.268</v>
      </c>
      <c r="P117" s="16">
        <v>0</v>
      </c>
      <c r="Q117" s="16">
        <v>0</v>
      </c>
      <c r="R117" s="7">
        <f t="shared" si="26"/>
        <v>0</v>
      </c>
      <c r="S117" s="16">
        <v>0</v>
      </c>
      <c r="T117" s="16">
        <v>0</v>
      </c>
      <c r="U117" s="7">
        <f t="shared" si="27"/>
        <v>2474.268</v>
      </c>
      <c r="V117" s="14"/>
      <c r="W117" s="16">
        <v>0</v>
      </c>
      <c r="X117" s="16">
        <f t="shared" si="23"/>
        <v>7.0000000000000007E-2</v>
      </c>
      <c r="Y117" s="16">
        <f t="shared" si="17"/>
        <v>1.72</v>
      </c>
      <c r="Z117" s="14"/>
      <c r="AA117" s="16">
        <v>0</v>
      </c>
      <c r="AB117" s="16">
        <f t="shared" si="18"/>
        <v>0</v>
      </c>
      <c r="AC117" s="7">
        <f t="shared" si="24"/>
        <v>0</v>
      </c>
    </row>
    <row r="118" spans="2:30">
      <c r="B118" s="19">
        <v>45833</v>
      </c>
      <c r="C118" s="19"/>
      <c r="D118" s="13">
        <f t="shared" si="19"/>
        <v>1</v>
      </c>
      <c r="E118" s="16">
        <v>0</v>
      </c>
      <c r="F118" s="16">
        <v>0</v>
      </c>
      <c r="G118" s="7">
        <f t="shared" si="16"/>
        <v>130000</v>
      </c>
      <c r="H118" s="14"/>
      <c r="I118" s="16">
        <v>0</v>
      </c>
      <c r="J118" s="16">
        <f t="shared" si="20"/>
        <v>35.619999999999997</v>
      </c>
      <c r="K118" s="16">
        <f t="shared" si="25"/>
        <v>909.68</v>
      </c>
      <c r="L118" s="14"/>
      <c r="M118" s="16">
        <f t="shared" si="21"/>
        <v>0</v>
      </c>
      <c r="N118" s="16">
        <f t="shared" si="21"/>
        <v>0</v>
      </c>
      <c r="O118" s="7">
        <f t="shared" si="22"/>
        <v>2474.268</v>
      </c>
      <c r="P118" s="16">
        <v>0</v>
      </c>
      <c r="Q118" s="16">
        <v>0</v>
      </c>
      <c r="R118" s="7">
        <f t="shared" si="26"/>
        <v>0</v>
      </c>
      <c r="S118" s="16">
        <v>0</v>
      </c>
      <c r="T118" s="16">
        <v>0</v>
      </c>
      <c r="U118" s="7">
        <f t="shared" si="27"/>
        <v>2474.268</v>
      </c>
      <c r="V118" s="14"/>
      <c r="W118" s="16">
        <v>0</v>
      </c>
      <c r="X118" s="16">
        <f t="shared" si="23"/>
        <v>7.0000000000000007E-2</v>
      </c>
      <c r="Y118" s="16">
        <f t="shared" si="17"/>
        <v>1.79</v>
      </c>
      <c r="Z118" s="14"/>
      <c r="AA118" s="16">
        <v>0</v>
      </c>
      <c r="AB118" s="16">
        <f t="shared" si="18"/>
        <v>0</v>
      </c>
      <c r="AC118" s="7">
        <f t="shared" si="24"/>
        <v>0</v>
      </c>
    </row>
    <row r="119" spans="2:30">
      <c r="B119" s="19">
        <v>45834</v>
      </c>
      <c r="C119" s="19"/>
      <c r="D119" s="13">
        <f t="shared" si="19"/>
        <v>1</v>
      </c>
      <c r="E119" s="16">
        <v>0</v>
      </c>
      <c r="F119" s="16">
        <v>0</v>
      </c>
      <c r="G119" s="7">
        <f t="shared" si="16"/>
        <v>130000</v>
      </c>
      <c r="H119" s="14"/>
      <c r="I119" s="16">
        <v>0</v>
      </c>
      <c r="J119" s="16">
        <f t="shared" si="20"/>
        <v>35.619999999999997</v>
      </c>
      <c r="K119" s="16">
        <f t="shared" si="25"/>
        <v>945.3</v>
      </c>
      <c r="L119" s="14"/>
      <c r="M119" s="16">
        <f t="shared" si="21"/>
        <v>0</v>
      </c>
      <c r="N119" s="16">
        <f t="shared" si="21"/>
        <v>0</v>
      </c>
      <c r="O119" s="7">
        <f t="shared" si="22"/>
        <v>2474.268</v>
      </c>
      <c r="P119" s="16">
        <v>0</v>
      </c>
      <c r="Q119" s="16">
        <v>0</v>
      </c>
      <c r="R119" s="7">
        <f t="shared" si="26"/>
        <v>0</v>
      </c>
      <c r="S119" s="16">
        <v>0</v>
      </c>
      <c r="T119" s="16">
        <v>0</v>
      </c>
      <c r="U119" s="7">
        <f t="shared" si="27"/>
        <v>2474.268</v>
      </c>
      <c r="V119" s="14"/>
      <c r="W119" s="16">
        <v>0</v>
      </c>
      <c r="X119" s="16">
        <f t="shared" si="23"/>
        <v>7.0000000000000007E-2</v>
      </c>
      <c r="Y119" s="16">
        <f t="shared" si="17"/>
        <v>1.86</v>
      </c>
      <c r="Z119" s="14"/>
      <c r="AA119" s="16">
        <v>0</v>
      </c>
      <c r="AB119" s="16">
        <f t="shared" si="18"/>
        <v>0</v>
      </c>
      <c r="AC119" s="7">
        <f t="shared" si="24"/>
        <v>0</v>
      </c>
    </row>
    <row r="120" spans="2:30">
      <c r="B120" s="19">
        <v>45835</v>
      </c>
      <c r="C120" s="19"/>
      <c r="D120" s="13">
        <f t="shared" si="19"/>
        <v>1</v>
      </c>
      <c r="E120" s="16">
        <v>0</v>
      </c>
      <c r="F120" s="16">
        <v>0</v>
      </c>
      <c r="G120" s="7">
        <f t="shared" si="16"/>
        <v>130000</v>
      </c>
      <c r="H120" s="14"/>
      <c r="I120" s="16">
        <v>0</v>
      </c>
      <c r="J120" s="16">
        <f t="shared" si="20"/>
        <v>35.619999999999997</v>
      </c>
      <c r="K120" s="16">
        <f t="shared" si="25"/>
        <v>980.92</v>
      </c>
      <c r="L120" s="14"/>
      <c r="M120" s="16">
        <f t="shared" si="21"/>
        <v>0</v>
      </c>
      <c r="N120" s="16">
        <f t="shared" si="21"/>
        <v>0</v>
      </c>
      <c r="O120" s="7">
        <f t="shared" si="22"/>
        <v>2474.268</v>
      </c>
      <c r="P120" s="16">
        <v>0</v>
      </c>
      <c r="Q120" s="16">
        <v>0</v>
      </c>
      <c r="R120" s="7">
        <f t="shared" si="26"/>
        <v>0</v>
      </c>
      <c r="S120" s="16">
        <v>0</v>
      </c>
      <c r="T120" s="16">
        <v>0</v>
      </c>
      <c r="U120" s="7">
        <f t="shared" si="27"/>
        <v>2474.268</v>
      </c>
      <c r="V120" s="14"/>
      <c r="W120" s="16">
        <v>0</v>
      </c>
      <c r="X120" s="16">
        <f>ROUND((O120-N120)*$M$3/$N$3*D120,2)</f>
        <v>7.0000000000000007E-2</v>
      </c>
      <c r="Y120" s="16">
        <f t="shared" si="17"/>
        <v>1.93</v>
      </c>
      <c r="Z120" s="14"/>
      <c r="AA120" s="16">
        <v>0</v>
      </c>
      <c r="AB120" s="16">
        <f t="shared" si="18"/>
        <v>0</v>
      </c>
      <c r="AC120" s="7">
        <f t="shared" si="24"/>
        <v>0</v>
      </c>
    </row>
    <row r="121" spans="2:30">
      <c r="B121" s="19">
        <v>45836</v>
      </c>
      <c r="C121" s="19"/>
      <c r="D121" s="13">
        <f t="shared" si="19"/>
        <v>1</v>
      </c>
      <c r="E121" s="16">
        <v>0</v>
      </c>
      <c r="F121" s="16">
        <v>0</v>
      </c>
      <c r="G121" s="7">
        <f t="shared" si="16"/>
        <v>130000</v>
      </c>
      <c r="H121" s="14"/>
      <c r="I121" s="16">
        <v>0</v>
      </c>
      <c r="J121" s="16">
        <f t="shared" si="20"/>
        <v>35.619999999999997</v>
      </c>
      <c r="K121" s="16">
        <f t="shared" si="25"/>
        <v>1016.54</v>
      </c>
      <c r="L121" s="14"/>
      <c r="M121" s="16">
        <f t="shared" si="21"/>
        <v>0</v>
      </c>
      <c r="N121" s="16">
        <f t="shared" si="21"/>
        <v>0</v>
      </c>
      <c r="O121" s="7">
        <f t="shared" si="22"/>
        <v>2474.268</v>
      </c>
      <c r="P121" s="16">
        <v>0</v>
      </c>
      <c r="Q121" s="16">
        <v>0</v>
      </c>
      <c r="R121" s="7">
        <f t="shared" si="26"/>
        <v>0</v>
      </c>
      <c r="S121" s="16">
        <v>0</v>
      </c>
      <c r="T121" s="16">
        <v>0</v>
      </c>
      <c r="U121" s="7">
        <f t="shared" si="27"/>
        <v>2474.268</v>
      </c>
      <c r="V121" s="14"/>
      <c r="W121" s="16">
        <v>0</v>
      </c>
      <c r="X121" s="16">
        <f t="shared" si="23"/>
        <v>7.0000000000000007E-2</v>
      </c>
      <c r="Y121" s="16">
        <f t="shared" si="17"/>
        <v>2</v>
      </c>
      <c r="Z121" s="14"/>
      <c r="AA121" s="16">
        <v>0</v>
      </c>
      <c r="AB121" s="16">
        <f t="shared" si="18"/>
        <v>0</v>
      </c>
      <c r="AC121" s="7">
        <f t="shared" si="24"/>
        <v>0</v>
      </c>
    </row>
    <row r="122" spans="2:30">
      <c r="B122" s="19">
        <v>45837</v>
      </c>
      <c r="C122" s="19"/>
      <c r="D122" s="13">
        <f t="shared" si="19"/>
        <v>1</v>
      </c>
      <c r="E122" s="16">
        <v>0</v>
      </c>
      <c r="F122" s="16">
        <v>0</v>
      </c>
      <c r="G122" s="7">
        <f t="shared" si="16"/>
        <v>130000</v>
      </c>
      <c r="H122" s="14"/>
      <c r="I122" s="16">
        <v>0</v>
      </c>
      <c r="J122" s="16">
        <f t="shared" si="20"/>
        <v>35.619999999999997</v>
      </c>
      <c r="K122" s="16">
        <f t="shared" si="25"/>
        <v>1052.1600000000001</v>
      </c>
      <c r="L122" s="14"/>
      <c r="M122" s="16">
        <f t="shared" si="21"/>
        <v>0</v>
      </c>
      <c r="N122" s="16">
        <f t="shared" si="21"/>
        <v>0</v>
      </c>
      <c r="O122" s="7">
        <f t="shared" si="22"/>
        <v>2474.268</v>
      </c>
      <c r="P122" s="16">
        <v>0</v>
      </c>
      <c r="Q122" s="16">
        <v>0</v>
      </c>
      <c r="R122" s="7">
        <f t="shared" si="26"/>
        <v>0</v>
      </c>
      <c r="S122" s="16">
        <v>0</v>
      </c>
      <c r="T122" s="16">
        <v>0</v>
      </c>
      <c r="U122" s="7">
        <f t="shared" si="27"/>
        <v>2474.268</v>
      </c>
      <c r="V122" s="14"/>
      <c r="W122" s="16">
        <v>0</v>
      </c>
      <c r="X122" s="16">
        <f t="shared" si="23"/>
        <v>7.0000000000000007E-2</v>
      </c>
      <c r="Y122" s="16">
        <f t="shared" si="17"/>
        <v>2.0699999999999998</v>
      </c>
      <c r="Z122" s="14"/>
      <c r="AA122" s="16">
        <v>0</v>
      </c>
      <c r="AB122" s="16">
        <f t="shared" si="18"/>
        <v>0</v>
      </c>
      <c r="AC122" s="7">
        <f t="shared" si="24"/>
        <v>0</v>
      </c>
    </row>
    <row r="123" spans="2:30" ht="153">
      <c r="B123" s="11">
        <v>45838</v>
      </c>
      <c r="C123" s="19"/>
      <c r="D123" s="13">
        <f t="shared" si="19"/>
        <v>1</v>
      </c>
      <c r="E123" s="52">
        <v>20000</v>
      </c>
      <c r="F123" s="16">
        <v>0</v>
      </c>
      <c r="G123" s="7">
        <f t="shared" si="16"/>
        <v>110000</v>
      </c>
      <c r="H123" s="14"/>
      <c r="I123" s="21">
        <f>K122</f>
        <v>1052.1600000000001</v>
      </c>
      <c r="J123" s="16">
        <f t="shared" si="20"/>
        <v>30.14</v>
      </c>
      <c r="K123" s="16">
        <f t="shared" si="25"/>
        <v>30.14</v>
      </c>
      <c r="L123" s="14"/>
      <c r="M123" s="16">
        <f>P123+S123</f>
        <v>0</v>
      </c>
      <c r="N123" s="21">
        <f>Q123+T123</f>
        <v>20990.976200000001</v>
      </c>
      <c r="O123" s="10">
        <f>O122+N123-M123</f>
        <v>23465.244200000001</v>
      </c>
      <c r="P123" s="16">
        <v>0</v>
      </c>
      <c r="Q123" s="52">
        <f>E123</f>
        <v>20000</v>
      </c>
      <c r="R123" s="7">
        <f t="shared" si="26"/>
        <v>20000</v>
      </c>
      <c r="S123" s="16">
        <v>0</v>
      </c>
      <c r="T123" s="21">
        <f>(I123+W123)-AB123</f>
        <v>990.97620000000006</v>
      </c>
      <c r="U123" s="7">
        <f t="shared" si="27"/>
        <v>3465.2442000000001</v>
      </c>
      <c r="V123" s="14"/>
      <c r="W123" s="21">
        <f>Y122</f>
        <v>2.0699999999999998</v>
      </c>
      <c r="X123" s="16">
        <f>ROUND((O123-N123)*$M$3/$N$3*D123,2)</f>
        <v>7.0000000000000007E-2</v>
      </c>
      <c r="Y123" s="16">
        <f t="shared" si="17"/>
        <v>7.0000000000000007E-2</v>
      </c>
      <c r="Z123" s="14"/>
      <c r="AA123" s="16">
        <v>0</v>
      </c>
      <c r="AB123" s="22">
        <f t="shared" si="18"/>
        <v>63.253799999999998</v>
      </c>
      <c r="AC123" s="69">
        <f t="shared" si="24"/>
        <v>63.25</v>
      </c>
      <c r="AD123" s="23" t="s">
        <v>22</v>
      </c>
    </row>
    <row r="124" spans="2:30" ht="102">
      <c r="B124" s="11">
        <v>45839</v>
      </c>
      <c r="C124" s="19"/>
      <c r="D124" s="13">
        <f t="shared" si="19"/>
        <v>1</v>
      </c>
      <c r="E124" s="16">
        <v>0</v>
      </c>
      <c r="F124" s="24">
        <f>S124</f>
        <v>3465.2442000000001</v>
      </c>
      <c r="G124" s="7">
        <f t="shared" si="16"/>
        <v>113465.2442</v>
      </c>
      <c r="H124" s="14"/>
      <c r="I124" s="16">
        <v>0</v>
      </c>
      <c r="J124" s="16">
        <f>ROUND((G124-F124)*$B$3/$D$3*D124,2)</f>
        <v>30.14</v>
      </c>
      <c r="K124" s="16">
        <f t="shared" si="25"/>
        <v>60.28</v>
      </c>
      <c r="L124" s="14"/>
      <c r="M124" s="16">
        <f>P124+S124</f>
        <v>23465.244200000001</v>
      </c>
      <c r="N124" s="16">
        <f t="shared" si="21"/>
        <v>0</v>
      </c>
      <c r="O124" s="7">
        <f>O123+N124-M124</f>
        <v>0</v>
      </c>
      <c r="P124" s="52">
        <v>20000</v>
      </c>
      <c r="Q124" s="16">
        <v>0</v>
      </c>
      <c r="R124" s="7">
        <f t="shared" si="26"/>
        <v>0</v>
      </c>
      <c r="S124" s="24">
        <f>U123</f>
        <v>3465.2442000000001</v>
      </c>
      <c r="T124" s="16">
        <v>0</v>
      </c>
      <c r="U124" s="7">
        <f t="shared" si="27"/>
        <v>0</v>
      </c>
      <c r="V124" s="14"/>
      <c r="W124" s="16">
        <v>0</v>
      </c>
      <c r="X124" s="16">
        <f>ROUND((O124-N124)*$M$3/$N$3*D124,2)</f>
        <v>0</v>
      </c>
      <c r="Y124" s="16">
        <f t="shared" si="17"/>
        <v>7.0000000000000007E-2</v>
      </c>
      <c r="Z124" s="14"/>
      <c r="AA124" s="16">
        <v>0</v>
      </c>
      <c r="AB124" s="16">
        <f t="shared" si="18"/>
        <v>0</v>
      </c>
      <c r="AC124" s="7">
        <f t="shared" si="24"/>
        <v>63.25</v>
      </c>
      <c r="AD124" s="18" t="s">
        <v>19</v>
      </c>
    </row>
    <row r="125" spans="2:30">
      <c r="B125" s="19">
        <v>45840</v>
      </c>
      <c r="C125" s="19"/>
      <c r="D125" s="13">
        <f t="shared" si="19"/>
        <v>1</v>
      </c>
      <c r="E125" s="16">
        <v>0</v>
      </c>
      <c r="F125" s="16">
        <v>0</v>
      </c>
      <c r="G125" s="7">
        <f t="shared" si="16"/>
        <v>113465.2442</v>
      </c>
      <c r="H125" s="14"/>
      <c r="I125" s="16">
        <v>0</v>
      </c>
      <c r="J125" s="16">
        <f t="shared" si="20"/>
        <v>31.09</v>
      </c>
      <c r="K125" s="16">
        <f t="shared" si="25"/>
        <v>91.37</v>
      </c>
      <c r="L125" s="14"/>
      <c r="M125" s="16">
        <f>P125+S125</f>
        <v>0</v>
      </c>
      <c r="N125" s="16">
        <f>Q125+T125</f>
        <v>0</v>
      </c>
      <c r="O125" s="7">
        <f>O124+N125-M125</f>
        <v>0</v>
      </c>
      <c r="P125" s="16">
        <v>0</v>
      </c>
      <c r="Q125" s="16">
        <v>0</v>
      </c>
      <c r="R125" s="7">
        <f t="shared" si="26"/>
        <v>0</v>
      </c>
      <c r="S125" s="16">
        <v>0</v>
      </c>
      <c r="T125" s="16">
        <v>0</v>
      </c>
      <c r="U125" s="7">
        <f t="shared" si="27"/>
        <v>0</v>
      </c>
      <c r="V125" s="14"/>
      <c r="W125" s="16">
        <v>0</v>
      </c>
      <c r="X125" s="16">
        <f t="shared" si="23"/>
        <v>0</v>
      </c>
      <c r="Y125" s="16">
        <f t="shared" si="17"/>
        <v>7.0000000000000007E-2</v>
      </c>
      <c r="Z125" s="14"/>
      <c r="AA125" s="16">
        <v>0</v>
      </c>
      <c r="AB125" s="16">
        <f t="shared" si="18"/>
        <v>0</v>
      </c>
      <c r="AC125" s="7">
        <f t="shared" si="24"/>
        <v>63.25</v>
      </c>
    </row>
    <row r="126" spans="2:30">
      <c r="B126" s="19">
        <v>45841</v>
      </c>
      <c r="C126" s="19"/>
      <c r="D126" s="13">
        <f t="shared" si="19"/>
        <v>1</v>
      </c>
      <c r="E126" s="16">
        <v>0</v>
      </c>
      <c r="F126" s="16">
        <v>0</v>
      </c>
      <c r="G126" s="7">
        <f t="shared" si="16"/>
        <v>113465.2442</v>
      </c>
      <c r="H126" s="14"/>
      <c r="I126" s="16">
        <v>0</v>
      </c>
      <c r="J126" s="16">
        <f t="shared" si="20"/>
        <v>31.09</v>
      </c>
      <c r="K126" s="16">
        <f t="shared" si="25"/>
        <v>122.46</v>
      </c>
      <c r="L126" s="14"/>
      <c r="M126" s="16">
        <f t="shared" si="21"/>
        <v>0</v>
      </c>
      <c r="N126" s="16">
        <f t="shared" si="21"/>
        <v>0</v>
      </c>
      <c r="O126" s="7">
        <f t="shared" si="22"/>
        <v>0</v>
      </c>
      <c r="P126" s="16">
        <v>0</v>
      </c>
      <c r="Q126" s="16">
        <v>0</v>
      </c>
      <c r="R126" s="7">
        <f t="shared" si="26"/>
        <v>0</v>
      </c>
      <c r="S126" s="16">
        <v>0</v>
      </c>
      <c r="T126" s="16">
        <v>0</v>
      </c>
      <c r="U126" s="7">
        <f t="shared" si="27"/>
        <v>0</v>
      </c>
      <c r="V126" s="14"/>
      <c r="W126" s="16">
        <v>0</v>
      </c>
      <c r="X126" s="16">
        <f t="shared" si="23"/>
        <v>0</v>
      </c>
      <c r="Y126" s="16">
        <f t="shared" si="17"/>
        <v>7.0000000000000007E-2</v>
      </c>
      <c r="Z126" s="14"/>
      <c r="AA126" s="16">
        <v>0</v>
      </c>
      <c r="AB126" s="16">
        <f t="shared" si="18"/>
        <v>0</v>
      </c>
      <c r="AC126" s="7">
        <f t="shared" si="24"/>
        <v>63.25</v>
      </c>
    </row>
    <row r="127" spans="2:30">
      <c r="B127" s="19">
        <v>45842</v>
      </c>
      <c r="C127" s="19"/>
      <c r="D127" s="13">
        <f t="shared" si="19"/>
        <v>1</v>
      </c>
      <c r="E127" s="16">
        <v>0</v>
      </c>
      <c r="F127" s="16">
        <v>0</v>
      </c>
      <c r="G127" s="7">
        <f t="shared" ref="G127:G190" si="28">G126+F127-E127</f>
        <v>113465.2442</v>
      </c>
      <c r="H127" s="14"/>
      <c r="I127" s="16">
        <v>0</v>
      </c>
      <c r="J127" s="16">
        <f t="shared" si="20"/>
        <v>31.09</v>
      </c>
      <c r="K127" s="16">
        <f t="shared" si="25"/>
        <v>153.55000000000001</v>
      </c>
      <c r="L127" s="14"/>
      <c r="M127" s="16">
        <f t="shared" si="21"/>
        <v>0</v>
      </c>
      <c r="N127" s="16">
        <f t="shared" si="21"/>
        <v>0</v>
      </c>
      <c r="O127" s="7">
        <f t="shared" si="22"/>
        <v>0</v>
      </c>
      <c r="P127" s="16">
        <v>0</v>
      </c>
      <c r="Q127" s="16">
        <v>0</v>
      </c>
      <c r="R127" s="7">
        <f t="shared" si="26"/>
        <v>0</v>
      </c>
      <c r="S127" s="16">
        <v>0</v>
      </c>
      <c r="T127" s="16">
        <v>0</v>
      </c>
      <c r="U127" s="7">
        <f t="shared" si="27"/>
        <v>0</v>
      </c>
      <c r="V127" s="14"/>
      <c r="W127" s="16">
        <v>0</v>
      </c>
      <c r="X127" s="16">
        <f t="shared" si="23"/>
        <v>0</v>
      </c>
      <c r="Y127" s="16">
        <f t="shared" si="17"/>
        <v>7.0000000000000007E-2</v>
      </c>
      <c r="Z127" s="14"/>
      <c r="AA127" s="16">
        <v>0</v>
      </c>
      <c r="AB127" s="16">
        <f t="shared" si="18"/>
        <v>0</v>
      </c>
      <c r="AC127" s="7">
        <f t="shared" si="24"/>
        <v>63.25</v>
      </c>
    </row>
    <row r="128" spans="2:30" ht="34">
      <c r="B128" s="19">
        <v>45843</v>
      </c>
      <c r="C128" s="19"/>
      <c r="D128" s="13">
        <f t="shared" si="19"/>
        <v>1</v>
      </c>
      <c r="E128" s="16">
        <v>0</v>
      </c>
      <c r="F128" s="14">
        <v>10000</v>
      </c>
      <c r="G128" s="7">
        <f t="shared" si="28"/>
        <v>123465.2442</v>
      </c>
      <c r="H128" s="14"/>
      <c r="I128" s="16">
        <v>0</v>
      </c>
      <c r="J128" s="16">
        <f t="shared" si="20"/>
        <v>31.09</v>
      </c>
      <c r="K128" s="16">
        <f t="shared" si="25"/>
        <v>184.64</v>
      </c>
      <c r="L128" s="14"/>
      <c r="M128" s="16">
        <f t="shared" si="21"/>
        <v>0</v>
      </c>
      <c r="N128" s="16">
        <f t="shared" si="21"/>
        <v>0</v>
      </c>
      <c r="O128" s="7">
        <f t="shared" si="22"/>
        <v>0</v>
      </c>
      <c r="P128" s="16">
        <v>0</v>
      </c>
      <c r="Q128" s="16">
        <v>0</v>
      </c>
      <c r="R128" s="7">
        <f t="shared" si="26"/>
        <v>0</v>
      </c>
      <c r="S128" s="16">
        <v>0</v>
      </c>
      <c r="T128" s="16">
        <v>0</v>
      </c>
      <c r="U128" s="7">
        <f t="shared" si="27"/>
        <v>0</v>
      </c>
      <c r="V128" s="14"/>
      <c r="W128" s="16">
        <v>0</v>
      </c>
      <c r="X128" s="16">
        <f t="shared" si="23"/>
        <v>0</v>
      </c>
      <c r="Y128" s="16">
        <f t="shared" si="17"/>
        <v>7.0000000000000007E-2</v>
      </c>
      <c r="Z128" s="14"/>
      <c r="AA128" s="16">
        <v>0</v>
      </c>
      <c r="AB128" s="16">
        <f t="shared" si="18"/>
        <v>0</v>
      </c>
      <c r="AC128" s="7">
        <f t="shared" si="24"/>
        <v>63.25</v>
      </c>
      <c r="AD128" s="65" t="s">
        <v>15</v>
      </c>
    </row>
    <row r="129" spans="2:30">
      <c r="B129" s="19">
        <v>45844</v>
      </c>
      <c r="C129" s="19"/>
      <c r="D129" s="13">
        <f t="shared" si="19"/>
        <v>1</v>
      </c>
      <c r="E129" s="16">
        <v>0</v>
      </c>
      <c r="F129" s="16">
        <v>0</v>
      </c>
      <c r="G129" s="7">
        <f t="shared" si="28"/>
        <v>123465.2442</v>
      </c>
      <c r="H129" s="14"/>
      <c r="I129" s="16">
        <v>0</v>
      </c>
      <c r="J129" s="16">
        <f t="shared" si="20"/>
        <v>33.83</v>
      </c>
      <c r="K129" s="16">
        <f t="shared" si="25"/>
        <v>218.47</v>
      </c>
      <c r="L129" s="14"/>
      <c r="M129" s="16">
        <f t="shared" si="21"/>
        <v>0</v>
      </c>
      <c r="N129" s="16">
        <f t="shared" si="21"/>
        <v>0</v>
      </c>
      <c r="O129" s="7">
        <f t="shared" si="22"/>
        <v>0</v>
      </c>
      <c r="P129" s="16">
        <v>0</v>
      </c>
      <c r="Q129" s="16">
        <v>0</v>
      </c>
      <c r="R129" s="7">
        <f t="shared" si="26"/>
        <v>0</v>
      </c>
      <c r="S129" s="16">
        <v>0</v>
      </c>
      <c r="T129" s="16">
        <v>0</v>
      </c>
      <c r="U129" s="7">
        <f t="shared" si="27"/>
        <v>0</v>
      </c>
      <c r="V129" s="14"/>
      <c r="W129" s="16">
        <v>0</v>
      </c>
      <c r="X129" s="16">
        <f t="shared" si="23"/>
        <v>0</v>
      </c>
      <c r="Y129" s="16">
        <f t="shared" si="17"/>
        <v>7.0000000000000007E-2</v>
      </c>
      <c r="Z129" s="14"/>
      <c r="AA129" s="16">
        <v>0</v>
      </c>
      <c r="AB129" s="16">
        <f t="shared" si="18"/>
        <v>0</v>
      </c>
      <c r="AC129" s="7">
        <f t="shared" si="24"/>
        <v>63.25</v>
      </c>
    </row>
    <row r="130" spans="2:30">
      <c r="B130" s="19">
        <v>45845</v>
      </c>
      <c r="C130" s="19"/>
      <c r="D130" s="13">
        <f t="shared" si="19"/>
        <v>1</v>
      </c>
      <c r="E130" s="16">
        <v>0</v>
      </c>
      <c r="F130" s="16">
        <v>0</v>
      </c>
      <c r="G130" s="7">
        <f t="shared" si="28"/>
        <v>123465.2442</v>
      </c>
      <c r="H130" s="14"/>
      <c r="I130" s="16">
        <v>0</v>
      </c>
      <c r="J130" s="16">
        <f t="shared" si="20"/>
        <v>33.83</v>
      </c>
      <c r="K130" s="16">
        <f t="shared" si="25"/>
        <v>252.3</v>
      </c>
      <c r="L130" s="14"/>
      <c r="M130" s="16">
        <f t="shared" si="21"/>
        <v>0</v>
      </c>
      <c r="N130" s="16">
        <f t="shared" si="21"/>
        <v>0</v>
      </c>
      <c r="O130" s="7">
        <f t="shared" si="22"/>
        <v>0</v>
      </c>
      <c r="P130" s="16">
        <v>0</v>
      </c>
      <c r="Q130" s="16">
        <v>0</v>
      </c>
      <c r="R130" s="7">
        <f t="shared" si="26"/>
        <v>0</v>
      </c>
      <c r="S130" s="16">
        <v>0</v>
      </c>
      <c r="T130" s="16">
        <v>0</v>
      </c>
      <c r="U130" s="7">
        <f t="shared" si="27"/>
        <v>0</v>
      </c>
      <c r="V130" s="14"/>
      <c r="W130" s="16">
        <v>0</v>
      </c>
      <c r="X130" s="16">
        <f t="shared" si="23"/>
        <v>0</v>
      </c>
      <c r="Y130" s="16">
        <f t="shared" si="17"/>
        <v>7.0000000000000007E-2</v>
      </c>
      <c r="Z130" s="14"/>
      <c r="AA130" s="16">
        <v>0</v>
      </c>
      <c r="AB130" s="16">
        <f t="shared" si="18"/>
        <v>0</v>
      </c>
      <c r="AC130" s="7">
        <f t="shared" si="24"/>
        <v>63.25</v>
      </c>
    </row>
    <row r="131" spans="2:30">
      <c r="B131" s="19">
        <v>45846</v>
      </c>
      <c r="C131" s="19"/>
      <c r="D131" s="13">
        <f t="shared" si="19"/>
        <v>1</v>
      </c>
      <c r="E131" s="16">
        <v>0</v>
      </c>
      <c r="F131" s="16">
        <v>0</v>
      </c>
      <c r="G131" s="7">
        <f t="shared" si="28"/>
        <v>123465.2442</v>
      </c>
      <c r="H131" s="14"/>
      <c r="I131" s="16">
        <v>0</v>
      </c>
      <c r="J131" s="16">
        <f t="shared" si="20"/>
        <v>33.83</v>
      </c>
      <c r="K131" s="16">
        <f t="shared" si="25"/>
        <v>286.13</v>
      </c>
      <c r="L131" s="14"/>
      <c r="M131" s="16">
        <f t="shared" si="21"/>
        <v>0</v>
      </c>
      <c r="N131" s="16">
        <f t="shared" si="21"/>
        <v>0</v>
      </c>
      <c r="O131" s="7">
        <f t="shared" si="22"/>
        <v>0</v>
      </c>
      <c r="P131" s="16">
        <v>0</v>
      </c>
      <c r="Q131" s="16">
        <v>0</v>
      </c>
      <c r="R131" s="7">
        <f t="shared" si="26"/>
        <v>0</v>
      </c>
      <c r="S131" s="16">
        <v>0</v>
      </c>
      <c r="T131" s="16">
        <v>0</v>
      </c>
      <c r="U131" s="7">
        <f t="shared" si="27"/>
        <v>0</v>
      </c>
      <c r="V131" s="14"/>
      <c r="W131" s="16">
        <v>0</v>
      </c>
      <c r="X131" s="16">
        <f t="shared" si="23"/>
        <v>0</v>
      </c>
      <c r="Y131" s="16">
        <f t="shared" si="17"/>
        <v>7.0000000000000007E-2</v>
      </c>
      <c r="Z131" s="14"/>
      <c r="AA131" s="16">
        <v>0</v>
      </c>
      <c r="AB131" s="16">
        <f t="shared" si="18"/>
        <v>0</v>
      </c>
      <c r="AC131" s="7">
        <f t="shared" si="24"/>
        <v>63.25</v>
      </c>
    </row>
    <row r="132" spans="2:30">
      <c r="B132" s="19">
        <v>45847</v>
      </c>
      <c r="C132" s="19"/>
      <c r="D132" s="13">
        <f t="shared" si="19"/>
        <v>1</v>
      </c>
      <c r="E132" s="16">
        <v>0</v>
      </c>
      <c r="F132" s="16">
        <v>0</v>
      </c>
      <c r="G132" s="7">
        <f t="shared" si="28"/>
        <v>123465.2442</v>
      </c>
      <c r="H132" s="14"/>
      <c r="I132" s="16">
        <v>0</v>
      </c>
      <c r="J132" s="16">
        <f t="shared" si="20"/>
        <v>33.83</v>
      </c>
      <c r="K132" s="16">
        <f t="shared" si="25"/>
        <v>319.95999999999998</v>
      </c>
      <c r="L132" s="14"/>
      <c r="M132" s="16">
        <f t="shared" si="21"/>
        <v>0</v>
      </c>
      <c r="N132" s="16">
        <f t="shared" si="21"/>
        <v>0</v>
      </c>
      <c r="O132" s="7">
        <f t="shared" si="22"/>
        <v>0</v>
      </c>
      <c r="P132" s="16">
        <v>0</v>
      </c>
      <c r="Q132" s="16">
        <v>0</v>
      </c>
      <c r="R132" s="7">
        <f t="shared" si="26"/>
        <v>0</v>
      </c>
      <c r="S132" s="16">
        <v>0</v>
      </c>
      <c r="T132" s="16">
        <v>0</v>
      </c>
      <c r="U132" s="7">
        <f t="shared" si="27"/>
        <v>0</v>
      </c>
      <c r="V132" s="14"/>
      <c r="W132" s="16">
        <v>0</v>
      </c>
      <c r="X132" s="16">
        <f t="shared" si="23"/>
        <v>0</v>
      </c>
      <c r="Y132" s="16">
        <f t="shared" si="17"/>
        <v>7.0000000000000007E-2</v>
      </c>
      <c r="Z132" s="14"/>
      <c r="AA132" s="16">
        <v>0</v>
      </c>
      <c r="AB132" s="16">
        <f t="shared" si="18"/>
        <v>0</v>
      </c>
      <c r="AC132" s="7">
        <f t="shared" si="24"/>
        <v>63.25</v>
      </c>
    </row>
    <row r="133" spans="2:30">
      <c r="B133" s="19">
        <v>45848</v>
      </c>
      <c r="C133" s="19"/>
      <c r="D133" s="13">
        <f t="shared" si="19"/>
        <v>1</v>
      </c>
      <c r="E133" s="16">
        <v>0</v>
      </c>
      <c r="F133" s="16">
        <v>0</v>
      </c>
      <c r="G133" s="7">
        <f t="shared" si="28"/>
        <v>123465.2442</v>
      </c>
      <c r="H133" s="14"/>
      <c r="I133" s="16">
        <v>0</v>
      </c>
      <c r="J133" s="16">
        <f t="shared" si="20"/>
        <v>33.83</v>
      </c>
      <c r="K133" s="16">
        <f t="shared" si="25"/>
        <v>353.79</v>
      </c>
      <c r="L133" s="14"/>
      <c r="M133" s="16">
        <f t="shared" si="21"/>
        <v>0</v>
      </c>
      <c r="N133" s="16">
        <f t="shared" si="21"/>
        <v>0</v>
      </c>
      <c r="O133" s="7">
        <f t="shared" si="22"/>
        <v>0</v>
      </c>
      <c r="P133" s="16">
        <v>0</v>
      </c>
      <c r="Q133" s="16">
        <v>0</v>
      </c>
      <c r="R133" s="7">
        <f t="shared" si="26"/>
        <v>0</v>
      </c>
      <c r="S133" s="16">
        <v>0</v>
      </c>
      <c r="T133" s="16">
        <v>0</v>
      </c>
      <c r="U133" s="7">
        <f t="shared" si="27"/>
        <v>0</v>
      </c>
      <c r="V133" s="14"/>
      <c r="W133" s="16">
        <v>0</v>
      </c>
      <c r="X133" s="16">
        <f t="shared" si="23"/>
        <v>0</v>
      </c>
      <c r="Y133" s="16">
        <f t="shared" ref="Y133:Y196" si="29">ROUND(Y132+X133-W133,2)</f>
        <v>7.0000000000000007E-2</v>
      </c>
      <c r="Z133" s="14"/>
      <c r="AA133" s="16">
        <v>0</v>
      </c>
      <c r="AB133" s="16">
        <f t="shared" ref="AB133:AB196" si="30">(I133+W133)*$AB$3</f>
        <v>0</v>
      </c>
      <c r="AC133" s="7">
        <f t="shared" si="24"/>
        <v>63.25</v>
      </c>
    </row>
    <row r="134" spans="2:30">
      <c r="B134" s="19">
        <v>45849</v>
      </c>
      <c r="C134" s="19"/>
      <c r="D134" s="13">
        <f t="shared" ref="D134:D197" si="31">B134-B133</f>
        <v>1</v>
      </c>
      <c r="E134" s="16">
        <v>0</v>
      </c>
      <c r="F134" s="16">
        <v>0</v>
      </c>
      <c r="G134" s="7">
        <f t="shared" si="28"/>
        <v>123465.2442</v>
      </c>
      <c r="H134" s="14"/>
      <c r="I134" s="16">
        <v>0</v>
      </c>
      <c r="J134" s="16">
        <f t="shared" ref="J134:J197" si="32">ROUND((G134-F134)*$B$3/$D$3*D134,2)</f>
        <v>33.83</v>
      </c>
      <c r="K134" s="16">
        <f t="shared" si="25"/>
        <v>387.62</v>
      </c>
      <c r="L134" s="14"/>
      <c r="M134" s="16">
        <f t="shared" ref="M134:N197" si="33">P134+S134</f>
        <v>0</v>
      </c>
      <c r="N134" s="16">
        <f t="shared" si="33"/>
        <v>0</v>
      </c>
      <c r="O134" s="7">
        <f t="shared" ref="O134:O197" si="34">O133+N134-M134</f>
        <v>0</v>
      </c>
      <c r="P134" s="16">
        <v>0</v>
      </c>
      <c r="Q134" s="16">
        <v>0</v>
      </c>
      <c r="R134" s="7">
        <f t="shared" si="26"/>
        <v>0</v>
      </c>
      <c r="S134" s="16">
        <v>0</v>
      </c>
      <c r="T134" s="16">
        <v>0</v>
      </c>
      <c r="U134" s="7">
        <f t="shared" si="27"/>
        <v>0</v>
      </c>
      <c r="V134" s="14"/>
      <c r="W134" s="16">
        <v>0</v>
      </c>
      <c r="X134" s="16">
        <f t="shared" ref="X134:X197" si="35">ROUND((O134-N134)*$M$3/$N$3*D134,2)</f>
        <v>0</v>
      </c>
      <c r="Y134" s="16">
        <f t="shared" si="29"/>
        <v>7.0000000000000007E-2</v>
      </c>
      <c r="Z134" s="14"/>
      <c r="AA134" s="16">
        <v>0</v>
      </c>
      <c r="AB134" s="16">
        <f t="shared" si="30"/>
        <v>0</v>
      </c>
      <c r="AC134" s="7">
        <f t="shared" ref="AC134:AC197" si="36">ROUND(AC133+AB134-AA134,2)</f>
        <v>63.25</v>
      </c>
    </row>
    <row r="135" spans="2:30">
      <c r="B135" s="19">
        <v>45850</v>
      </c>
      <c r="C135" s="19"/>
      <c r="D135" s="13">
        <f t="shared" si="31"/>
        <v>1</v>
      </c>
      <c r="E135" s="16">
        <v>0</v>
      </c>
      <c r="F135" s="16">
        <v>0</v>
      </c>
      <c r="G135" s="7">
        <f t="shared" si="28"/>
        <v>123465.2442</v>
      </c>
      <c r="H135" s="14"/>
      <c r="I135" s="16">
        <v>0</v>
      </c>
      <c r="J135" s="16">
        <f t="shared" si="32"/>
        <v>33.83</v>
      </c>
      <c r="K135" s="16">
        <f t="shared" ref="K135:K198" si="37">ROUND(K134+J135-I135,2)</f>
        <v>421.45</v>
      </c>
      <c r="L135" s="14"/>
      <c r="M135" s="16">
        <f t="shared" si="33"/>
        <v>0</v>
      </c>
      <c r="N135" s="16">
        <f t="shared" si="33"/>
        <v>0</v>
      </c>
      <c r="O135" s="7">
        <f t="shared" si="34"/>
        <v>0</v>
      </c>
      <c r="P135" s="16">
        <v>0</v>
      </c>
      <c r="Q135" s="16">
        <v>0</v>
      </c>
      <c r="R135" s="7">
        <f t="shared" si="26"/>
        <v>0</v>
      </c>
      <c r="S135" s="16">
        <v>0</v>
      </c>
      <c r="T135" s="16">
        <v>0</v>
      </c>
      <c r="U135" s="7">
        <f t="shared" si="27"/>
        <v>0</v>
      </c>
      <c r="V135" s="14"/>
      <c r="W135" s="16">
        <v>0</v>
      </c>
      <c r="X135" s="16">
        <f t="shared" si="35"/>
        <v>0</v>
      </c>
      <c r="Y135" s="16">
        <f t="shared" si="29"/>
        <v>7.0000000000000007E-2</v>
      </c>
      <c r="Z135" s="14"/>
      <c r="AA135" s="16">
        <v>0</v>
      </c>
      <c r="AB135" s="16">
        <f t="shared" si="30"/>
        <v>0</v>
      </c>
      <c r="AC135" s="7">
        <f t="shared" si="36"/>
        <v>63.25</v>
      </c>
    </row>
    <row r="136" spans="2:30">
      <c r="B136" s="19">
        <v>45851</v>
      </c>
      <c r="C136" s="19"/>
      <c r="D136" s="13">
        <f t="shared" si="31"/>
        <v>1</v>
      </c>
      <c r="E136" s="16">
        <v>0</v>
      </c>
      <c r="F136" s="16">
        <v>0</v>
      </c>
      <c r="G136" s="7">
        <f t="shared" si="28"/>
        <v>123465.2442</v>
      </c>
      <c r="H136" s="14"/>
      <c r="I136" s="16">
        <v>0</v>
      </c>
      <c r="J136" s="16">
        <f t="shared" si="32"/>
        <v>33.83</v>
      </c>
      <c r="K136" s="16">
        <f t="shared" si="37"/>
        <v>455.28</v>
      </c>
      <c r="L136" s="14"/>
      <c r="M136" s="16">
        <f t="shared" si="33"/>
        <v>0</v>
      </c>
      <c r="N136" s="16">
        <f t="shared" si="33"/>
        <v>0</v>
      </c>
      <c r="O136" s="7">
        <f t="shared" si="34"/>
        <v>0</v>
      </c>
      <c r="P136" s="16">
        <v>0</v>
      </c>
      <c r="Q136" s="16">
        <v>0</v>
      </c>
      <c r="R136" s="7">
        <f t="shared" si="26"/>
        <v>0</v>
      </c>
      <c r="S136" s="16">
        <v>0</v>
      </c>
      <c r="T136" s="16">
        <v>0</v>
      </c>
      <c r="U136" s="7">
        <f t="shared" si="27"/>
        <v>0</v>
      </c>
      <c r="V136" s="14"/>
      <c r="W136" s="16">
        <v>0</v>
      </c>
      <c r="X136" s="16">
        <f t="shared" si="35"/>
        <v>0</v>
      </c>
      <c r="Y136" s="16">
        <f t="shared" si="29"/>
        <v>7.0000000000000007E-2</v>
      </c>
      <c r="Z136" s="14"/>
      <c r="AA136" s="16">
        <v>0</v>
      </c>
      <c r="AB136" s="16">
        <f t="shared" si="30"/>
        <v>0</v>
      </c>
      <c r="AC136" s="7">
        <f t="shared" si="36"/>
        <v>63.25</v>
      </c>
    </row>
    <row r="137" spans="2:30" ht="17">
      <c r="B137" s="19">
        <v>45852</v>
      </c>
      <c r="C137" s="19"/>
      <c r="D137" s="13">
        <f t="shared" si="31"/>
        <v>1</v>
      </c>
      <c r="E137" s="16">
        <v>0</v>
      </c>
      <c r="F137" s="16">
        <v>0</v>
      </c>
      <c r="G137" s="7">
        <f t="shared" si="28"/>
        <v>123465.2442</v>
      </c>
      <c r="H137" s="14"/>
      <c r="I137" s="16">
        <v>0</v>
      </c>
      <c r="J137" s="16">
        <f t="shared" si="32"/>
        <v>33.83</v>
      </c>
      <c r="K137" s="16">
        <f t="shared" si="37"/>
        <v>489.11</v>
      </c>
      <c r="L137" s="14"/>
      <c r="M137" s="16">
        <f t="shared" si="33"/>
        <v>0</v>
      </c>
      <c r="N137" s="16">
        <f t="shared" si="33"/>
        <v>0</v>
      </c>
      <c r="O137" s="7">
        <f t="shared" si="34"/>
        <v>0</v>
      </c>
      <c r="P137" s="16">
        <v>0</v>
      </c>
      <c r="Q137" s="16">
        <v>0</v>
      </c>
      <c r="R137" s="7">
        <f t="shared" si="26"/>
        <v>0</v>
      </c>
      <c r="S137" s="16">
        <v>0</v>
      </c>
      <c r="T137" s="16">
        <v>0</v>
      </c>
      <c r="U137" s="7">
        <f t="shared" si="27"/>
        <v>0</v>
      </c>
      <c r="V137" s="14"/>
      <c r="W137" s="16">
        <v>0</v>
      </c>
      <c r="X137" s="16">
        <f t="shared" si="35"/>
        <v>0</v>
      </c>
      <c r="Y137" s="16">
        <f t="shared" si="29"/>
        <v>7.0000000000000007E-2</v>
      </c>
      <c r="Z137" s="14"/>
      <c r="AA137" s="22">
        <f>AC136</f>
        <v>63.25</v>
      </c>
      <c r="AB137" s="16">
        <f t="shared" si="30"/>
        <v>0</v>
      </c>
      <c r="AC137" s="69">
        <f t="shared" si="36"/>
        <v>0</v>
      </c>
      <c r="AD137" s="71" t="s">
        <v>48</v>
      </c>
    </row>
    <row r="138" spans="2:30">
      <c r="B138" s="19">
        <v>45853</v>
      </c>
      <c r="C138" s="19"/>
      <c r="D138" s="13">
        <f t="shared" si="31"/>
        <v>1</v>
      </c>
      <c r="E138" s="16">
        <v>0</v>
      </c>
      <c r="F138" s="16">
        <v>0</v>
      </c>
      <c r="G138" s="7">
        <f t="shared" si="28"/>
        <v>123465.2442</v>
      </c>
      <c r="H138" s="14"/>
      <c r="I138" s="16">
        <v>0</v>
      </c>
      <c r="J138" s="16">
        <f t="shared" si="32"/>
        <v>33.83</v>
      </c>
      <c r="K138" s="16">
        <f t="shared" si="37"/>
        <v>522.94000000000005</v>
      </c>
      <c r="L138" s="14"/>
      <c r="M138" s="16">
        <f t="shared" si="33"/>
        <v>0</v>
      </c>
      <c r="N138" s="16">
        <f t="shared" si="33"/>
        <v>0</v>
      </c>
      <c r="O138" s="7">
        <f t="shared" si="34"/>
        <v>0</v>
      </c>
      <c r="P138" s="16">
        <v>0</v>
      </c>
      <c r="Q138" s="16">
        <v>0</v>
      </c>
      <c r="R138" s="7">
        <f t="shared" si="26"/>
        <v>0</v>
      </c>
      <c r="S138" s="16">
        <v>0</v>
      </c>
      <c r="T138" s="16">
        <v>0</v>
      </c>
      <c r="U138" s="7">
        <f t="shared" si="27"/>
        <v>0</v>
      </c>
      <c r="V138" s="14"/>
      <c r="W138" s="16">
        <v>0</v>
      </c>
      <c r="X138" s="16">
        <f t="shared" si="35"/>
        <v>0</v>
      </c>
      <c r="Y138" s="16">
        <f t="shared" si="29"/>
        <v>7.0000000000000007E-2</v>
      </c>
      <c r="Z138" s="14"/>
      <c r="AA138" s="16">
        <v>0</v>
      </c>
      <c r="AB138" s="16">
        <f t="shared" si="30"/>
        <v>0</v>
      </c>
      <c r="AC138" s="7">
        <f t="shared" si="36"/>
        <v>0</v>
      </c>
    </row>
    <row r="139" spans="2:30">
      <c r="B139" s="19">
        <v>45854</v>
      </c>
      <c r="C139" s="19"/>
      <c r="D139" s="13">
        <f t="shared" si="31"/>
        <v>1</v>
      </c>
      <c r="E139" s="16">
        <v>0</v>
      </c>
      <c r="F139" s="16">
        <v>0</v>
      </c>
      <c r="G139" s="7">
        <f t="shared" si="28"/>
        <v>123465.2442</v>
      </c>
      <c r="H139" s="14"/>
      <c r="I139" s="16">
        <v>0</v>
      </c>
      <c r="J139" s="16">
        <f t="shared" si="32"/>
        <v>33.83</v>
      </c>
      <c r="K139" s="16">
        <f t="shared" si="37"/>
        <v>556.77</v>
      </c>
      <c r="L139" s="14"/>
      <c r="M139" s="16">
        <f t="shared" si="33"/>
        <v>0</v>
      </c>
      <c r="N139" s="16">
        <f t="shared" si="33"/>
        <v>0</v>
      </c>
      <c r="O139" s="7">
        <f t="shared" si="34"/>
        <v>0</v>
      </c>
      <c r="P139" s="16">
        <v>0</v>
      </c>
      <c r="Q139" s="16">
        <v>0</v>
      </c>
      <c r="R139" s="7">
        <f t="shared" si="26"/>
        <v>0</v>
      </c>
      <c r="S139" s="16">
        <v>0</v>
      </c>
      <c r="T139" s="16">
        <v>0</v>
      </c>
      <c r="U139" s="7">
        <f t="shared" si="27"/>
        <v>0</v>
      </c>
      <c r="V139" s="14"/>
      <c r="W139" s="16">
        <v>0</v>
      </c>
      <c r="X139" s="16">
        <f t="shared" si="35"/>
        <v>0</v>
      </c>
      <c r="Y139" s="16">
        <f t="shared" si="29"/>
        <v>7.0000000000000007E-2</v>
      </c>
      <c r="Z139" s="14"/>
      <c r="AA139" s="16">
        <v>0</v>
      </c>
      <c r="AB139" s="16">
        <f t="shared" si="30"/>
        <v>0</v>
      </c>
      <c r="AC139" s="7">
        <f t="shared" si="36"/>
        <v>0</v>
      </c>
    </row>
    <row r="140" spans="2:30">
      <c r="B140" s="19">
        <v>45855</v>
      </c>
      <c r="C140" s="19"/>
      <c r="D140" s="13">
        <f t="shared" si="31"/>
        <v>1</v>
      </c>
      <c r="E140" s="16">
        <v>0</v>
      </c>
      <c r="F140" s="16">
        <v>0</v>
      </c>
      <c r="G140" s="7">
        <f t="shared" si="28"/>
        <v>123465.2442</v>
      </c>
      <c r="H140" s="14"/>
      <c r="I140" s="16">
        <v>0</v>
      </c>
      <c r="J140" s="16">
        <f t="shared" si="32"/>
        <v>33.83</v>
      </c>
      <c r="K140" s="16">
        <f t="shared" si="37"/>
        <v>590.6</v>
      </c>
      <c r="L140" s="14"/>
      <c r="M140" s="16">
        <f t="shared" si="33"/>
        <v>0</v>
      </c>
      <c r="N140" s="16">
        <f t="shared" si="33"/>
        <v>0</v>
      </c>
      <c r="O140" s="7">
        <f t="shared" si="34"/>
        <v>0</v>
      </c>
      <c r="P140" s="16">
        <v>0</v>
      </c>
      <c r="Q140" s="16">
        <v>0</v>
      </c>
      <c r="R140" s="7">
        <f t="shared" si="26"/>
        <v>0</v>
      </c>
      <c r="S140" s="16">
        <v>0</v>
      </c>
      <c r="T140" s="16">
        <v>0</v>
      </c>
      <c r="U140" s="7">
        <f t="shared" si="27"/>
        <v>0</v>
      </c>
      <c r="V140" s="14"/>
      <c r="W140" s="16">
        <v>0</v>
      </c>
      <c r="X140" s="16">
        <f t="shared" si="35"/>
        <v>0</v>
      </c>
      <c r="Y140" s="16">
        <f t="shared" si="29"/>
        <v>7.0000000000000007E-2</v>
      </c>
      <c r="Z140" s="14"/>
      <c r="AA140" s="16">
        <v>0</v>
      </c>
      <c r="AB140" s="16">
        <f t="shared" si="30"/>
        <v>0</v>
      </c>
      <c r="AC140" s="7">
        <f t="shared" si="36"/>
        <v>0</v>
      </c>
    </row>
    <row r="141" spans="2:30">
      <c r="B141" s="19">
        <v>45856</v>
      </c>
      <c r="C141" s="19"/>
      <c r="D141" s="13">
        <f t="shared" si="31"/>
        <v>1</v>
      </c>
      <c r="E141" s="16">
        <v>0</v>
      </c>
      <c r="F141" s="16">
        <v>0</v>
      </c>
      <c r="G141" s="7">
        <f t="shared" si="28"/>
        <v>123465.2442</v>
      </c>
      <c r="H141" s="14"/>
      <c r="I141" s="16">
        <v>0</v>
      </c>
      <c r="J141" s="16">
        <f t="shared" si="32"/>
        <v>33.83</v>
      </c>
      <c r="K141" s="16">
        <f t="shared" si="37"/>
        <v>624.42999999999995</v>
      </c>
      <c r="L141" s="14"/>
      <c r="M141" s="16">
        <f t="shared" si="33"/>
        <v>0</v>
      </c>
      <c r="N141" s="16">
        <f t="shared" si="33"/>
        <v>0</v>
      </c>
      <c r="O141" s="7">
        <f t="shared" si="34"/>
        <v>0</v>
      </c>
      <c r="P141" s="16">
        <v>0</v>
      </c>
      <c r="Q141" s="16">
        <v>0</v>
      </c>
      <c r="R141" s="7">
        <f t="shared" si="26"/>
        <v>0</v>
      </c>
      <c r="S141" s="16">
        <v>0</v>
      </c>
      <c r="T141" s="16">
        <v>0</v>
      </c>
      <c r="U141" s="7">
        <f t="shared" si="27"/>
        <v>0</v>
      </c>
      <c r="V141" s="14"/>
      <c r="W141" s="16">
        <v>0</v>
      </c>
      <c r="X141" s="16">
        <f t="shared" si="35"/>
        <v>0</v>
      </c>
      <c r="Y141" s="16">
        <f t="shared" si="29"/>
        <v>7.0000000000000007E-2</v>
      </c>
      <c r="Z141" s="14"/>
      <c r="AA141" s="16">
        <v>0</v>
      </c>
      <c r="AB141" s="16">
        <f t="shared" si="30"/>
        <v>0</v>
      </c>
      <c r="AC141" s="7">
        <f t="shared" si="36"/>
        <v>0</v>
      </c>
    </row>
    <row r="142" spans="2:30">
      <c r="B142" s="19">
        <v>45857</v>
      </c>
      <c r="C142" s="19"/>
      <c r="D142" s="13">
        <f t="shared" si="31"/>
        <v>1</v>
      </c>
      <c r="E142" s="16">
        <v>0</v>
      </c>
      <c r="F142" s="16">
        <v>0</v>
      </c>
      <c r="G142" s="7">
        <f t="shared" si="28"/>
        <v>123465.2442</v>
      </c>
      <c r="H142" s="14"/>
      <c r="I142" s="16">
        <v>0</v>
      </c>
      <c r="J142" s="16">
        <f t="shared" si="32"/>
        <v>33.83</v>
      </c>
      <c r="K142" s="16">
        <f t="shared" si="37"/>
        <v>658.26</v>
      </c>
      <c r="L142" s="14"/>
      <c r="M142" s="16">
        <f t="shared" si="33"/>
        <v>0</v>
      </c>
      <c r="N142" s="16">
        <f t="shared" si="33"/>
        <v>0</v>
      </c>
      <c r="O142" s="7">
        <f t="shared" si="34"/>
        <v>0</v>
      </c>
      <c r="P142" s="16">
        <v>0</v>
      </c>
      <c r="Q142" s="16">
        <v>0</v>
      </c>
      <c r="R142" s="7">
        <f t="shared" si="26"/>
        <v>0</v>
      </c>
      <c r="S142" s="16">
        <v>0</v>
      </c>
      <c r="T142" s="16">
        <v>0</v>
      </c>
      <c r="U142" s="7">
        <f t="shared" si="27"/>
        <v>0</v>
      </c>
      <c r="V142" s="14"/>
      <c r="W142" s="16">
        <v>0</v>
      </c>
      <c r="X142" s="16">
        <f t="shared" si="35"/>
        <v>0</v>
      </c>
      <c r="Y142" s="16">
        <f t="shared" si="29"/>
        <v>7.0000000000000007E-2</v>
      </c>
      <c r="Z142" s="14"/>
      <c r="AA142" s="16">
        <v>0</v>
      </c>
      <c r="AB142" s="16">
        <f t="shared" si="30"/>
        <v>0</v>
      </c>
      <c r="AC142" s="7">
        <f t="shared" si="36"/>
        <v>0</v>
      </c>
    </row>
    <row r="143" spans="2:30">
      <c r="B143" s="19">
        <v>45858</v>
      </c>
      <c r="C143" s="19"/>
      <c r="D143" s="13">
        <f t="shared" si="31"/>
        <v>1</v>
      </c>
      <c r="E143" s="16">
        <v>0</v>
      </c>
      <c r="F143" s="16">
        <v>0</v>
      </c>
      <c r="G143" s="7">
        <f t="shared" si="28"/>
        <v>123465.2442</v>
      </c>
      <c r="H143" s="14"/>
      <c r="I143" s="16">
        <v>0</v>
      </c>
      <c r="J143" s="16">
        <f t="shared" si="32"/>
        <v>33.83</v>
      </c>
      <c r="K143" s="16">
        <f t="shared" si="37"/>
        <v>692.09</v>
      </c>
      <c r="L143" s="14"/>
      <c r="M143" s="16">
        <f t="shared" si="33"/>
        <v>0</v>
      </c>
      <c r="N143" s="16">
        <f t="shared" si="33"/>
        <v>0</v>
      </c>
      <c r="O143" s="7">
        <f t="shared" si="34"/>
        <v>0</v>
      </c>
      <c r="P143" s="16">
        <v>0</v>
      </c>
      <c r="Q143" s="16">
        <v>0</v>
      </c>
      <c r="R143" s="7">
        <f t="shared" si="26"/>
        <v>0</v>
      </c>
      <c r="S143" s="16">
        <v>0</v>
      </c>
      <c r="T143" s="16">
        <v>0</v>
      </c>
      <c r="U143" s="7">
        <f t="shared" si="27"/>
        <v>0</v>
      </c>
      <c r="V143" s="14"/>
      <c r="W143" s="16">
        <v>0</v>
      </c>
      <c r="X143" s="16">
        <f t="shared" si="35"/>
        <v>0</v>
      </c>
      <c r="Y143" s="16">
        <f t="shared" si="29"/>
        <v>7.0000000000000007E-2</v>
      </c>
      <c r="Z143" s="14"/>
      <c r="AA143" s="16">
        <v>0</v>
      </c>
      <c r="AB143" s="16">
        <f t="shared" si="30"/>
        <v>0</v>
      </c>
      <c r="AC143" s="7">
        <f t="shared" si="36"/>
        <v>0</v>
      </c>
    </row>
    <row r="144" spans="2:30">
      <c r="B144" s="19">
        <v>45859</v>
      </c>
      <c r="C144" s="19"/>
      <c r="D144" s="13">
        <f t="shared" si="31"/>
        <v>1</v>
      </c>
      <c r="E144" s="16">
        <v>0</v>
      </c>
      <c r="F144" s="16">
        <v>0</v>
      </c>
      <c r="G144" s="7">
        <f t="shared" si="28"/>
        <v>123465.2442</v>
      </c>
      <c r="H144" s="14"/>
      <c r="I144" s="16">
        <v>0</v>
      </c>
      <c r="J144" s="16">
        <f t="shared" si="32"/>
        <v>33.83</v>
      </c>
      <c r="K144" s="16">
        <f t="shared" si="37"/>
        <v>725.92</v>
      </c>
      <c r="L144" s="14"/>
      <c r="M144" s="16">
        <f t="shared" si="33"/>
        <v>0</v>
      </c>
      <c r="N144" s="16">
        <f t="shared" si="33"/>
        <v>0</v>
      </c>
      <c r="O144" s="7">
        <f t="shared" si="34"/>
        <v>0</v>
      </c>
      <c r="P144" s="16">
        <v>0</v>
      </c>
      <c r="Q144" s="16">
        <v>0</v>
      </c>
      <c r="R144" s="7">
        <f t="shared" si="26"/>
        <v>0</v>
      </c>
      <c r="S144" s="16">
        <v>0</v>
      </c>
      <c r="T144" s="16">
        <v>0</v>
      </c>
      <c r="U144" s="7">
        <f t="shared" si="27"/>
        <v>0</v>
      </c>
      <c r="V144" s="14"/>
      <c r="W144" s="16">
        <v>0</v>
      </c>
      <c r="X144" s="16">
        <f t="shared" si="35"/>
        <v>0</v>
      </c>
      <c r="Y144" s="16">
        <f t="shared" si="29"/>
        <v>7.0000000000000007E-2</v>
      </c>
      <c r="Z144" s="14"/>
      <c r="AA144" s="16">
        <v>0</v>
      </c>
      <c r="AB144" s="16">
        <f t="shared" si="30"/>
        <v>0</v>
      </c>
      <c r="AC144" s="7">
        <f t="shared" si="36"/>
        <v>0</v>
      </c>
    </row>
    <row r="145" spans="2:30">
      <c r="B145" s="19">
        <v>45860</v>
      </c>
      <c r="C145" s="19"/>
      <c r="D145" s="13">
        <f t="shared" si="31"/>
        <v>1</v>
      </c>
      <c r="E145" s="16">
        <v>0</v>
      </c>
      <c r="F145" s="16">
        <v>0</v>
      </c>
      <c r="G145" s="7">
        <f t="shared" si="28"/>
        <v>123465.2442</v>
      </c>
      <c r="H145" s="14"/>
      <c r="I145" s="16">
        <v>0</v>
      </c>
      <c r="J145" s="16">
        <f t="shared" si="32"/>
        <v>33.83</v>
      </c>
      <c r="K145" s="16">
        <f t="shared" si="37"/>
        <v>759.75</v>
      </c>
      <c r="L145" s="14"/>
      <c r="M145" s="16">
        <f t="shared" si="33"/>
        <v>0</v>
      </c>
      <c r="N145" s="16">
        <f t="shared" si="33"/>
        <v>0</v>
      </c>
      <c r="O145" s="7">
        <f t="shared" si="34"/>
        <v>0</v>
      </c>
      <c r="P145" s="16">
        <v>0</v>
      </c>
      <c r="Q145" s="16">
        <v>0</v>
      </c>
      <c r="R145" s="7">
        <f t="shared" si="26"/>
        <v>0</v>
      </c>
      <c r="S145" s="16">
        <v>0</v>
      </c>
      <c r="T145" s="16">
        <v>0</v>
      </c>
      <c r="U145" s="7">
        <f t="shared" si="27"/>
        <v>0</v>
      </c>
      <c r="V145" s="14"/>
      <c r="W145" s="16">
        <v>0</v>
      </c>
      <c r="X145" s="16">
        <f t="shared" si="35"/>
        <v>0</v>
      </c>
      <c r="Y145" s="16">
        <f t="shared" si="29"/>
        <v>7.0000000000000007E-2</v>
      </c>
      <c r="Z145" s="14"/>
      <c r="AA145" s="16">
        <v>0</v>
      </c>
      <c r="AB145" s="16">
        <f t="shared" si="30"/>
        <v>0</v>
      </c>
      <c r="AC145" s="7">
        <f t="shared" si="36"/>
        <v>0</v>
      </c>
    </row>
    <row r="146" spans="2:30">
      <c r="B146" s="19">
        <v>45861</v>
      </c>
      <c r="C146" s="19"/>
      <c r="D146" s="13">
        <f t="shared" si="31"/>
        <v>1</v>
      </c>
      <c r="E146" s="16">
        <v>0</v>
      </c>
      <c r="F146" s="16">
        <v>0</v>
      </c>
      <c r="G146" s="7">
        <f t="shared" si="28"/>
        <v>123465.2442</v>
      </c>
      <c r="H146" s="14"/>
      <c r="I146" s="16">
        <v>0</v>
      </c>
      <c r="J146" s="16">
        <f t="shared" si="32"/>
        <v>33.83</v>
      </c>
      <c r="K146" s="16">
        <f t="shared" si="37"/>
        <v>793.58</v>
      </c>
      <c r="L146" s="14"/>
      <c r="M146" s="16">
        <f t="shared" si="33"/>
        <v>0</v>
      </c>
      <c r="N146" s="16">
        <f t="shared" si="33"/>
        <v>0</v>
      </c>
      <c r="O146" s="7">
        <f t="shared" si="34"/>
        <v>0</v>
      </c>
      <c r="P146" s="16">
        <v>0</v>
      </c>
      <c r="Q146" s="16">
        <v>0</v>
      </c>
      <c r="R146" s="7">
        <f t="shared" si="26"/>
        <v>0</v>
      </c>
      <c r="S146" s="16">
        <v>0</v>
      </c>
      <c r="T146" s="16">
        <v>0</v>
      </c>
      <c r="U146" s="7">
        <f t="shared" si="27"/>
        <v>0</v>
      </c>
      <c r="V146" s="14"/>
      <c r="W146" s="16">
        <v>0</v>
      </c>
      <c r="X146" s="16">
        <f t="shared" si="35"/>
        <v>0</v>
      </c>
      <c r="Y146" s="16">
        <f t="shared" si="29"/>
        <v>7.0000000000000007E-2</v>
      </c>
      <c r="Z146" s="14"/>
      <c r="AA146" s="16">
        <v>0</v>
      </c>
      <c r="AB146" s="16">
        <f t="shared" si="30"/>
        <v>0</v>
      </c>
      <c r="AC146" s="7">
        <f t="shared" si="36"/>
        <v>0</v>
      </c>
    </row>
    <row r="147" spans="2:30">
      <c r="B147" s="19">
        <v>45862</v>
      </c>
      <c r="C147" s="19"/>
      <c r="D147" s="13">
        <f t="shared" si="31"/>
        <v>1</v>
      </c>
      <c r="E147" s="16">
        <v>0</v>
      </c>
      <c r="F147" s="16">
        <v>0</v>
      </c>
      <c r="G147" s="7">
        <f t="shared" si="28"/>
        <v>123465.2442</v>
      </c>
      <c r="H147" s="14"/>
      <c r="I147" s="16">
        <v>0</v>
      </c>
      <c r="J147" s="16">
        <f t="shared" si="32"/>
        <v>33.83</v>
      </c>
      <c r="K147" s="16">
        <f t="shared" si="37"/>
        <v>827.41</v>
      </c>
      <c r="L147" s="14"/>
      <c r="M147" s="16">
        <f t="shared" si="33"/>
        <v>0</v>
      </c>
      <c r="N147" s="16">
        <f t="shared" si="33"/>
        <v>0</v>
      </c>
      <c r="O147" s="7">
        <f t="shared" si="34"/>
        <v>0</v>
      </c>
      <c r="P147" s="16">
        <v>0</v>
      </c>
      <c r="Q147" s="16">
        <v>0</v>
      </c>
      <c r="R147" s="7">
        <f t="shared" si="26"/>
        <v>0</v>
      </c>
      <c r="S147" s="16">
        <v>0</v>
      </c>
      <c r="T147" s="16">
        <v>0</v>
      </c>
      <c r="U147" s="7">
        <f t="shared" si="27"/>
        <v>0</v>
      </c>
      <c r="V147" s="14"/>
      <c r="W147" s="16">
        <v>0</v>
      </c>
      <c r="X147" s="16">
        <f t="shared" si="35"/>
        <v>0</v>
      </c>
      <c r="Y147" s="16">
        <f t="shared" si="29"/>
        <v>7.0000000000000007E-2</v>
      </c>
      <c r="Z147" s="14"/>
      <c r="AA147" s="16">
        <v>0</v>
      </c>
      <c r="AB147" s="16">
        <f t="shared" si="30"/>
        <v>0</v>
      </c>
      <c r="AC147" s="7">
        <f t="shared" si="36"/>
        <v>0</v>
      </c>
    </row>
    <row r="148" spans="2:30">
      <c r="B148" s="19">
        <v>45863</v>
      </c>
      <c r="C148" s="19"/>
      <c r="D148" s="13">
        <f t="shared" si="31"/>
        <v>1</v>
      </c>
      <c r="E148" s="16">
        <v>0</v>
      </c>
      <c r="F148" s="16">
        <v>0</v>
      </c>
      <c r="G148" s="7">
        <f t="shared" si="28"/>
        <v>123465.2442</v>
      </c>
      <c r="H148" s="14"/>
      <c r="I148" s="16">
        <v>0</v>
      </c>
      <c r="J148" s="16">
        <f t="shared" si="32"/>
        <v>33.83</v>
      </c>
      <c r="K148" s="16">
        <f t="shared" si="37"/>
        <v>861.24</v>
      </c>
      <c r="L148" s="14"/>
      <c r="M148" s="16">
        <f t="shared" si="33"/>
        <v>0</v>
      </c>
      <c r="N148" s="16">
        <f t="shared" si="33"/>
        <v>0</v>
      </c>
      <c r="O148" s="7">
        <f t="shared" si="34"/>
        <v>0</v>
      </c>
      <c r="P148" s="16">
        <v>0</v>
      </c>
      <c r="Q148" s="16">
        <v>0</v>
      </c>
      <c r="R148" s="7">
        <f t="shared" si="26"/>
        <v>0</v>
      </c>
      <c r="S148" s="16">
        <v>0</v>
      </c>
      <c r="T148" s="16">
        <v>0</v>
      </c>
      <c r="U148" s="7">
        <f t="shared" si="27"/>
        <v>0</v>
      </c>
      <c r="V148" s="14"/>
      <c r="W148" s="16">
        <v>0</v>
      </c>
      <c r="X148" s="16">
        <f t="shared" si="35"/>
        <v>0</v>
      </c>
      <c r="Y148" s="16">
        <f t="shared" si="29"/>
        <v>7.0000000000000007E-2</v>
      </c>
      <c r="Z148" s="14"/>
      <c r="AA148" s="16">
        <v>0</v>
      </c>
      <c r="AB148" s="16">
        <f t="shared" si="30"/>
        <v>0</v>
      </c>
      <c r="AC148" s="7">
        <f t="shared" si="36"/>
        <v>0</v>
      </c>
    </row>
    <row r="149" spans="2:30">
      <c r="B149" s="19">
        <v>45864</v>
      </c>
      <c r="C149" s="19"/>
      <c r="D149" s="13">
        <f t="shared" si="31"/>
        <v>1</v>
      </c>
      <c r="E149" s="16">
        <v>0</v>
      </c>
      <c r="F149" s="16">
        <v>0</v>
      </c>
      <c r="G149" s="7">
        <f t="shared" si="28"/>
        <v>123465.2442</v>
      </c>
      <c r="H149" s="14"/>
      <c r="I149" s="16">
        <v>0</v>
      </c>
      <c r="J149" s="16">
        <f t="shared" si="32"/>
        <v>33.83</v>
      </c>
      <c r="K149" s="16">
        <f t="shared" si="37"/>
        <v>895.07</v>
      </c>
      <c r="L149" s="14"/>
      <c r="M149" s="16">
        <f t="shared" si="33"/>
        <v>0</v>
      </c>
      <c r="N149" s="16">
        <f t="shared" si="33"/>
        <v>0</v>
      </c>
      <c r="O149" s="7">
        <f t="shared" si="34"/>
        <v>0</v>
      </c>
      <c r="P149" s="16">
        <v>0</v>
      </c>
      <c r="Q149" s="16">
        <v>0</v>
      </c>
      <c r="R149" s="7">
        <f t="shared" si="26"/>
        <v>0</v>
      </c>
      <c r="S149" s="16">
        <v>0</v>
      </c>
      <c r="T149" s="16">
        <v>0</v>
      </c>
      <c r="U149" s="7">
        <f t="shared" si="27"/>
        <v>0</v>
      </c>
      <c r="V149" s="14"/>
      <c r="W149" s="16">
        <v>0</v>
      </c>
      <c r="X149" s="16">
        <f t="shared" si="35"/>
        <v>0</v>
      </c>
      <c r="Y149" s="16">
        <f t="shared" si="29"/>
        <v>7.0000000000000007E-2</v>
      </c>
      <c r="Z149" s="14"/>
      <c r="AA149" s="16">
        <v>0</v>
      </c>
      <c r="AB149" s="16">
        <f t="shared" si="30"/>
        <v>0</v>
      </c>
      <c r="AC149" s="7">
        <f t="shared" si="36"/>
        <v>0</v>
      </c>
    </row>
    <row r="150" spans="2:30">
      <c r="B150" s="19">
        <v>45865</v>
      </c>
      <c r="C150" s="19"/>
      <c r="D150" s="13">
        <f t="shared" si="31"/>
        <v>1</v>
      </c>
      <c r="E150" s="16">
        <v>0</v>
      </c>
      <c r="F150" s="16">
        <v>0</v>
      </c>
      <c r="G150" s="7">
        <f t="shared" si="28"/>
        <v>123465.2442</v>
      </c>
      <c r="H150" s="14"/>
      <c r="I150" s="16">
        <v>0</v>
      </c>
      <c r="J150" s="16">
        <f t="shared" si="32"/>
        <v>33.83</v>
      </c>
      <c r="K150" s="16">
        <f t="shared" si="37"/>
        <v>928.9</v>
      </c>
      <c r="L150" s="14"/>
      <c r="M150" s="16">
        <f t="shared" si="33"/>
        <v>0</v>
      </c>
      <c r="N150" s="16">
        <f t="shared" si="33"/>
        <v>0</v>
      </c>
      <c r="O150" s="7">
        <f t="shared" si="34"/>
        <v>0</v>
      </c>
      <c r="P150" s="16">
        <v>0</v>
      </c>
      <c r="Q150" s="16">
        <v>0</v>
      </c>
      <c r="R150" s="7">
        <f t="shared" si="26"/>
        <v>0</v>
      </c>
      <c r="S150" s="16">
        <v>0</v>
      </c>
      <c r="T150" s="16">
        <v>0</v>
      </c>
      <c r="U150" s="7">
        <f t="shared" si="27"/>
        <v>0</v>
      </c>
      <c r="V150" s="14"/>
      <c r="W150" s="16">
        <v>0</v>
      </c>
      <c r="X150" s="16">
        <f t="shared" si="35"/>
        <v>0</v>
      </c>
      <c r="Y150" s="16">
        <f t="shared" si="29"/>
        <v>7.0000000000000007E-2</v>
      </c>
      <c r="Z150" s="14"/>
      <c r="AA150" s="16">
        <v>0</v>
      </c>
      <c r="AB150" s="16">
        <f t="shared" si="30"/>
        <v>0</v>
      </c>
      <c r="AC150" s="7">
        <f t="shared" si="36"/>
        <v>0</v>
      </c>
    </row>
    <row r="151" spans="2:30">
      <c r="B151" s="19">
        <v>45866</v>
      </c>
      <c r="C151" s="19"/>
      <c r="D151" s="13">
        <f t="shared" si="31"/>
        <v>1</v>
      </c>
      <c r="E151" s="16">
        <v>0</v>
      </c>
      <c r="F151" s="16">
        <v>0</v>
      </c>
      <c r="G151" s="7">
        <f t="shared" si="28"/>
        <v>123465.2442</v>
      </c>
      <c r="H151" s="14"/>
      <c r="I151" s="16">
        <v>0</v>
      </c>
      <c r="J151" s="16">
        <f t="shared" si="32"/>
        <v>33.83</v>
      </c>
      <c r="K151" s="16">
        <f t="shared" si="37"/>
        <v>962.73</v>
      </c>
      <c r="L151" s="14"/>
      <c r="M151" s="16">
        <f t="shared" si="33"/>
        <v>0</v>
      </c>
      <c r="N151" s="16">
        <f t="shared" si="33"/>
        <v>0</v>
      </c>
      <c r="O151" s="7">
        <f t="shared" si="34"/>
        <v>0</v>
      </c>
      <c r="P151" s="16">
        <v>0</v>
      </c>
      <c r="Q151" s="16">
        <v>0</v>
      </c>
      <c r="R151" s="7">
        <f t="shared" si="26"/>
        <v>0</v>
      </c>
      <c r="S151" s="16">
        <v>0</v>
      </c>
      <c r="T151" s="16">
        <v>0</v>
      </c>
      <c r="U151" s="7">
        <f t="shared" si="27"/>
        <v>0</v>
      </c>
      <c r="V151" s="14"/>
      <c r="W151" s="16">
        <v>0</v>
      </c>
      <c r="X151" s="16">
        <f t="shared" si="35"/>
        <v>0</v>
      </c>
      <c r="Y151" s="16">
        <f t="shared" si="29"/>
        <v>7.0000000000000007E-2</v>
      </c>
      <c r="Z151" s="14"/>
      <c r="AA151" s="16">
        <v>0</v>
      </c>
      <c r="AB151" s="16">
        <f t="shared" si="30"/>
        <v>0</v>
      </c>
      <c r="AC151" s="7">
        <f t="shared" si="36"/>
        <v>0</v>
      </c>
    </row>
    <row r="152" spans="2:30">
      <c r="B152" s="19">
        <v>45867</v>
      </c>
      <c r="C152" s="19"/>
      <c r="D152" s="13">
        <f t="shared" si="31"/>
        <v>1</v>
      </c>
      <c r="E152" s="16">
        <v>0</v>
      </c>
      <c r="F152" s="16">
        <v>0</v>
      </c>
      <c r="G152" s="7">
        <f t="shared" si="28"/>
        <v>123465.2442</v>
      </c>
      <c r="H152" s="14"/>
      <c r="I152" s="16">
        <v>0</v>
      </c>
      <c r="J152" s="16">
        <f t="shared" si="32"/>
        <v>33.83</v>
      </c>
      <c r="K152" s="16">
        <f t="shared" si="37"/>
        <v>996.56</v>
      </c>
      <c r="L152" s="14"/>
      <c r="M152" s="16">
        <f t="shared" si="33"/>
        <v>0</v>
      </c>
      <c r="N152" s="16">
        <f t="shared" si="33"/>
        <v>0</v>
      </c>
      <c r="O152" s="7">
        <f t="shared" si="34"/>
        <v>0</v>
      </c>
      <c r="P152" s="16">
        <v>0</v>
      </c>
      <c r="Q152" s="16">
        <v>0</v>
      </c>
      <c r="R152" s="7">
        <f t="shared" si="26"/>
        <v>0</v>
      </c>
      <c r="S152" s="16">
        <v>0</v>
      </c>
      <c r="T152" s="16">
        <v>0</v>
      </c>
      <c r="U152" s="7">
        <f t="shared" si="27"/>
        <v>0</v>
      </c>
      <c r="V152" s="14"/>
      <c r="W152" s="16">
        <v>0</v>
      </c>
      <c r="X152" s="16">
        <f t="shared" si="35"/>
        <v>0</v>
      </c>
      <c r="Y152" s="16">
        <f t="shared" si="29"/>
        <v>7.0000000000000007E-2</v>
      </c>
      <c r="Z152" s="14"/>
      <c r="AA152" s="16">
        <v>0</v>
      </c>
      <c r="AB152" s="16">
        <f t="shared" si="30"/>
        <v>0</v>
      </c>
      <c r="AC152" s="7">
        <f t="shared" si="36"/>
        <v>0</v>
      </c>
    </row>
    <row r="153" spans="2:30">
      <c r="B153" s="19">
        <v>45868</v>
      </c>
      <c r="C153" s="19"/>
      <c r="D153" s="13">
        <f t="shared" si="31"/>
        <v>1</v>
      </c>
      <c r="E153" s="16">
        <v>0</v>
      </c>
      <c r="F153" s="16">
        <v>0</v>
      </c>
      <c r="G153" s="7">
        <f t="shared" si="28"/>
        <v>123465.2442</v>
      </c>
      <c r="H153" s="14"/>
      <c r="I153" s="16">
        <v>0</v>
      </c>
      <c r="J153" s="16">
        <f t="shared" si="32"/>
        <v>33.83</v>
      </c>
      <c r="K153" s="16">
        <f t="shared" si="37"/>
        <v>1030.3900000000001</v>
      </c>
      <c r="L153" s="14"/>
      <c r="M153" s="16">
        <f t="shared" si="33"/>
        <v>0</v>
      </c>
      <c r="N153" s="16">
        <f t="shared" si="33"/>
        <v>0</v>
      </c>
      <c r="O153" s="7">
        <f t="shared" si="34"/>
        <v>0</v>
      </c>
      <c r="P153" s="16">
        <v>0</v>
      </c>
      <c r="Q153" s="16">
        <v>0</v>
      </c>
      <c r="R153" s="7">
        <f t="shared" si="26"/>
        <v>0</v>
      </c>
      <c r="S153" s="16">
        <v>0</v>
      </c>
      <c r="T153" s="16">
        <v>0</v>
      </c>
      <c r="U153" s="7">
        <f t="shared" si="27"/>
        <v>0</v>
      </c>
      <c r="V153" s="14"/>
      <c r="W153" s="16">
        <v>0</v>
      </c>
      <c r="X153" s="16">
        <f t="shared" si="35"/>
        <v>0</v>
      </c>
      <c r="Y153" s="16">
        <f t="shared" si="29"/>
        <v>7.0000000000000007E-2</v>
      </c>
      <c r="Z153" s="14"/>
      <c r="AA153" s="16">
        <v>0</v>
      </c>
      <c r="AB153" s="16">
        <f t="shared" si="30"/>
        <v>0</v>
      </c>
      <c r="AC153" s="7">
        <f t="shared" si="36"/>
        <v>0</v>
      </c>
    </row>
    <row r="154" spans="2:30" ht="136">
      <c r="B154" s="19">
        <v>45869</v>
      </c>
      <c r="C154" s="19"/>
      <c r="D154" s="13">
        <f t="shared" si="31"/>
        <v>1</v>
      </c>
      <c r="E154" s="16">
        <v>0</v>
      </c>
      <c r="F154" s="16">
        <v>0</v>
      </c>
      <c r="G154" s="7">
        <f>G153+F154-E154</f>
        <v>123465.2442</v>
      </c>
      <c r="H154" s="14"/>
      <c r="I154" s="21">
        <f>K153</f>
        <v>1030.3900000000001</v>
      </c>
      <c r="J154" s="16">
        <f t="shared" si="32"/>
        <v>33.83</v>
      </c>
      <c r="K154" s="16">
        <f t="shared" si="37"/>
        <v>33.83</v>
      </c>
      <c r="L154" s="14"/>
      <c r="M154" s="16">
        <f>P154+S154</f>
        <v>0</v>
      </c>
      <c r="N154" s="21">
        <f>Q154+T154</f>
        <v>968.63240000000008</v>
      </c>
      <c r="O154" s="10">
        <f>O153+N154-M154</f>
        <v>968.63240000000008</v>
      </c>
      <c r="P154" s="16">
        <v>0</v>
      </c>
      <c r="Q154" s="16">
        <v>0</v>
      </c>
      <c r="R154" s="7">
        <f t="shared" si="26"/>
        <v>0</v>
      </c>
      <c r="S154" s="16">
        <v>0</v>
      </c>
      <c r="T154" s="21">
        <f>(I154+W154)-AB154</f>
        <v>968.63240000000008</v>
      </c>
      <c r="U154" s="7">
        <f t="shared" si="27"/>
        <v>968.63240000000008</v>
      </c>
      <c r="V154" s="14"/>
      <c r="W154" s="21">
        <f>Y153</f>
        <v>7.0000000000000007E-2</v>
      </c>
      <c r="X154" s="16">
        <f>ROUND((O154-N154)*$M$3/$N$3*D154,2)</f>
        <v>0</v>
      </c>
      <c r="Y154" s="16">
        <f t="shared" si="29"/>
        <v>0</v>
      </c>
      <c r="Z154" s="14"/>
      <c r="AA154" s="16">
        <v>0</v>
      </c>
      <c r="AB154" s="16">
        <f t="shared" si="30"/>
        <v>61.827599999999997</v>
      </c>
      <c r="AC154" s="69">
        <f t="shared" si="36"/>
        <v>61.83</v>
      </c>
      <c r="AD154" s="23" t="s">
        <v>17</v>
      </c>
    </row>
    <row r="155" spans="2:30">
      <c r="B155" s="19">
        <v>45870</v>
      </c>
      <c r="C155" s="19"/>
      <c r="D155" s="13">
        <f t="shared" si="31"/>
        <v>1</v>
      </c>
      <c r="E155" s="16">
        <v>0</v>
      </c>
      <c r="F155" s="16">
        <v>0</v>
      </c>
      <c r="G155" s="7">
        <f t="shared" si="28"/>
        <v>123465.2442</v>
      </c>
      <c r="H155" s="14"/>
      <c r="I155" s="16">
        <v>0</v>
      </c>
      <c r="J155" s="16">
        <f t="shared" si="32"/>
        <v>33.83</v>
      </c>
      <c r="K155" s="16">
        <f t="shared" si="37"/>
        <v>67.66</v>
      </c>
      <c r="L155" s="14"/>
      <c r="M155" s="16">
        <f t="shared" si="33"/>
        <v>0</v>
      </c>
      <c r="N155" s="16">
        <f t="shared" si="33"/>
        <v>0</v>
      </c>
      <c r="O155" s="7">
        <f t="shared" si="34"/>
        <v>968.63240000000008</v>
      </c>
      <c r="P155" s="16">
        <v>0</v>
      </c>
      <c r="Q155" s="16">
        <v>0</v>
      </c>
      <c r="R155" s="7">
        <f t="shared" si="26"/>
        <v>0</v>
      </c>
      <c r="S155" s="16">
        <v>0</v>
      </c>
      <c r="T155" s="16">
        <v>0</v>
      </c>
      <c r="U155" s="7">
        <f t="shared" si="27"/>
        <v>968.63240000000008</v>
      </c>
      <c r="V155" s="14"/>
      <c r="W155" s="16">
        <v>0</v>
      </c>
      <c r="X155" s="16">
        <f t="shared" si="35"/>
        <v>0.03</v>
      </c>
      <c r="Y155" s="16">
        <f t="shared" si="29"/>
        <v>0.03</v>
      </c>
      <c r="Z155" s="14"/>
      <c r="AA155" s="16">
        <v>0</v>
      </c>
      <c r="AB155" s="16">
        <f t="shared" si="30"/>
        <v>0</v>
      </c>
      <c r="AC155" s="7">
        <f t="shared" si="36"/>
        <v>61.83</v>
      </c>
    </row>
    <row r="156" spans="2:30">
      <c r="B156" s="19">
        <v>45871</v>
      </c>
      <c r="C156" s="19"/>
      <c r="D156" s="13">
        <f t="shared" si="31"/>
        <v>1</v>
      </c>
      <c r="E156" s="16">
        <v>0</v>
      </c>
      <c r="F156" s="16">
        <v>0</v>
      </c>
      <c r="G156" s="7">
        <f t="shared" si="28"/>
        <v>123465.2442</v>
      </c>
      <c r="H156" s="14"/>
      <c r="I156" s="16">
        <v>0</v>
      </c>
      <c r="J156" s="16">
        <f t="shared" si="32"/>
        <v>33.83</v>
      </c>
      <c r="K156" s="16">
        <f t="shared" si="37"/>
        <v>101.49</v>
      </c>
      <c r="L156" s="14"/>
      <c r="M156" s="16">
        <f t="shared" si="33"/>
        <v>0</v>
      </c>
      <c r="N156" s="16">
        <f t="shared" si="33"/>
        <v>0</v>
      </c>
      <c r="O156" s="7">
        <f t="shared" si="34"/>
        <v>968.63240000000008</v>
      </c>
      <c r="P156" s="16">
        <v>0</v>
      </c>
      <c r="Q156" s="16">
        <v>0</v>
      </c>
      <c r="R156" s="7">
        <f t="shared" si="26"/>
        <v>0</v>
      </c>
      <c r="S156" s="16">
        <v>0</v>
      </c>
      <c r="T156" s="16">
        <v>0</v>
      </c>
      <c r="U156" s="7">
        <f t="shared" si="27"/>
        <v>968.63240000000008</v>
      </c>
      <c r="V156" s="14"/>
      <c r="W156" s="16">
        <v>0</v>
      </c>
      <c r="X156" s="16">
        <f t="shared" si="35"/>
        <v>0.03</v>
      </c>
      <c r="Y156" s="16">
        <f t="shared" si="29"/>
        <v>0.06</v>
      </c>
      <c r="Z156" s="14"/>
      <c r="AA156" s="16">
        <v>0</v>
      </c>
      <c r="AB156" s="16">
        <f t="shared" si="30"/>
        <v>0</v>
      </c>
      <c r="AC156" s="7">
        <f t="shared" si="36"/>
        <v>61.83</v>
      </c>
    </row>
    <row r="157" spans="2:30">
      <c r="B157" s="19">
        <v>45872</v>
      </c>
      <c r="C157" s="19"/>
      <c r="D157" s="13">
        <f t="shared" si="31"/>
        <v>1</v>
      </c>
      <c r="E157" s="16">
        <v>0</v>
      </c>
      <c r="F157" s="16">
        <v>0</v>
      </c>
      <c r="G157" s="7">
        <f t="shared" si="28"/>
        <v>123465.2442</v>
      </c>
      <c r="H157" s="14"/>
      <c r="I157" s="16">
        <v>0</v>
      </c>
      <c r="J157" s="16">
        <f t="shared" si="32"/>
        <v>33.83</v>
      </c>
      <c r="K157" s="16">
        <f t="shared" si="37"/>
        <v>135.32</v>
      </c>
      <c r="L157" s="14"/>
      <c r="M157" s="16">
        <f t="shared" si="33"/>
        <v>0</v>
      </c>
      <c r="N157" s="16">
        <f t="shared" si="33"/>
        <v>0</v>
      </c>
      <c r="O157" s="7">
        <f t="shared" si="34"/>
        <v>968.63240000000008</v>
      </c>
      <c r="P157" s="16">
        <v>0</v>
      </c>
      <c r="Q157" s="16">
        <v>0</v>
      </c>
      <c r="R157" s="7">
        <f t="shared" si="26"/>
        <v>0</v>
      </c>
      <c r="S157" s="16">
        <v>0</v>
      </c>
      <c r="T157" s="16">
        <v>0</v>
      </c>
      <c r="U157" s="7">
        <f t="shared" si="27"/>
        <v>968.63240000000008</v>
      </c>
      <c r="V157" s="14"/>
      <c r="W157" s="16">
        <v>0</v>
      </c>
      <c r="X157" s="16">
        <f t="shared" si="35"/>
        <v>0.03</v>
      </c>
      <c r="Y157" s="16">
        <f t="shared" si="29"/>
        <v>0.09</v>
      </c>
      <c r="Z157" s="14"/>
      <c r="AA157" s="16">
        <v>0</v>
      </c>
      <c r="AB157" s="16">
        <f t="shared" si="30"/>
        <v>0</v>
      </c>
      <c r="AC157" s="7">
        <f t="shared" si="36"/>
        <v>61.83</v>
      </c>
    </row>
    <row r="158" spans="2:30">
      <c r="B158" s="19">
        <v>45873</v>
      </c>
      <c r="C158" s="19"/>
      <c r="D158" s="13">
        <f t="shared" si="31"/>
        <v>1</v>
      </c>
      <c r="E158" s="16">
        <v>0</v>
      </c>
      <c r="F158" s="16">
        <v>0</v>
      </c>
      <c r="G158" s="7">
        <f t="shared" si="28"/>
        <v>123465.2442</v>
      </c>
      <c r="H158" s="14"/>
      <c r="I158" s="16">
        <v>0</v>
      </c>
      <c r="J158" s="16">
        <f t="shared" si="32"/>
        <v>33.83</v>
      </c>
      <c r="K158" s="16">
        <f t="shared" si="37"/>
        <v>169.15</v>
      </c>
      <c r="L158" s="14"/>
      <c r="M158" s="16">
        <f t="shared" si="33"/>
        <v>0</v>
      </c>
      <c r="N158" s="16">
        <f t="shared" si="33"/>
        <v>0</v>
      </c>
      <c r="O158" s="7">
        <f t="shared" si="34"/>
        <v>968.63240000000008</v>
      </c>
      <c r="P158" s="16">
        <v>0</v>
      </c>
      <c r="Q158" s="16">
        <v>0</v>
      </c>
      <c r="R158" s="7">
        <f t="shared" si="26"/>
        <v>0</v>
      </c>
      <c r="S158" s="16">
        <v>0</v>
      </c>
      <c r="T158" s="16">
        <v>0</v>
      </c>
      <c r="U158" s="7">
        <f t="shared" si="27"/>
        <v>968.63240000000008</v>
      </c>
      <c r="V158" s="14"/>
      <c r="W158" s="16">
        <v>0</v>
      </c>
      <c r="X158" s="16">
        <f t="shared" si="35"/>
        <v>0.03</v>
      </c>
      <c r="Y158" s="16">
        <f t="shared" si="29"/>
        <v>0.12</v>
      </c>
      <c r="Z158" s="14"/>
      <c r="AA158" s="16">
        <v>0</v>
      </c>
      <c r="AB158" s="16">
        <f t="shared" si="30"/>
        <v>0</v>
      </c>
      <c r="AC158" s="7">
        <f t="shared" si="36"/>
        <v>61.83</v>
      </c>
    </row>
    <row r="159" spans="2:30" ht="34">
      <c r="B159" s="19">
        <v>45874</v>
      </c>
      <c r="C159" s="19"/>
      <c r="D159" s="13">
        <f t="shared" si="31"/>
        <v>1</v>
      </c>
      <c r="E159" s="16">
        <v>0</v>
      </c>
      <c r="F159" s="14">
        <v>10000</v>
      </c>
      <c r="G159" s="7">
        <f t="shared" si="28"/>
        <v>133465.24420000002</v>
      </c>
      <c r="H159" s="14"/>
      <c r="I159" s="16">
        <v>0</v>
      </c>
      <c r="J159" s="16">
        <f t="shared" si="32"/>
        <v>33.83</v>
      </c>
      <c r="K159" s="16">
        <f>ROUND(K158+J159-I159,2)</f>
        <v>202.98</v>
      </c>
      <c r="L159" s="14"/>
      <c r="M159" s="16">
        <f t="shared" si="33"/>
        <v>0</v>
      </c>
      <c r="N159" s="16">
        <f t="shared" si="33"/>
        <v>0</v>
      </c>
      <c r="O159" s="7">
        <f t="shared" si="34"/>
        <v>968.63240000000008</v>
      </c>
      <c r="P159" s="16">
        <v>0</v>
      </c>
      <c r="Q159" s="16">
        <v>0</v>
      </c>
      <c r="R159" s="7">
        <f t="shared" si="26"/>
        <v>0</v>
      </c>
      <c r="S159" s="16">
        <v>0</v>
      </c>
      <c r="T159" s="16">
        <v>0</v>
      </c>
      <c r="U159" s="7">
        <f t="shared" si="27"/>
        <v>968.63240000000008</v>
      </c>
      <c r="V159" s="14"/>
      <c r="W159" s="16">
        <v>0</v>
      </c>
      <c r="X159" s="16">
        <f t="shared" si="35"/>
        <v>0.03</v>
      </c>
      <c r="Y159" s="16">
        <f t="shared" si="29"/>
        <v>0.15</v>
      </c>
      <c r="Z159" s="14"/>
      <c r="AA159" s="16">
        <v>0</v>
      </c>
      <c r="AB159" s="16">
        <f t="shared" si="30"/>
        <v>0</v>
      </c>
      <c r="AC159" s="7">
        <f t="shared" si="36"/>
        <v>61.83</v>
      </c>
      <c r="AD159" s="65" t="s">
        <v>15</v>
      </c>
    </row>
    <row r="160" spans="2:30">
      <c r="B160" s="19">
        <v>45875</v>
      </c>
      <c r="C160" s="19"/>
      <c r="D160" s="13">
        <f t="shared" si="31"/>
        <v>1</v>
      </c>
      <c r="E160" s="16">
        <v>0</v>
      </c>
      <c r="F160" s="16">
        <v>0</v>
      </c>
      <c r="G160" s="7">
        <f t="shared" si="28"/>
        <v>133465.24420000002</v>
      </c>
      <c r="H160" s="14"/>
      <c r="I160" s="16">
        <v>0</v>
      </c>
      <c r="J160" s="16">
        <f t="shared" si="32"/>
        <v>36.57</v>
      </c>
      <c r="K160" s="16">
        <f t="shared" si="37"/>
        <v>239.55</v>
      </c>
      <c r="L160" s="14"/>
      <c r="M160" s="16">
        <f t="shared" si="33"/>
        <v>0</v>
      </c>
      <c r="N160" s="16">
        <f t="shared" si="33"/>
        <v>0</v>
      </c>
      <c r="O160" s="7">
        <f t="shared" si="34"/>
        <v>968.63240000000008</v>
      </c>
      <c r="P160" s="16">
        <v>0</v>
      </c>
      <c r="Q160" s="16">
        <v>0</v>
      </c>
      <c r="R160" s="7">
        <f t="shared" si="26"/>
        <v>0</v>
      </c>
      <c r="S160" s="16">
        <v>0</v>
      </c>
      <c r="T160" s="16">
        <v>0</v>
      </c>
      <c r="U160" s="7">
        <f t="shared" si="27"/>
        <v>968.63240000000008</v>
      </c>
      <c r="V160" s="14"/>
      <c r="W160" s="16">
        <v>0</v>
      </c>
      <c r="X160" s="16">
        <f t="shared" si="35"/>
        <v>0.03</v>
      </c>
      <c r="Y160" s="16">
        <f t="shared" si="29"/>
        <v>0.18</v>
      </c>
      <c r="Z160" s="14"/>
      <c r="AA160" s="16">
        <v>0</v>
      </c>
      <c r="AB160" s="16">
        <f t="shared" si="30"/>
        <v>0</v>
      </c>
      <c r="AC160" s="7">
        <f t="shared" si="36"/>
        <v>61.83</v>
      </c>
    </row>
    <row r="161" spans="2:30">
      <c r="B161" s="19">
        <v>45876</v>
      </c>
      <c r="C161" s="19"/>
      <c r="D161" s="13">
        <f t="shared" si="31"/>
        <v>1</v>
      </c>
      <c r="E161" s="16">
        <v>0</v>
      </c>
      <c r="F161" s="16">
        <v>0</v>
      </c>
      <c r="G161" s="7">
        <f t="shared" si="28"/>
        <v>133465.24420000002</v>
      </c>
      <c r="H161" s="14"/>
      <c r="I161" s="16">
        <v>0</v>
      </c>
      <c r="J161" s="16">
        <f t="shared" si="32"/>
        <v>36.57</v>
      </c>
      <c r="K161" s="16">
        <f t="shared" si="37"/>
        <v>276.12</v>
      </c>
      <c r="L161" s="14"/>
      <c r="M161" s="16">
        <f t="shared" si="33"/>
        <v>0</v>
      </c>
      <c r="N161" s="16">
        <f t="shared" si="33"/>
        <v>0</v>
      </c>
      <c r="O161" s="7">
        <f t="shared" si="34"/>
        <v>968.63240000000008</v>
      </c>
      <c r="P161" s="16">
        <v>0</v>
      </c>
      <c r="Q161" s="16">
        <v>0</v>
      </c>
      <c r="R161" s="7">
        <f t="shared" si="26"/>
        <v>0</v>
      </c>
      <c r="S161" s="16">
        <v>0</v>
      </c>
      <c r="T161" s="16">
        <v>0</v>
      </c>
      <c r="U161" s="7">
        <f t="shared" si="27"/>
        <v>968.63240000000008</v>
      </c>
      <c r="V161" s="14"/>
      <c r="W161" s="16">
        <v>0</v>
      </c>
      <c r="X161" s="16">
        <f t="shared" si="35"/>
        <v>0.03</v>
      </c>
      <c r="Y161" s="16">
        <f t="shared" si="29"/>
        <v>0.21</v>
      </c>
      <c r="Z161" s="14"/>
      <c r="AA161" s="16">
        <v>0</v>
      </c>
      <c r="AB161" s="16">
        <f t="shared" si="30"/>
        <v>0</v>
      </c>
      <c r="AC161" s="7">
        <f t="shared" si="36"/>
        <v>61.83</v>
      </c>
    </row>
    <row r="162" spans="2:30">
      <c r="B162" s="19">
        <v>45877</v>
      </c>
      <c r="C162" s="19"/>
      <c r="D162" s="13">
        <f t="shared" si="31"/>
        <v>1</v>
      </c>
      <c r="E162" s="16">
        <v>0</v>
      </c>
      <c r="F162" s="16">
        <v>0</v>
      </c>
      <c r="G162" s="7">
        <f t="shared" si="28"/>
        <v>133465.24420000002</v>
      </c>
      <c r="H162" s="14"/>
      <c r="I162" s="16">
        <v>0</v>
      </c>
      <c r="J162" s="16">
        <f t="shared" si="32"/>
        <v>36.57</v>
      </c>
      <c r="K162" s="16">
        <f t="shared" si="37"/>
        <v>312.69</v>
      </c>
      <c r="L162" s="14"/>
      <c r="M162" s="16">
        <f t="shared" si="33"/>
        <v>0</v>
      </c>
      <c r="N162" s="16">
        <f t="shared" si="33"/>
        <v>0</v>
      </c>
      <c r="O162" s="7">
        <f t="shared" si="34"/>
        <v>968.63240000000008</v>
      </c>
      <c r="P162" s="16">
        <v>0</v>
      </c>
      <c r="Q162" s="16">
        <v>0</v>
      </c>
      <c r="R162" s="7">
        <f t="shared" si="26"/>
        <v>0</v>
      </c>
      <c r="S162" s="16">
        <v>0</v>
      </c>
      <c r="T162" s="16">
        <v>0</v>
      </c>
      <c r="U162" s="7">
        <f t="shared" si="27"/>
        <v>968.63240000000008</v>
      </c>
      <c r="V162" s="14"/>
      <c r="W162" s="16">
        <v>0</v>
      </c>
      <c r="X162" s="16">
        <f t="shared" si="35"/>
        <v>0.03</v>
      </c>
      <c r="Y162" s="16">
        <f t="shared" si="29"/>
        <v>0.24</v>
      </c>
      <c r="Z162" s="14"/>
      <c r="AA162" s="16">
        <v>0</v>
      </c>
      <c r="AB162" s="16">
        <f t="shared" si="30"/>
        <v>0</v>
      </c>
      <c r="AC162" s="7">
        <f t="shared" si="36"/>
        <v>61.83</v>
      </c>
    </row>
    <row r="163" spans="2:30">
      <c r="B163" s="19">
        <v>45878</v>
      </c>
      <c r="C163" s="19"/>
      <c r="D163" s="13">
        <f t="shared" si="31"/>
        <v>1</v>
      </c>
      <c r="E163" s="16">
        <v>0</v>
      </c>
      <c r="F163" s="16">
        <v>0</v>
      </c>
      <c r="G163" s="7">
        <f t="shared" si="28"/>
        <v>133465.24420000002</v>
      </c>
      <c r="H163" s="14"/>
      <c r="I163" s="16">
        <v>0</v>
      </c>
      <c r="J163" s="16">
        <f t="shared" si="32"/>
        <v>36.57</v>
      </c>
      <c r="K163" s="16">
        <f t="shared" si="37"/>
        <v>349.26</v>
      </c>
      <c r="L163" s="14"/>
      <c r="M163" s="16">
        <f t="shared" si="33"/>
        <v>0</v>
      </c>
      <c r="N163" s="16">
        <f t="shared" si="33"/>
        <v>0</v>
      </c>
      <c r="O163" s="7">
        <f t="shared" si="34"/>
        <v>968.63240000000008</v>
      </c>
      <c r="P163" s="16">
        <v>0</v>
      </c>
      <c r="Q163" s="16">
        <v>0</v>
      </c>
      <c r="R163" s="7">
        <f t="shared" si="26"/>
        <v>0</v>
      </c>
      <c r="S163" s="16">
        <v>0</v>
      </c>
      <c r="T163" s="16">
        <v>0</v>
      </c>
      <c r="U163" s="7">
        <f t="shared" si="27"/>
        <v>968.63240000000008</v>
      </c>
      <c r="V163" s="14"/>
      <c r="W163" s="16">
        <v>0</v>
      </c>
      <c r="X163" s="16">
        <f t="shared" si="35"/>
        <v>0.03</v>
      </c>
      <c r="Y163" s="16">
        <f t="shared" si="29"/>
        <v>0.27</v>
      </c>
      <c r="Z163" s="14"/>
      <c r="AA163" s="16">
        <v>0</v>
      </c>
      <c r="AB163" s="16">
        <f t="shared" si="30"/>
        <v>0</v>
      </c>
      <c r="AC163" s="7">
        <f t="shared" si="36"/>
        <v>61.83</v>
      </c>
    </row>
    <row r="164" spans="2:30">
      <c r="B164" s="19">
        <v>45879</v>
      </c>
      <c r="C164" s="19"/>
      <c r="D164" s="13">
        <f t="shared" si="31"/>
        <v>1</v>
      </c>
      <c r="E164" s="16">
        <v>0</v>
      </c>
      <c r="F164" s="16">
        <v>0</v>
      </c>
      <c r="G164" s="7">
        <f t="shared" si="28"/>
        <v>133465.24420000002</v>
      </c>
      <c r="H164" s="14"/>
      <c r="I164" s="16">
        <v>0</v>
      </c>
      <c r="J164" s="16">
        <f t="shared" si="32"/>
        <v>36.57</v>
      </c>
      <c r="K164" s="16">
        <f t="shared" si="37"/>
        <v>385.83</v>
      </c>
      <c r="L164" s="14"/>
      <c r="M164" s="16">
        <f t="shared" si="33"/>
        <v>0</v>
      </c>
      <c r="N164" s="16">
        <f t="shared" si="33"/>
        <v>0</v>
      </c>
      <c r="O164" s="7">
        <f t="shared" si="34"/>
        <v>968.63240000000008</v>
      </c>
      <c r="P164" s="16">
        <v>0</v>
      </c>
      <c r="Q164" s="16">
        <v>0</v>
      </c>
      <c r="R164" s="7">
        <f t="shared" si="26"/>
        <v>0</v>
      </c>
      <c r="S164" s="16">
        <v>0</v>
      </c>
      <c r="T164" s="16">
        <v>0</v>
      </c>
      <c r="U164" s="7">
        <f t="shared" si="27"/>
        <v>968.63240000000008</v>
      </c>
      <c r="V164" s="14"/>
      <c r="W164" s="16">
        <v>0</v>
      </c>
      <c r="X164" s="16">
        <f t="shared" si="35"/>
        <v>0.03</v>
      </c>
      <c r="Y164" s="16">
        <f t="shared" si="29"/>
        <v>0.3</v>
      </c>
      <c r="Z164" s="14"/>
      <c r="AA164" s="16">
        <v>0</v>
      </c>
      <c r="AB164" s="16">
        <f t="shared" si="30"/>
        <v>0</v>
      </c>
      <c r="AC164" s="7">
        <f t="shared" si="36"/>
        <v>61.83</v>
      </c>
    </row>
    <row r="165" spans="2:30">
      <c r="B165" s="19">
        <v>45880</v>
      </c>
      <c r="C165" s="19"/>
      <c r="D165" s="13">
        <f t="shared" si="31"/>
        <v>1</v>
      </c>
      <c r="E165" s="16">
        <v>0</v>
      </c>
      <c r="F165" s="16">
        <v>0</v>
      </c>
      <c r="G165" s="7">
        <f t="shared" si="28"/>
        <v>133465.24420000002</v>
      </c>
      <c r="H165" s="14"/>
      <c r="I165" s="16">
        <v>0</v>
      </c>
      <c r="J165" s="16">
        <f t="shared" si="32"/>
        <v>36.57</v>
      </c>
      <c r="K165" s="16">
        <f t="shared" si="37"/>
        <v>422.4</v>
      </c>
      <c r="L165" s="14"/>
      <c r="M165" s="16">
        <f t="shared" si="33"/>
        <v>0</v>
      </c>
      <c r="N165" s="16">
        <f t="shared" si="33"/>
        <v>0</v>
      </c>
      <c r="O165" s="7">
        <f t="shared" si="34"/>
        <v>968.63240000000008</v>
      </c>
      <c r="P165" s="16">
        <v>0</v>
      </c>
      <c r="Q165" s="16">
        <v>0</v>
      </c>
      <c r="R165" s="7">
        <f t="shared" si="26"/>
        <v>0</v>
      </c>
      <c r="S165" s="16">
        <v>0</v>
      </c>
      <c r="T165" s="16">
        <v>0</v>
      </c>
      <c r="U165" s="7">
        <f t="shared" si="27"/>
        <v>968.63240000000008</v>
      </c>
      <c r="V165" s="14"/>
      <c r="W165" s="16">
        <v>0</v>
      </c>
      <c r="X165" s="16">
        <f t="shared" si="35"/>
        <v>0.03</v>
      </c>
      <c r="Y165" s="16">
        <f t="shared" si="29"/>
        <v>0.33</v>
      </c>
      <c r="Z165" s="14"/>
      <c r="AA165" s="16">
        <v>0</v>
      </c>
      <c r="AB165" s="16">
        <f t="shared" si="30"/>
        <v>0</v>
      </c>
      <c r="AC165" s="7">
        <f t="shared" si="36"/>
        <v>61.83</v>
      </c>
    </row>
    <row r="166" spans="2:30">
      <c r="B166" s="19">
        <v>45881</v>
      </c>
      <c r="C166" s="19"/>
      <c r="D166" s="13">
        <f t="shared" si="31"/>
        <v>1</v>
      </c>
      <c r="E166" s="16">
        <v>0</v>
      </c>
      <c r="F166" s="16">
        <v>0</v>
      </c>
      <c r="G166" s="7">
        <f t="shared" si="28"/>
        <v>133465.24420000002</v>
      </c>
      <c r="H166" s="14"/>
      <c r="I166" s="16">
        <v>0</v>
      </c>
      <c r="J166" s="16">
        <f t="shared" si="32"/>
        <v>36.57</v>
      </c>
      <c r="K166" s="16">
        <f t="shared" si="37"/>
        <v>458.97</v>
      </c>
      <c r="L166" s="14"/>
      <c r="M166" s="16">
        <f t="shared" si="33"/>
        <v>0</v>
      </c>
      <c r="N166" s="16">
        <f t="shared" si="33"/>
        <v>0</v>
      </c>
      <c r="O166" s="7">
        <f t="shared" si="34"/>
        <v>968.63240000000008</v>
      </c>
      <c r="P166" s="16">
        <v>0</v>
      </c>
      <c r="Q166" s="16">
        <v>0</v>
      </c>
      <c r="R166" s="7">
        <f t="shared" si="26"/>
        <v>0</v>
      </c>
      <c r="S166" s="16">
        <v>0</v>
      </c>
      <c r="T166" s="16">
        <v>0</v>
      </c>
      <c r="U166" s="7">
        <f t="shared" si="27"/>
        <v>968.63240000000008</v>
      </c>
      <c r="V166" s="14"/>
      <c r="W166" s="16">
        <v>0</v>
      </c>
      <c r="X166" s="16">
        <f t="shared" si="35"/>
        <v>0.03</v>
      </c>
      <c r="Y166" s="16">
        <f t="shared" si="29"/>
        <v>0.36</v>
      </c>
      <c r="Z166" s="14"/>
      <c r="AA166" s="16">
        <v>0</v>
      </c>
      <c r="AB166" s="16">
        <f t="shared" si="30"/>
        <v>0</v>
      </c>
      <c r="AC166" s="7">
        <f t="shared" si="36"/>
        <v>61.83</v>
      </c>
    </row>
    <row r="167" spans="2:30">
      <c r="B167" s="19">
        <v>45882</v>
      </c>
      <c r="C167" s="19"/>
      <c r="D167" s="13">
        <f t="shared" si="31"/>
        <v>1</v>
      </c>
      <c r="E167" s="16">
        <v>0</v>
      </c>
      <c r="F167" s="16">
        <v>0</v>
      </c>
      <c r="G167" s="7">
        <f t="shared" si="28"/>
        <v>133465.24420000002</v>
      </c>
      <c r="H167" s="14"/>
      <c r="I167" s="16">
        <v>0</v>
      </c>
      <c r="J167" s="16">
        <f t="shared" si="32"/>
        <v>36.57</v>
      </c>
      <c r="K167" s="16">
        <f t="shared" si="37"/>
        <v>495.54</v>
      </c>
      <c r="L167" s="14"/>
      <c r="M167" s="16">
        <f t="shared" si="33"/>
        <v>0</v>
      </c>
      <c r="N167" s="16">
        <f t="shared" si="33"/>
        <v>0</v>
      </c>
      <c r="O167" s="7">
        <f t="shared" si="34"/>
        <v>968.63240000000008</v>
      </c>
      <c r="P167" s="16">
        <v>0</v>
      </c>
      <c r="Q167" s="16">
        <v>0</v>
      </c>
      <c r="R167" s="7">
        <f t="shared" ref="R167:R230" si="38">R166+Q167-P167</f>
        <v>0</v>
      </c>
      <c r="S167" s="16">
        <v>0</v>
      </c>
      <c r="T167" s="16">
        <v>0</v>
      </c>
      <c r="U167" s="7">
        <f t="shared" ref="U167:U230" si="39">U166+T167-S167</f>
        <v>968.63240000000008</v>
      </c>
      <c r="V167" s="14"/>
      <c r="W167" s="16">
        <v>0</v>
      </c>
      <c r="X167" s="16">
        <f t="shared" si="35"/>
        <v>0.03</v>
      </c>
      <c r="Y167" s="16">
        <f t="shared" si="29"/>
        <v>0.39</v>
      </c>
      <c r="Z167" s="14"/>
      <c r="AA167" s="16">
        <v>0</v>
      </c>
      <c r="AB167" s="16">
        <f t="shared" si="30"/>
        <v>0</v>
      </c>
      <c r="AC167" s="7">
        <f t="shared" si="36"/>
        <v>61.83</v>
      </c>
    </row>
    <row r="168" spans="2:30" ht="17">
      <c r="B168" s="19">
        <v>45883</v>
      </c>
      <c r="C168" s="19"/>
      <c r="D168" s="13">
        <f t="shared" si="31"/>
        <v>1</v>
      </c>
      <c r="E168" s="16">
        <v>0</v>
      </c>
      <c r="F168" s="16">
        <v>0</v>
      </c>
      <c r="G168" s="7">
        <f t="shared" si="28"/>
        <v>133465.24420000002</v>
      </c>
      <c r="H168" s="14"/>
      <c r="I168" s="16">
        <v>0</v>
      </c>
      <c r="J168" s="16">
        <f t="shared" si="32"/>
        <v>36.57</v>
      </c>
      <c r="K168" s="16">
        <f t="shared" si="37"/>
        <v>532.11</v>
      </c>
      <c r="L168" s="14"/>
      <c r="M168" s="16">
        <f t="shared" si="33"/>
        <v>0</v>
      </c>
      <c r="N168" s="16">
        <f t="shared" si="33"/>
        <v>0</v>
      </c>
      <c r="O168" s="7">
        <f t="shared" si="34"/>
        <v>968.63240000000008</v>
      </c>
      <c r="P168" s="16">
        <v>0</v>
      </c>
      <c r="Q168" s="16">
        <v>0</v>
      </c>
      <c r="R168" s="7">
        <f t="shared" si="38"/>
        <v>0</v>
      </c>
      <c r="S168" s="16">
        <v>0</v>
      </c>
      <c r="T168" s="16">
        <v>0</v>
      </c>
      <c r="U168" s="7">
        <f t="shared" si="39"/>
        <v>968.63240000000008</v>
      </c>
      <c r="V168" s="14"/>
      <c r="W168" s="16">
        <v>0</v>
      </c>
      <c r="X168" s="16">
        <f t="shared" si="35"/>
        <v>0.03</v>
      </c>
      <c r="Y168" s="16">
        <f t="shared" si="29"/>
        <v>0.42</v>
      </c>
      <c r="Z168" s="14"/>
      <c r="AA168" s="22">
        <f>AC167</f>
        <v>61.83</v>
      </c>
      <c r="AB168" s="16">
        <f t="shared" si="30"/>
        <v>0</v>
      </c>
      <c r="AC168" s="69">
        <f t="shared" si="36"/>
        <v>0</v>
      </c>
      <c r="AD168" s="71" t="s">
        <v>48</v>
      </c>
    </row>
    <row r="169" spans="2:30">
      <c r="B169" s="19">
        <v>45884</v>
      </c>
      <c r="C169" s="19"/>
      <c r="D169" s="13">
        <f t="shared" si="31"/>
        <v>1</v>
      </c>
      <c r="E169" s="16">
        <v>0</v>
      </c>
      <c r="F169" s="16">
        <v>0</v>
      </c>
      <c r="G169" s="7">
        <f t="shared" si="28"/>
        <v>133465.24420000002</v>
      </c>
      <c r="H169" s="14"/>
      <c r="I169" s="16">
        <v>0</v>
      </c>
      <c r="J169" s="16">
        <f t="shared" si="32"/>
        <v>36.57</v>
      </c>
      <c r="K169" s="16">
        <f t="shared" si="37"/>
        <v>568.67999999999995</v>
      </c>
      <c r="L169" s="14"/>
      <c r="M169" s="16">
        <f t="shared" si="33"/>
        <v>0</v>
      </c>
      <c r="N169" s="16">
        <f t="shared" si="33"/>
        <v>0</v>
      </c>
      <c r="O169" s="7">
        <f t="shared" si="34"/>
        <v>968.63240000000008</v>
      </c>
      <c r="P169" s="16">
        <v>0</v>
      </c>
      <c r="Q169" s="16">
        <v>0</v>
      </c>
      <c r="R169" s="7">
        <f t="shared" si="38"/>
        <v>0</v>
      </c>
      <c r="S169" s="16">
        <v>0</v>
      </c>
      <c r="T169" s="16">
        <v>0</v>
      </c>
      <c r="U169" s="7">
        <f t="shared" si="39"/>
        <v>968.63240000000008</v>
      </c>
      <c r="V169" s="14"/>
      <c r="W169" s="16">
        <v>0</v>
      </c>
      <c r="X169" s="16">
        <f t="shared" si="35"/>
        <v>0.03</v>
      </c>
      <c r="Y169" s="16">
        <f t="shared" si="29"/>
        <v>0.45</v>
      </c>
      <c r="Z169" s="14"/>
      <c r="AA169" s="16">
        <v>0</v>
      </c>
      <c r="AB169" s="16">
        <f t="shared" si="30"/>
        <v>0</v>
      </c>
      <c r="AC169" s="7">
        <f t="shared" si="36"/>
        <v>0</v>
      </c>
    </row>
    <row r="170" spans="2:30">
      <c r="B170" s="19">
        <v>45885</v>
      </c>
      <c r="C170" s="19"/>
      <c r="D170" s="13">
        <f t="shared" si="31"/>
        <v>1</v>
      </c>
      <c r="E170" s="16">
        <v>0</v>
      </c>
      <c r="F170" s="16">
        <v>0</v>
      </c>
      <c r="G170" s="7">
        <f t="shared" si="28"/>
        <v>133465.24420000002</v>
      </c>
      <c r="H170" s="14"/>
      <c r="I170" s="16">
        <v>0</v>
      </c>
      <c r="J170" s="16">
        <f t="shared" si="32"/>
        <v>36.57</v>
      </c>
      <c r="K170" s="16">
        <f t="shared" si="37"/>
        <v>605.25</v>
      </c>
      <c r="L170" s="14"/>
      <c r="M170" s="16">
        <f t="shared" si="33"/>
        <v>0</v>
      </c>
      <c r="N170" s="16">
        <f t="shared" si="33"/>
        <v>0</v>
      </c>
      <c r="O170" s="7">
        <f t="shared" si="34"/>
        <v>968.63240000000008</v>
      </c>
      <c r="P170" s="16">
        <v>0</v>
      </c>
      <c r="Q170" s="16">
        <v>0</v>
      </c>
      <c r="R170" s="7">
        <f t="shared" si="38"/>
        <v>0</v>
      </c>
      <c r="S170" s="16">
        <v>0</v>
      </c>
      <c r="T170" s="16">
        <v>0</v>
      </c>
      <c r="U170" s="7">
        <f t="shared" si="39"/>
        <v>968.63240000000008</v>
      </c>
      <c r="V170" s="14"/>
      <c r="W170" s="16">
        <v>0</v>
      </c>
      <c r="X170" s="16">
        <f t="shared" si="35"/>
        <v>0.03</v>
      </c>
      <c r="Y170" s="16">
        <f t="shared" si="29"/>
        <v>0.48</v>
      </c>
      <c r="Z170" s="14"/>
      <c r="AA170" s="16">
        <v>0</v>
      </c>
      <c r="AB170" s="16">
        <f t="shared" si="30"/>
        <v>0</v>
      </c>
      <c r="AC170" s="7">
        <f t="shared" si="36"/>
        <v>0</v>
      </c>
    </row>
    <row r="171" spans="2:30">
      <c r="B171" s="19">
        <v>45886</v>
      </c>
      <c r="C171" s="19"/>
      <c r="D171" s="13">
        <f t="shared" si="31"/>
        <v>1</v>
      </c>
      <c r="E171" s="16">
        <v>0</v>
      </c>
      <c r="F171" s="16">
        <v>0</v>
      </c>
      <c r="G171" s="7">
        <f t="shared" si="28"/>
        <v>133465.24420000002</v>
      </c>
      <c r="H171" s="14"/>
      <c r="I171" s="16">
        <v>0</v>
      </c>
      <c r="J171" s="16">
        <f t="shared" si="32"/>
        <v>36.57</v>
      </c>
      <c r="K171" s="16">
        <f t="shared" si="37"/>
        <v>641.82000000000005</v>
      </c>
      <c r="L171" s="14"/>
      <c r="M171" s="16">
        <f t="shared" si="33"/>
        <v>0</v>
      </c>
      <c r="N171" s="16">
        <f t="shared" si="33"/>
        <v>0</v>
      </c>
      <c r="O171" s="7">
        <f t="shared" si="34"/>
        <v>968.63240000000008</v>
      </c>
      <c r="P171" s="16">
        <v>0</v>
      </c>
      <c r="Q171" s="16">
        <v>0</v>
      </c>
      <c r="R171" s="7">
        <f t="shared" si="38"/>
        <v>0</v>
      </c>
      <c r="S171" s="16">
        <v>0</v>
      </c>
      <c r="T171" s="16">
        <v>0</v>
      </c>
      <c r="U171" s="7">
        <f t="shared" si="39"/>
        <v>968.63240000000008</v>
      </c>
      <c r="V171" s="14"/>
      <c r="W171" s="16">
        <v>0</v>
      </c>
      <c r="X171" s="16">
        <f t="shared" si="35"/>
        <v>0.03</v>
      </c>
      <c r="Y171" s="16">
        <f t="shared" si="29"/>
        <v>0.51</v>
      </c>
      <c r="Z171" s="14"/>
      <c r="AA171" s="16">
        <v>0</v>
      </c>
      <c r="AB171" s="16">
        <f t="shared" si="30"/>
        <v>0</v>
      </c>
      <c r="AC171" s="7">
        <f t="shared" si="36"/>
        <v>0</v>
      </c>
    </row>
    <row r="172" spans="2:30">
      <c r="B172" s="19">
        <v>45887</v>
      </c>
      <c r="C172" s="19"/>
      <c r="D172" s="13">
        <f t="shared" si="31"/>
        <v>1</v>
      </c>
      <c r="E172" s="16">
        <v>0</v>
      </c>
      <c r="F172" s="16">
        <v>0</v>
      </c>
      <c r="G172" s="7">
        <f t="shared" si="28"/>
        <v>133465.24420000002</v>
      </c>
      <c r="H172" s="14"/>
      <c r="I172" s="16">
        <v>0</v>
      </c>
      <c r="J172" s="16">
        <f t="shared" si="32"/>
        <v>36.57</v>
      </c>
      <c r="K172" s="16">
        <f t="shared" si="37"/>
        <v>678.39</v>
      </c>
      <c r="L172" s="14"/>
      <c r="M172" s="16">
        <f t="shared" si="33"/>
        <v>0</v>
      </c>
      <c r="N172" s="16">
        <f t="shared" si="33"/>
        <v>0</v>
      </c>
      <c r="O172" s="7">
        <f t="shared" si="34"/>
        <v>968.63240000000008</v>
      </c>
      <c r="P172" s="16">
        <v>0</v>
      </c>
      <c r="Q172" s="16">
        <v>0</v>
      </c>
      <c r="R172" s="7">
        <f t="shared" si="38"/>
        <v>0</v>
      </c>
      <c r="S172" s="16">
        <v>0</v>
      </c>
      <c r="T172" s="16">
        <v>0</v>
      </c>
      <c r="U172" s="7">
        <f t="shared" si="39"/>
        <v>968.63240000000008</v>
      </c>
      <c r="V172" s="14"/>
      <c r="W172" s="16">
        <v>0</v>
      </c>
      <c r="X172" s="16">
        <f t="shared" si="35"/>
        <v>0.03</v>
      </c>
      <c r="Y172" s="16">
        <f t="shared" si="29"/>
        <v>0.54</v>
      </c>
      <c r="Z172" s="14"/>
      <c r="AA172" s="16">
        <v>0</v>
      </c>
      <c r="AB172" s="16">
        <f t="shared" si="30"/>
        <v>0</v>
      </c>
      <c r="AC172" s="7">
        <f t="shared" si="36"/>
        <v>0</v>
      </c>
    </row>
    <row r="173" spans="2:30">
      <c r="B173" s="19">
        <v>45888</v>
      </c>
      <c r="C173" s="19"/>
      <c r="D173" s="13">
        <f t="shared" si="31"/>
        <v>1</v>
      </c>
      <c r="E173" s="16">
        <v>0</v>
      </c>
      <c r="F173" s="16">
        <v>0</v>
      </c>
      <c r="G173" s="7">
        <f t="shared" si="28"/>
        <v>133465.24420000002</v>
      </c>
      <c r="H173" s="14"/>
      <c r="I173" s="16">
        <v>0</v>
      </c>
      <c r="J173" s="16">
        <f t="shared" si="32"/>
        <v>36.57</v>
      </c>
      <c r="K173" s="16">
        <f t="shared" si="37"/>
        <v>714.96</v>
      </c>
      <c r="L173" s="14"/>
      <c r="M173" s="16">
        <f t="shared" si="33"/>
        <v>0</v>
      </c>
      <c r="N173" s="16">
        <f t="shared" si="33"/>
        <v>0</v>
      </c>
      <c r="O173" s="7">
        <f t="shared" si="34"/>
        <v>968.63240000000008</v>
      </c>
      <c r="P173" s="16">
        <v>0</v>
      </c>
      <c r="Q173" s="16">
        <v>0</v>
      </c>
      <c r="R173" s="7">
        <f t="shared" si="38"/>
        <v>0</v>
      </c>
      <c r="S173" s="16">
        <v>0</v>
      </c>
      <c r="T173" s="16">
        <v>0</v>
      </c>
      <c r="U173" s="7">
        <f t="shared" si="39"/>
        <v>968.63240000000008</v>
      </c>
      <c r="V173" s="14"/>
      <c r="W173" s="16">
        <v>0</v>
      </c>
      <c r="X173" s="16">
        <f t="shared" si="35"/>
        <v>0.03</v>
      </c>
      <c r="Y173" s="16">
        <f t="shared" si="29"/>
        <v>0.56999999999999995</v>
      </c>
      <c r="Z173" s="14"/>
      <c r="AA173" s="16">
        <v>0</v>
      </c>
      <c r="AB173" s="16">
        <f t="shared" si="30"/>
        <v>0</v>
      </c>
      <c r="AC173" s="7">
        <f t="shared" si="36"/>
        <v>0</v>
      </c>
    </row>
    <row r="174" spans="2:30">
      <c r="B174" s="19">
        <v>45889</v>
      </c>
      <c r="C174" s="19"/>
      <c r="D174" s="13">
        <f t="shared" si="31"/>
        <v>1</v>
      </c>
      <c r="E174" s="16">
        <v>0</v>
      </c>
      <c r="F174" s="16">
        <v>0</v>
      </c>
      <c r="G174" s="7">
        <f t="shared" si="28"/>
        <v>133465.24420000002</v>
      </c>
      <c r="H174" s="14"/>
      <c r="I174" s="16">
        <v>0</v>
      </c>
      <c r="J174" s="16">
        <f t="shared" si="32"/>
        <v>36.57</v>
      </c>
      <c r="K174" s="16">
        <f t="shared" si="37"/>
        <v>751.53</v>
      </c>
      <c r="L174" s="14"/>
      <c r="M174" s="16">
        <f t="shared" si="33"/>
        <v>0</v>
      </c>
      <c r="N174" s="16">
        <f t="shared" si="33"/>
        <v>0</v>
      </c>
      <c r="O174" s="7">
        <f t="shared" si="34"/>
        <v>968.63240000000008</v>
      </c>
      <c r="P174" s="16">
        <v>0</v>
      </c>
      <c r="Q174" s="16">
        <v>0</v>
      </c>
      <c r="R174" s="7">
        <f t="shared" si="38"/>
        <v>0</v>
      </c>
      <c r="S174" s="16">
        <v>0</v>
      </c>
      <c r="T174" s="16">
        <v>0</v>
      </c>
      <c r="U174" s="7">
        <f t="shared" si="39"/>
        <v>968.63240000000008</v>
      </c>
      <c r="V174" s="14"/>
      <c r="W174" s="16">
        <v>0</v>
      </c>
      <c r="X174" s="16">
        <f t="shared" si="35"/>
        <v>0.03</v>
      </c>
      <c r="Y174" s="16">
        <f t="shared" si="29"/>
        <v>0.6</v>
      </c>
      <c r="Z174" s="14"/>
      <c r="AA174" s="16">
        <v>0</v>
      </c>
      <c r="AB174" s="16">
        <f t="shared" si="30"/>
        <v>0</v>
      </c>
      <c r="AC174" s="7">
        <f t="shared" si="36"/>
        <v>0</v>
      </c>
    </row>
    <row r="175" spans="2:30">
      <c r="B175" s="19">
        <v>45890</v>
      </c>
      <c r="C175" s="19"/>
      <c r="D175" s="13">
        <f t="shared" si="31"/>
        <v>1</v>
      </c>
      <c r="E175" s="16">
        <v>0</v>
      </c>
      <c r="F175" s="16">
        <v>0</v>
      </c>
      <c r="G175" s="7">
        <f t="shared" si="28"/>
        <v>133465.24420000002</v>
      </c>
      <c r="H175" s="14"/>
      <c r="I175" s="16">
        <v>0</v>
      </c>
      <c r="J175" s="16">
        <f t="shared" si="32"/>
        <v>36.57</v>
      </c>
      <c r="K175" s="16">
        <f t="shared" si="37"/>
        <v>788.1</v>
      </c>
      <c r="L175" s="14"/>
      <c r="M175" s="16">
        <f t="shared" si="33"/>
        <v>0</v>
      </c>
      <c r="N175" s="16">
        <f t="shared" si="33"/>
        <v>0</v>
      </c>
      <c r="O175" s="7">
        <f t="shared" si="34"/>
        <v>968.63240000000008</v>
      </c>
      <c r="P175" s="16">
        <v>0</v>
      </c>
      <c r="Q175" s="16">
        <v>0</v>
      </c>
      <c r="R175" s="7">
        <f t="shared" si="38"/>
        <v>0</v>
      </c>
      <c r="S175" s="16">
        <v>0</v>
      </c>
      <c r="T175" s="16">
        <v>0</v>
      </c>
      <c r="U175" s="7">
        <f t="shared" si="39"/>
        <v>968.63240000000008</v>
      </c>
      <c r="V175" s="14"/>
      <c r="W175" s="16">
        <v>0</v>
      </c>
      <c r="X175" s="16">
        <f t="shared" si="35"/>
        <v>0.03</v>
      </c>
      <c r="Y175" s="16">
        <f t="shared" si="29"/>
        <v>0.63</v>
      </c>
      <c r="Z175" s="14"/>
      <c r="AA175" s="16">
        <v>0</v>
      </c>
      <c r="AB175" s="16">
        <f t="shared" si="30"/>
        <v>0</v>
      </c>
      <c r="AC175" s="7">
        <f t="shared" si="36"/>
        <v>0</v>
      </c>
    </row>
    <row r="176" spans="2:30">
      <c r="B176" s="19">
        <v>45891</v>
      </c>
      <c r="C176" s="19"/>
      <c r="D176" s="13">
        <f t="shared" si="31"/>
        <v>1</v>
      </c>
      <c r="E176" s="16">
        <v>0</v>
      </c>
      <c r="F176" s="16">
        <v>0</v>
      </c>
      <c r="G176" s="7">
        <f t="shared" si="28"/>
        <v>133465.24420000002</v>
      </c>
      <c r="H176" s="14"/>
      <c r="I176" s="16">
        <v>0</v>
      </c>
      <c r="J176" s="16">
        <f t="shared" si="32"/>
        <v>36.57</v>
      </c>
      <c r="K176" s="16">
        <f t="shared" si="37"/>
        <v>824.67</v>
      </c>
      <c r="L176" s="14"/>
      <c r="M176" s="16">
        <f t="shared" si="33"/>
        <v>0</v>
      </c>
      <c r="N176" s="16">
        <f t="shared" si="33"/>
        <v>0</v>
      </c>
      <c r="O176" s="7">
        <f t="shared" si="34"/>
        <v>968.63240000000008</v>
      </c>
      <c r="P176" s="16">
        <v>0</v>
      </c>
      <c r="Q176" s="16">
        <v>0</v>
      </c>
      <c r="R176" s="7">
        <f t="shared" si="38"/>
        <v>0</v>
      </c>
      <c r="S176" s="16">
        <v>0</v>
      </c>
      <c r="T176" s="16">
        <v>0</v>
      </c>
      <c r="U176" s="7">
        <f t="shared" si="39"/>
        <v>968.63240000000008</v>
      </c>
      <c r="V176" s="14"/>
      <c r="W176" s="16">
        <v>0</v>
      </c>
      <c r="X176" s="16">
        <f t="shared" si="35"/>
        <v>0.03</v>
      </c>
      <c r="Y176" s="16">
        <f t="shared" si="29"/>
        <v>0.66</v>
      </c>
      <c r="Z176" s="14"/>
      <c r="AA176" s="16">
        <v>0</v>
      </c>
      <c r="AB176" s="16">
        <f t="shared" si="30"/>
        <v>0</v>
      </c>
      <c r="AC176" s="7">
        <f t="shared" si="36"/>
        <v>0</v>
      </c>
    </row>
    <row r="177" spans="2:30">
      <c r="B177" s="19">
        <v>45892</v>
      </c>
      <c r="C177" s="19"/>
      <c r="D177" s="13">
        <f t="shared" si="31"/>
        <v>1</v>
      </c>
      <c r="E177" s="16">
        <v>0</v>
      </c>
      <c r="F177" s="16">
        <v>0</v>
      </c>
      <c r="G177" s="7">
        <f t="shared" si="28"/>
        <v>133465.24420000002</v>
      </c>
      <c r="H177" s="14"/>
      <c r="I177" s="16">
        <v>0</v>
      </c>
      <c r="J177" s="16">
        <f t="shared" si="32"/>
        <v>36.57</v>
      </c>
      <c r="K177" s="16">
        <f t="shared" si="37"/>
        <v>861.24</v>
      </c>
      <c r="L177" s="14"/>
      <c r="M177" s="16">
        <f t="shared" si="33"/>
        <v>0</v>
      </c>
      <c r="N177" s="16">
        <f t="shared" si="33"/>
        <v>0</v>
      </c>
      <c r="O177" s="7">
        <f t="shared" si="34"/>
        <v>968.63240000000008</v>
      </c>
      <c r="P177" s="16">
        <v>0</v>
      </c>
      <c r="Q177" s="16">
        <v>0</v>
      </c>
      <c r="R177" s="7">
        <f t="shared" si="38"/>
        <v>0</v>
      </c>
      <c r="S177" s="16">
        <v>0</v>
      </c>
      <c r="T177" s="16">
        <v>0</v>
      </c>
      <c r="U177" s="7">
        <f t="shared" si="39"/>
        <v>968.63240000000008</v>
      </c>
      <c r="V177" s="14"/>
      <c r="W177" s="16">
        <v>0</v>
      </c>
      <c r="X177" s="16">
        <f t="shared" si="35"/>
        <v>0.03</v>
      </c>
      <c r="Y177" s="16">
        <f t="shared" si="29"/>
        <v>0.69</v>
      </c>
      <c r="Z177" s="14"/>
      <c r="AA177" s="16">
        <v>0</v>
      </c>
      <c r="AB177" s="16">
        <f t="shared" si="30"/>
        <v>0</v>
      </c>
      <c r="AC177" s="7">
        <f t="shared" si="36"/>
        <v>0</v>
      </c>
    </row>
    <row r="178" spans="2:30">
      <c r="B178" s="19">
        <v>45893</v>
      </c>
      <c r="C178" s="19"/>
      <c r="D178" s="13">
        <f t="shared" si="31"/>
        <v>1</v>
      </c>
      <c r="E178" s="16">
        <v>0</v>
      </c>
      <c r="F178" s="16">
        <v>0</v>
      </c>
      <c r="G178" s="7">
        <f t="shared" si="28"/>
        <v>133465.24420000002</v>
      </c>
      <c r="H178" s="14"/>
      <c r="I178" s="16">
        <v>0</v>
      </c>
      <c r="J178" s="16">
        <f t="shared" si="32"/>
        <v>36.57</v>
      </c>
      <c r="K178" s="16">
        <f t="shared" si="37"/>
        <v>897.81</v>
      </c>
      <c r="L178" s="14"/>
      <c r="M178" s="16">
        <f t="shared" si="33"/>
        <v>0</v>
      </c>
      <c r="N178" s="16">
        <f t="shared" si="33"/>
        <v>0</v>
      </c>
      <c r="O178" s="7">
        <f t="shared" si="34"/>
        <v>968.63240000000008</v>
      </c>
      <c r="P178" s="16">
        <v>0</v>
      </c>
      <c r="Q178" s="16">
        <v>0</v>
      </c>
      <c r="R178" s="7">
        <f t="shared" si="38"/>
        <v>0</v>
      </c>
      <c r="S178" s="16">
        <v>0</v>
      </c>
      <c r="T178" s="16">
        <v>0</v>
      </c>
      <c r="U178" s="7">
        <f t="shared" si="39"/>
        <v>968.63240000000008</v>
      </c>
      <c r="V178" s="14"/>
      <c r="W178" s="16">
        <v>0</v>
      </c>
      <c r="X178" s="16">
        <f t="shared" si="35"/>
        <v>0.03</v>
      </c>
      <c r="Y178" s="16">
        <f t="shared" si="29"/>
        <v>0.72</v>
      </c>
      <c r="Z178" s="14"/>
      <c r="AA178" s="16">
        <v>0</v>
      </c>
      <c r="AB178" s="16">
        <f t="shared" si="30"/>
        <v>0</v>
      </c>
      <c r="AC178" s="7">
        <f t="shared" si="36"/>
        <v>0</v>
      </c>
    </row>
    <row r="179" spans="2:30">
      <c r="B179" s="19">
        <v>45894</v>
      </c>
      <c r="C179" s="19"/>
      <c r="D179" s="13">
        <f t="shared" si="31"/>
        <v>1</v>
      </c>
      <c r="E179" s="16">
        <v>0</v>
      </c>
      <c r="F179" s="16">
        <v>0</v>
      </c>
      <c r="G179" s="7">
        <f t="shared" si="28"/>
        <v>133465.24420000002</v>
      </c>
      <c r="H179" s="14"/>
      <c r="I179" s="16">
        <v>0</v>
      </c>
      <c r="J179" s="16">
        <f t="shared" si="32"/>
        <v>36.57</v>
      </c>
      <c r="K179" s="16">
        <f t="shared" si="37"/>
        <v>934.38</v>
      </c>
      <c r="L179" s="14"/>
      <c r="M179" s="16">
        <f t="shared" si="33"/>
        <v>0</v>
      </c>
      <c r="N179" s="16">
        <f t="shared" si="33"/>
        <v>0</v>
      </c>
      <c r="O179" s="7">
        <f t="shared" si="34"/>
        <v>968.63240000000008</v>
      </c>
      <c r="P179" s="16">
        <v>0</v>
      </c>
      <c r="Q179" s="16">
        <v>0</v>
      </c>
      <c r="R179" s="7">
        <f t="shared" si="38"/>
        <v>0</v>
      </c>
      <c r="S179" s="16">
        <v>0</v>
      </c>
      <c r="T179" s="16">
        <v>0</v>
      </c>
      <c r="U179" s="7">
        <f t="shared" si="39"/>
        <v>968.63240000000008</v>
      </c>
      <c r="V179" s="14"/>
      <c r="W179" s="16">
        <v>0</v>
      </c>
      <c r="X179" s="16">
        <f t="shared" si="35"/>
        <v>0.03</v>
      </c>
      <c r="Y179" s="16">
        <f t="shared" si="29"/>
        <v>0.75</v>
      </c>
      <c r="Z179" s="14"/>
      <c r="AA179" s="16">
        <v>0</v>
      </c>
      <c r="AB179" s="16">
        <f t="shared" si="30"/>
        <v>0</v>
      </c>
      <c r="AC179" s="7">
        <f t="shared" si="36"/>
        <v>0</v>
      </c>
    </row>
    <row r="180" spans="2:30">
      <c r="B180" s="19">
        <v>45895</v>
      </c>
      <c r="C180" s="19"/>
      <c r="D180" s="13">
        <f t="shared" si="31"/>
        <v>1</v>
      </c>
      <c r="E180" s="16">
        <v>0</v>
      </c>
      <c r="F180" s="16">
        <v>0</v>
      </c>
      <c r="G180" s="7">
        <f t="shared" si="28"/>
        <v>133465.24420000002</v>
      </c>
      <c r="H180" s="14"/>
      <c r="I180" s="16">
        <v>0</v>
      </c>
      <c r="J180" s="16">
        <f t="shared" si="32"/>
        <v>36.57</v>
      </c>
      <c r="K180" s="16">
        <f t="shared" si="37"/>
        <v>970.95</v>
      </c>
      <c r="L180" s="14"/>
      <c r="M180" s="16">
        <f t="shared" si="33"/>
        <v>0</v>
      </c>
      <c r="N180" s="16">
        <f t="shared" si="33"/>
        <v>0</v>
      </c>
      <c r="O180" s="7">
        <f t="shared" si="34"/>
        <v>968.63240000000008</v>
      </c>
      <c r="P180" s="16">
        <v>0</v>
      </c>
      <c r="Q180" s="16">
        <v>0</v>
      </c>
      <c r="R180" s="7">
        <f t="shared" si="38"/>
        <v>0</v>
      </c>
      <c r="S180" s="16">
        <v>0</v>
      </c>
      <c r="T180" s="16">
        <v>0</v>
      </c>
      <c r="U180" s="7">
        <f t="shared" si="39"/>
        <v>968.63240000000008</v>
      </c>
      <c r="V180" s="14"/>
      <c r="W180" s="16">
        <v>0</v>
      </c>
      <c r="X180" s="16">
        <f t="shared" si="35"/>
        <v>0.03</v>
      </c>
      <c r="Y180" s="16">
        <f t="shared" si="29"/>
        <v>0.78</v>
      </c>
      <c r="Z180" s="14"/>
      <c r="AA180" s="16">
        <v>0</v>
      </c>
      <c r="AB180" s="16">
        <f t="shared" si="30"/>
        <v>0</v>
      </c>
      <c r="AC180" s="7">
        <f t="shared" si="36"/>
        <v>0</v>
      </c>
    </row>
    <row r="181" spans="2:30">
      <c r="B181" s="19">
        <v>45896</v>
      </c>
      <c r="C181" s="19"/>
      <c r="D181" s="13">
        <f t="shared" si="31"/>
        <v>1</v>
      </c>
      <c r="E181" s="16">
        <v>0</v>
      </c>
      <c r="F181" s="16">
        <v>0</v>
      </c>
      <c r="G181" s="7">
        <f t="shared" si="28"/>
        <v>133465.24420000002</v>
      </c>
      <c r="H181" s="14"/>
      <c r="I181" s="16">
        <v>0</v>
      </c>
      <c r="J181" s="16">
        <f t="shared" si="32"/>
        <v>36.57</v>
      </c>
      <c r="K181" s="16">
        <f t="shared" si="37"/>
        <v>1007.52</v>
      </c>
      <c r="L181" s="14"/>
      <c r="M181" s="16">
        <f t="shared" si="33"/>
        <v>0</v>
      </c>
      <c r="N181" s="16">
        <f t="shared" si="33"/>
        <v>0</v>
      </c>
      <c r="O181" s="7">
        <f t="shared" si="34"/>
        <v>968.63240000000008</v>
      </c>
      <c r="P181" s="16">
        <v>0</v>
      </c>
      <c r="Q181" s="16">
        <v>0</v>
      </c>
      <c r="R181" s="7">
        <f t="shared" si="38"/>
        <v>0</v>
      </c>
      <c r="S181" s="16">
        <v>0</v>
      </c>
      <c r="T181" s="16">
        <v>0</v>
      </c>
      <c r="U181" s="7">
        <f t="shared" si="39"/>
        <v>968.63240000000008</v>
      </c>
      <c r="V181" s="14"/>
      <c r="W181" s="16">
        <v>0</v>
      </c>
      <c r="X181" s="16">
        <f t="shared" si="35"/>
        <v>0.03</v>
      </c>
      <c r="Y181" s="16">
        <f t="shared" si="29"/>
        <v>0.81</v>
      </c>
      <c r="Z181" s="14"/>
      <c r="AA181" s="16">
        <v>0</v>
      </c>
      <c r="AB181" s="16">
        <f t="shared" si="30"/>
        <v>0</v>
      </c>
      <c r="AC181" s="7">
        <f t="shared" si="36"/>
        <v>0</v>
      </c>
    </row>
    <row r="182" spans="2:30">
      <c r="B182" s="19">
        <v>45897</v>
      </c>
      <c r="C182" s="19"/>
      <c r="D182" s="13">
        <f t="shared" si="31"/>
        <v>1</v>
      </c>
      <c r="E182" s="16">
        <v>0</v>
      </c>
      <c r="F182" s="16">
        <v>0</v>
      </c>
      <c r="G182" s="7">
        <f t="shared" si="28"/>
        <v>133465.24420000002</v>
      </c>
      <c r="H182" s="14"/>
      <c r="I182" s="16">
        <v>0</v>
      </c>
      <c r="J182" s="16">
        <f t="shared" si="32"/>
        <v>36.57</v>
      </c>
      <c r="K182" s="16">
        <f t="shared" si="37"/>
        <v>1044.0899999999999</v>
      </c>
      <c r="L182" s="14"/>
      <c r="M182" s="16">
        <f t="shared" si="33"/>
        <v>0</v>
      </c>
      <c r="N182" s="16">
        <f t="shared" si="33"/>
        <v>0</v>
      </c>
      <c r="O182" s="7">
        <f t="shared" si="34"/>
        <v>968.63240000000008</v>
      </c>
      <c r="P182" s="16">
        <v>0</v>
      </c>
      <c r="Q182" s="16">
        <v>0</v>
      </c>
      <c r="R182" s="7">
        <f t="shared" si="38"/>
        <v>0</v>
      </c>
      <c r="S182" s="16">
        <v>0</v>
      </c>
      <c r="T182" s="16">
        <v>0</v>
      </c>
      <c r="U182" s="7">
        <f t="shared" si="39"/>
        <v>968.63240000000008</v>
      </c>
      <c r="V182" s="14"/>
      <c r="W182" s="16">
        <v>0</v>
      </c>
      <c r="X182" s="16">
        <f t="shared" si="35"/>
        <v>0.03</v>
      </c>
      <c r="Y182" s="16">
        <f t="shared" si="29"/>
        <v>0.84</v>
      </c>
      <c r="Z182" s="14"/>
      <c r="AA182" s="16">
        <v>0</v>
      </c>
      <c r="AB182" s="16">
        <f t="shared" si="30"/>
        <v>0</v>
      </c>
      <c r="AC182" s="7">
        <f t="shared" si="36"/>
        <v>0</v>
      </c>
    </row>
    <row r="183" spans="2:30">
      <c r="B183" s="19">
        <v>45898</v>
      </c>
      <c r="C183" s="19"/>
      <c r="D183" s="13">
        <f t="shared" si="31"/>
        <v>1</v>
      </c>
      <c r="E183" s="16">
        <v>0</v>
      </c>
      <c r="F183" s="16">
        <v>0</v>
      </c>
      <c r="G183" s="7">
        <f t="shared" si="28"/>
        <v>133465.24420000002</v>
      </c>
      <c r="H183" s="14"/>
      <c r="I183" s="16">
        <v>0</v>
      </c>
      <c r="J183" s="16">
        <f t="shared" si="32"/>
        <v>36.57</v>
      </c>
      <c r="K183" s="16">
        <f t="shared" si="37"/>
        <v>1080.6600000000001</v>
      </c>
      <c r="L183" s="14"/>
      <c r="M183" s="16">
        <f t="shared" si="33"/>
        <v>0</v>
      </c>
      <c r="N183" s="16">
        <f t="shared" si="33"/>
        <v>0</v>
      </c>
      <c r="O183" s="7">
        <f t="shared" si="34"/>
        <v>968.63240000000008</v>
      </c>
      <c r="P183" s="16">
        <v>0</v>
      </c>
      <c r="Q183" s="16">
        <v>0</v>
      </c>
      <c r="R183" s="7">
        <f t="shared" si="38"/>
        <v>0</v>
      </c>
      <c r="S183" s="16">
        <v>0</v>
      </c>
      <c r="T183" s="16">
        <v>0</v>
      </c>
      <c r="U183" s="7">
        <f t="shared" si="39"/>
        <v>968.63240000000008</v>
      </c>
      <c r="V183" s="14"/>
      <c r="W183" s="16">
        <v>0</v>
      </c>
      <c r="X183" s="16">
        <f t="shared" si="35"/>
        <v>0.03</v>
      </c>
      <c r="Y183" s="16">
        <f t="shared" si="29"/>
        <v>0.87</v>
      </c>
      <c r="Z183" s="14"/>
      <c r="AA183" s="16">
        <v>0</v>
      </c>
      <c r="AB183" s="16">
        <f t="shared" si="30"/>
        <v>0</v>
      </c>
      <c r="AC183" s="7">
        <f t="shared" si="36"/>
        <v>0</v>
      </c>
    </row>
    <row r="184" spans="2:30">
      <c r="B184" s="19">
        <v>45899</v>
      </c>
      <c r="C184" s="19"/>
      <c r="D184" s="13">
        <f t="shared" si="31"/>
        <v>1</v>
      </c>
      <c r="E184" s="16">
        <v>0</v>
      </c>
      <c r="F184" s="16">
        <v>0</v>
      </c>
      <c r="G184" s="7">
        <f t="shared" si="28"/>
        <v>133465.24420000002</v>
      </c>
      <c r="H184" s="14"/>
      <c r="I184" s="16">
        <v>0</v>
      </c>
      <c r="J184" s="16">
        <f t="shared" si="32"/>
        <v>36.57</v>
      </c>
      <c r="K184" s="16">
        <f t="shared" si="37"/>
        <v>1117.23</v>
      </c>
      <c r="L184" s="14"/>
      <c r="M184" s="16">
        <f t="shared" si="33"/>
        <v>0</v>
      </c>
      <c r="N184" s="16">
        <f t="shared" si="33"/>
        <v>0</v>
      </c>
      <c r="O184" s="7">
        <f t="shared" si="34"/>
        <v>968.63240000000008</v>
      </c>
      <c r="P184" s="16">
        <v>0</v>
      </c>
      <c r="Q184" s="16">
        <v>0</v>
      </c>
      <c r="R184" s="7">
        <f t="shared" si="38"/>
        <v>0</v>
      </c>
      <c r="S184" s="16">
        <v>0</v>
      </c>
      <c r="T184" s="16">
        <v>0</v>
      </c>
      <c r="U184" s="7">
        <f t="shared" si="39"/>
        <v>968.63240000000008</v>
      </c>
      <c r="V184" s="14"/>
      <c r="W184" s="16">
        <v>0</v>
      </c>
      <c r="X184" s="16">
        <f t="shared" si="35"/>
        <v>0.03</v>
      </c>
      <c r="Y184" s="16">
        <f t="shared" si="29"/>
        <v>0.9</v>
      </c>
      <c r="Z184" s="14"/>
      <c r="AA184" s="16">
        <v>0</v>
      </c>
      <c r="AB184" s="16">
        <f t="shared" si="30"/>
        <v>0</v>
      </c>
      <c r="AC184" s="7">
        <f t="shared" si="36"/>
        <v>0</v>
      </c>
    </row>
    <row r="185" spans="2:30" ht="136">
      <c r="B185" s="19">
        <v>45900</v>
      </c>
      <c r="C185" s="19"/>
      <c r="D185" s="13">
        <f t="shared" si="31"/>
        <v>1</v>
      </c>
      <c r="E185" s="16">
        <v>0</v>
      </c>
      <c r="F185" s="16">
        <v>0</v>
      </c>
      <c r="G185" s="7">
        <f>G184+F185-E185</f>
        <v>133465.24420000002</v>
      </c>
      <c r="H185" s="14"/>
      <c r="I185" s="21">
        <f>K184</f>
        <v>1117.23</v>
      </c>
      <c r="J185" s="16">
        <f t="shared" si="32"/>
        <v>36.57</v>
      </c>
      <c r="K185" s="16">
        <f t="shared" si="37"/>
        <v>36.57</v>
      </c>
      <c r="L185" s="14"/>
      <c r="M185" s="16">
        <f>P185+S185</f>
        <v>0</v>
      </c>
      <c r="N185" s="21">
        <f>Q185+T185</f>
        <v>1051.0422000000001</v>
      </c>
      <c r="O185" s="10">
        <f>O184+N185-M185</f>
        <v>2019.6746000000003</v>
      </c>
      <c r="P185" s="16">
        <v>0</v>
      </c>
      <c r="Q185" s="16">
        <v>0</v>
      </c>
      <c r="R185" s="7">
        <f t="shared" si="38"/>
        <v>0</v>
      </c>
      <c r="S185" s="16">
        <v>0</v>
      </c>
      <c r="T185" s="21">
        <f>(I185+W185)-AB185</f>
        <v>1051.0422000000001</v>
      </c>
      <c r="U185" s="7">
        <f t="shared" si="39"/>
        <v>2019.6746000000003</v>
      </c>
      <c r="V185" s="14"/>
      <c r="W185" s="21">
        <f>Y184</f>
        <v>0.9</v>
      </c>
      <c r="X185" s="16">
        <f>ROUND((O185-N185)*$M$3/$N$3*D185,2)</f>
        <v>0.03</v>
      </c>
      <c r="Y185" s="16">
        <f t="shared" si="29"/>
        <v>0.03</v>
      </c>
      <c r="Z185" s="14"/>
      <c r="AA185" s="16">
        <v>0</v>
      </c>
      <c r="AB185" s="22">
        <f t="shared" si="30"/>
        <v>67.087800000000001</v>
      </c>
      <c r="AC185" s="69">
        <f t="shared" si="36"/>
        <v>67.09</v>
      </c>
      <c r="AD185" s="23" t="s">
        <v>17</v>
      </c>
    </row>
    <row r="186" spans="2:30">
      <c r="B186" s="19">
        <v>45901</v>
      </c>
      <c r="C186" s="19"/>
      <c r="D186" s="13">
        <f t="shared" si="31"/>
        <v>1</v>
      </c>
      <c r="E186" s="16">
        <v>0</v>
      </c>
      <c r="F186" s="16">
        <v>0</v>
      </c>
      <c r="G186" s="7">
        <f t="shared" si="28"/>
        <v>133465.24420000002</v>
      </c>
      <c r="H186" s="14"/>
      <c r="I186" s="16">
        <v>0</v>
      </c>
      <c r="J186" s="16">
        <f t="shared" si="32"/>
        <v>36.57</v>
      </c>
      <c r="K186" s="16">
        <f t="shared" si="37"/>
        <v>73.14</v>
      </c>
      <c r="L186" s="14"/>
      <c r="M186" s="16">
        <f t="shared" si="33"/>
        <v>0</v>
      </c>
      <c r="N186" s="16">
        <f t="shared" si="33"/>
        <v>0</v>
      </c>
      <c r="O186" s="7">
        <f t="shared" si="34"/>
        <v>2019.6746000000003</v>
      </c>
      <c r="P186" s="16">
        <v>0</v>
      </c>
      <c r="Q186" s="16">
        <v>0</v>
      </c>
      <c r="R186" s="7">
        <f t="shared" si="38"/>
        <v>0</v>
      </c>
      <c r="S186" s="16">
        <v>0</v>
      </c>
      <c r="T186" s="16">
        <v>0</v>
      </c>
      <c r="U186" s="7">
        <f t="shared" si="39"/>
        <v>2019.6746000000003</v>
      </c>
      <c r="V186" s="14"/>
      <c r="W186" s="16">
        <v>0</v>
      </c>
      <c r="X186" s="16">
        <f t="shared" si="35"/>
        <v>0.06</v>
      </c>
      <c r="Y186" s="16">
        <f t="shared" si="29"/>
        <v>0.09</v>
      </c>
      <c r="Z186" s="14"/>
      <c r="AA186" s="16">
        <v>0</v>
      </c>
      <c r="AB186" s="16">
        <f t="shared" si="30"/>
        <v>0</v>
      </c>
      <c r="AC186" s="7">
        <f t="shared" si="36"/>
        <v>67.09</v>
      </c>
    </row>
    <row r="187" spans="2:30">
      <c r="B187" s="19">
        <v>45902</v>
      </c>
      <c r="C187" s="19"/>
      <c r="D187" s="13">
        <f t="shared" si="31"/>
        <v>1</v>
      </c>
      <c r="E187" s="16">
        <v>0</v>
      </c>
      <c r="F187" s="16">
        <v>0</v>
      </c>
      <c r="G187" s="7">
        <f t="shared" si="28"/>
        <v>133465.24420000002</v>
      </c>
      <c r="H187" s="14"/>
      <c r="I187" s="16">
        <v>0</v>
      </c>
      <c r="J187" s="16">
        <f t="shared" si="32"/>
        <v>36.57</v>
      </c>
      <c r="K187" s="16">
        <f t="shared" si="37"/>
        <v>109.71</v>
      </c>
      <c r="L187" s="14"/>
      <c r="M187" s="16">
        <f t="shared" si="33"/>
        <v>0</v>
      </c>
      <c r="N187" s="16">
        <f t="shared" si="33"/>
        <v>0</v>
      </c>
      <c r="O187" s="7">
        <f t="shared" si="34"/>
        <v>2019.6746000000003</v>
      </c>
      <c r="P187" s="16">
        <v>0</v>
      </c>
      <c r="Q187" s="16">
        <v>0</v>
      </c>
      <c r="R187" s="7">
        <f t="shared" si="38"/>
        <v>0</v>
      </c>
      <c r="S187" s="16">
        <v>0</v>
      </c>
      <c r="T187" s="16">
        <v>0</v>
      </c>
      <c r="U187" s="7">
        <f t="shared" si="39"/>
        <v>2019.6746000000003</v>
      </c>
      <c r="V187" s="14"/>
      <c r="W187" s="16">
        <v>0</v>
      </c>
      <c r="X187" s="16">
        <f t="shared" si="35"/>
        <v>0.06</v>
      </c>
      <c r="Y187" s="16">
        <f t="shared" si="29"/>
        <v>0.15</v>
      </c>
      <c r="Z187" s="14"/>
      <c r="AA187" s="16">
        <v>0</v>
      </c>
      <c r="AB187" s="16">
        <f t="shared" si="30"/>
        <v>0</v>
      </c>
      <c r="AC187" s="7">
        <f t="shared" si="36"/>
        <v>67.09</v>
      </c>
    </row>
    <row r="188" spans="2:30">
      <c r="B188" s="19">
        <v>45903</v>
      </c>
      <c r="C188" s="19"/>
      <c r="D188" s="13">
        <f t="shared" si="31"/>
        <v>1</v>
      </c>
      <c r="E188" s="16">
        <v>0</v>
      </c>
      <c r="F188" s="16">
        <v>0</v>
      </c>
      <c r="G188" s="7">
        <f t="shared" si="28"/>
        <v>133465.24420000002</v>
      </c>
      <c r="H188" s="14"/>
      <c r="I188" s="16">
        <v>0</v>
      </c>
      <c r="J188" s="16">
        <f t="shared" si="32"/>
        <v>36.57</v>
      </c>
      <c r="K188" s="16">
        <f t="shared" si="37"/>
        <v>146.28</v>
      </c>
      <c r="L188" s="14"/>
      <c r="M188" s="16">
        <f t="shared" si="33"/>
        <v>0</v>
      </c>
      <c r="N188" s="16">
        <f t="shared" si="33"/>
        <v>0</v>
      </c>
      <c r="O188" s="7">
        <f t="shared" si="34"/>
        <v>2019.6746000000003</v>
      </c>
      <c r="P188" s="16">
        <v>0</v>
      </c>
      <c r="Q188" s="16">
        <v>0</v>
      </c>
      <c r="R188" s="7">
        <f t="shared" si="38"/>
        <v>0</v>
      </c>
      <c r="S188" s="16">
        <v>0</v>
      </c>
      <c r="T188" s="16">
        <v>0</v>
      </c>
      <c r="U188" s="7">
        <f t="shared" si="39"/>
        <v>2019.6746000000003</v>
      </c>
      <c r="V188" s="14"/>
      <c r="W188" s="16">
        <v>0</v>
      </c>
      <c r="X188" s="16">
        <f t="shared" si="35"/>
        <v>0.06</v>
      </c>
      <c r="Y188" s="16">
        <f t="shared" si="29"/>
        <v>0.21</v>
      </c>
      <c r="Z188" s="14"/>
      <c r="AA188" s="16">
        <v>0</v>
      </c>
      <c r="AB188" s="16">
        <f t="shared" si="30"/>
        <v>0</v>
      </c>
      <c r="AC188" s="7">
        <f t="shared" si="36"/>
        <v>67.09</v>
      </c>
    </row>
    <row r="189" spans="2:30">
      <c r="B189" s="19">
        <v>45904</v>
      </c>
      <c r="C189" s="19"/>
      <c r="D189" s="13">
        <f t="shared" si="31"/>
        <v>1</v>
      </c>
      <c r="E189" s="16">
        <v>0</v>
      </c>
      <c r="F189" s="16">
        <v>0</v>
      </c>
      <c r="G189" s="7">
        <f t="shared" si="28"/>
        <v>133465.24420000002</v>
      </c>
      <c r="H189" s="14"/>
      <c r="I189" s="16">
        <v>0</v>
      </c>
      <c r="J189" s="16">
        <f t="shared" si="32"/>
        <v>36.57</v>
      </c>
      <c r="K189" s="16">
        <f t="shared" si="37"/>
        <v>182.85</v>
      </c>
      <c r="L189" s="14"/>
      <c r="M189" s="16">
        <f t="shared" si="33"/>
        <v>0</v>
      </c>
      <c r="N189" s="16">
        <f t="shared" si="33"/>
        <v>0</v>
      </c>
      <c r="O189" s="7">
        <f t="shared" si="34"/>
        <v>2019.6746000000003</v>
      </c>
      <c r="P189" s="16">
        <v>0</v>
      </c>
      <c r="Q189" s="16">
        <v>0</v>
      </c>
      <c r="R189" s="7">
        <f t="shared" si="38"/>
        <v>0</v>
      </c>
      <c r="S189" s="16">
        <v>0</v>
      </c>
      <c r="T189" s="16">
        <v>0</v>
      </c>
      <c r="U189" s="7">
        <f t="shared" si="39"/>
        <v>2019.6746000000003</v>
      </c>
      <c r="V189" s="14"/>
      <c r="W189" s="16">
        <v>0</v>
      </c>
      <c r="X189" s="16">
        <f t="shared" si="35"/>
        <v>0.06</v>
      </c>
      <c r="Y189" s="16">
        <f t="shared" si="29"/>
        <v>0.27</v>
      </c>
      <c r="Z189" s="14"/>
      <c r="AA189" s="16">
        <v>0</v>
      </c>
      <c r="AB189" s="16">
        <f t="shared" si="30"/>
        <v>0</v>
      </c>
      <c r="AC189" s="7">
        <f t="shared" si="36"/>
        <v>67.09</v>
      </c>
    </row>
    <row r="190" spans="2:30" ht="34">
      <c r="B190" s="19">
        <v>45905</v>
      </c>
      <c r="C190" s="19"/>
      <c r="D190" s="13">
        <f t="shared" si="31"/>
        <v>1</v>
      </c>
      <c r="E190" s="16">
        <v>0</v>
      </c>
      <c r="F190" s="14">
        <v>10000</v>
      </c>
      <c r="G190" s="7">
        <f t="shared" si="28"/>
        <v>143465.24420000002</v>
      </c>
      <c r="H190" s="14"/>
      <c r="I190" s="16">
        <v>0</v>
      </c>
      <c r="J190" s="16">
        <f t="shared" si="32"/>
        <v>36.57</v>
      </c>
      <c r="K190" s="16">
        <f t="shared" si="37"/>
        <v>219.42</v>
      </c>
      <c r="L190" s="14"/>
      <c r="M190" s="16">
        <f t="shared" si="33"/>
        <v>0</v>
      </c>
      <c r="N190" s="16">
        <f t="shared" si="33"/>
        <v>0</v>
      </c>
      <c r="O190" s="7">
        <f t="shared" si="34"/>
        <v>2019.6746000000003</v>
      </c>
      <c r="P190" s="16">
        <v>0</v>
      </c>
      <c r="Q190" s="16">
        <v>0</v>
      </c>
      <c r="R190" s="7">
        <f t="shared" si="38"/>
        <v>0</v>
      </c>
      <c r="S190" s="16">
        <v>0</v>
      </c>
      <c r="T190" s="16">
        <v>0</v>
      </c>
      <c r="U190" s="7">
        <f t="shared" si="39"/>
        <v>2019.6746000000003</v>
      </c>
      <c r="V190" s="14"/>
      <c r="W190" s="16">
        <v>0</v>
      </c>
      <c r="X190" s="16">
        <f t="shared" si="35"/>
        <v>0.06</v>
      </c>
      <c r="Y190" s="16">
        <f t="shared" si="29"/>
        <v>0.33</v>
      </c>
      <c r="Z190" s="14"/>
      <c r="AA190" s="16">
        <v>0</v>
      </c>
      <c r="AB190" s="16">
        <f t="shared" si="30"/>
        <v>0</v>
      </c>
      <c r="AC190" s="7">
        <f t="shared" si="36"/>
        <v>67.09</v>
      </c>
      <c r="AD190" s="65" t="s">
        <v>15</v>
      </c>
    </row>
    <row r="191" spans="2:30">
      <c r="B191" s="19">
        <v>45906</v>
      </c>
      <c r="C191" s="19"/>
      <c r="D191" s="13">
        <f t="shared" si="31"/>
        <v>1</v>
      </c>
      <c r="E191" s="16">
        <v>0</v>
      </c>
      <c r="F191" s="16">
        <v>0</v>
      </c>
      <c r="G191" s="7">
        <f t="shared" ref="G191:G254" si="40">G190+F191-E191</f>
        <v>143465.24420000002</v>
      </c>
      <c r="H191" s="14"/>
      <c r="I191" s="16">
        <v>0</v>
      </c>
      <c r="J191" s="16">
        <f t="shared" si="32"/>
        <v>39.31</v>
      </c>
      <c r="K191" s="16">
        <f t="shared" si="37"/>
        <v>258.73</v>
      </c>
      <c r="L191" s="14"/>
      <c r="M191" s="16">
        <f t="shared" si="33"/>
        <v>0</v>
      </c>
      <c r="N191" s="16">
        <f t="shared" si="33"/>
        <v>0</v>
      </c>
      <c r="O191" s="7">
        <f t="shared" si="34"/>
        <v>2019.6746000000003</v>
      </c>
      <c r="P191" s="16">
        <v>0</v>
      </c>
      <c r="Q191" s="16">
        <v>0</v>
      </c>
      <c r="R191" s="7">
        <f t="shared" si="38"/>
        <v>0</v>
      </c>
      <c r="S191" s="16">
        <v>0</v>
      </c>
      <c r="T191" s="16">
        <v>0</v>
      </c>
      <c r="U191" s="7">
        <f t="shared" si="39"/>
        <v>2019.6746000000003</v>
      </c>
      <c r="V191" s="14"/>
      <c r="W191" s="16">
        <v>0</v>
      </c>
      <c r="X191" s="16">
        <f t="shared" si="35"/>
        <v>0.06</v>
      </c>
      <c r="Y191" s="16">
        <f t="shared" si="29"/>
        <v>0.39</v>
      </c>
      <c r="Z191" s="14"/>
      <c r="AA191" s="16">
        <v>0</v>
      </c>
      <c r="AB191" s="16">
        <f t="shared" si="30"/>
        <v>0</v>
      </c>
      <c r="AC191" s="7">
        <f t="shared" si="36"/>
        <v>67.09</v>
      </c>
    </row>
    <row r="192" spans="2:30">
      <c r="B192" s="19">
        <v>45907</v>
      </c>
      <c r="C192" s="19"/>
      <c r="D192" s="13">
        <f t="shared" si="31"/>
        <v>1</v>
      </c>
      <c r="E192" s="16">
        <v>0</v>
      </c>
      <c r="F192" s="16">
        <v>0</v>
      </c>
      <c r="G192" s="7">
        <f t="shared" si="40"/>
        <v>143465.24420000002</v>
      </c>
      <c r="H192" s="14"/>
      <c r="I192" s="16">
        <v>0</v>
      </c>
      <c r="J192" s="16">
        <f t="shared" si="32"/>
        <v>39.31</v>
      </c>
      <c r="K192" s="16">
        <f t="shared" si="37"/>
        <v>298.04000000000002</v>
      </c>
      <c r="L192" s="14"/>
      <c r="M192" s="16">
        <f t="shared" si="33"/>
        <v>0</v>
      </c>
      <c r="N192" s="16">
        <f t="shared" si="33"/>
        <v>0</v>
      </c>
      <c r="O192" s="7">
        <f t="shared" si="34"/>
        <v>2019.6746000000003</v>
      </c>
      <c r="P192" s="16">
        <v>0</v>
      </c>
      <c r="Q192" s="16">
        <v>0</v>
      </c>
      <c r="R192" s="7">
        <f t="shared" si="38"/>
        <v>0</v>
      </c>
      <c r="S192" s="16">
        <v>0</v>
      </c>
      <c r="T192" s="16">
        <v>0</v>
      </c>
      <c r="U192" s="7">
        <f t="shared" si="39"/>
        <v>2019.6746000000003</v>
      </c>
      <c r="V192" s="14"/>
      <c r="W192" s="16">
        <v>0</v>
      </c>
      <c r="X192" s="16">
        <f t="shared" si="35"/>
        <v>0.06</v>
      </c>
      <c r="Y192" s="16">
        <f t="shared" si="29"/>
        <v>0.45</v>
      </c>
      <c r="Z192" s="14"/>
      <c r="AA192" s="16">
        <v>0</v>
      </c>
      <c r="AB192" s="16">
        <f t="shared" si="30"/>
        <v>0</v>
      </c>
      <c r="AC192" s="7">
        <f t="shared" si="36"/>
        <v>67.09</v>
      </c>
    </row>
    <row r="193" spans="2:30">
      <c r="B193" s="19">
        <v>45908</v>
      </c>
      <c r="C193" s="19"/>
      <c r="D193" s="13">
        <f t="shared" si="31"/>
        <v>1</v>
      </c>
      <c r="E193" s="16">
        <v>0</v>
      </c>
      <c r="F193" s="16">
        <v>0</v>
      </c>
      <c r="G193" s="7">
        <f t="shared" si="40"/>
        <v>143465.24420000002</v>
      </c>
      <c r="H193" s="14"/>
      <c r="I193" s="16">
        <v>0</v>
      </c>
      <c r="J193" s="16">
        <f t="shared" si="32"/>
        <v>39.31</v>
      </c>
      <c r="K193" s="16">
        <f t="shared" si="37"/>
        <v>337.35</v>
      </c>
      <c r="L193" s="14"/>
      <c r="M193" s="16">
        <f t="shared" si="33"/>
        <v>0</v>
      </c>
      <c r="N193" s="16">
        <f t="shared" si="33"/>
        <v>0</v>
      </c>
      <c r="O193" s="7">
        <f t="shared" si="34"/>
        <v>2019.6746000000003</v>
      </c>
      <c r="P193" s="16">
        <v>0</v>
      </c>
      <c r="Q193" s="16">
        <v>0</v>
      </c>
      <c r="R193" s="7">
        <f t="shared" si="38"/>
        <v>0</v>
      </c>
      <c r="S193" s="16">
        <v>0</v>
      </c>
      <c r="T193" s="16">
        <v>0</v>
      </c>
      <c r="U193" s="7">
        <f t="shared" si="39"/>
        <v>2019.6746000000003</v>
      </c>
      <c r="V193" s="14"/>
      <c r="W193" s="16">
        <v>0</v>
      </c>
      <c r="X193" s="16">
        <f t="shared" si="35"/>
        <v>0.06</v>
      </c>
      <c r="Y193" s="16">
        <f t="shared" si="29"/>
        <v>0.51</v>
      </c>
      <c r="Z193" s="14"/>
      <c r="AA193" s="16">
        <v>0</v>
      </c>
      <c r="AB193" s="16">
        <f t="shared" si="30"/>
        <v>0</v>
      </c>
      <c r="AC193" s="7">
        <f t="shared" si="36"/>
        <v>67.09</v>
      </c>
    </row>
    <row r="194" spans="2:30">
      <c r="B194" s="19">
        <v>45909</v>
      </c>
      <c r="C194" s="19"/>
      <c r="D194" s="13">
        <f t="shared" si="31"/>
        <v>1</v>
      </c>
      <c r="E194" s="16">
        <v>0</v>
      </c>
      <c r="F194" s="16">
        <v>0</v>
      </c>
      <c r="G194" s="7">
        <f t="shared" si="40"/>
        <v>143465.24420000002</v>
      </c>
      <c r="H194" s="14"/>
      <c r="I194" s="16">
        <v>0</v>
      </c>
      <c r="J194" s="16">
        <f t="shared" si="32"/>
        <v>39.31</v>
      </c>
      <c r="K194" s="16">
        <f t="shared" si="37"/>
        <v>376.66</v>
      </c>
      <c r="L194" s="14"/>
      <c r="M194" s="16">
        <f t="shared" si="33"/>
        <v>0</v>
      </c>
      <c r="N194" s="16">
        <f t="shared" si="33"/>
        <v>0</v>
      </c>
      <c r="O194" s="7">
        <f t="shared" si="34"/>
        <v>2019.6746000000003</v>
      </c>
      <c r="P194" s="16">
        <v>0</v>
      </c>
      <c r="Q194" s="16">
        <v>0</v>
      </c>
      <c r="R194" s="7">
        <f t="shared" si="38"/>
        <v>0</v>
      </c>
      <c r="S194" s="16">
        <v>0</v>
      </c>
      <c r="T194" s="16">
        <v>0</v>
      </c>
      <c r="U194" s="7">
        <f t="shared" si="39"/>
        <v>2019.6746000000003</v>
      </c>
      <c r="V194" s="14"/>
      <c r="W194" s="16">
        <v>0</v>
      </c>
      <c r="X194" s="16">
        <f t="shared" si="35"/>
        <v>0.06</v>
      </c>
      <c r="Y194" s="16">
        <f t="shared" si="29"/>
        <v>0.56999999999999995</v>
      </c>
      <c r="Z194" s="14"/>
      <c r="AA194" s="16">
        <v>0</v>
      </c>
      <c r="AB194" s="16">
        <f t="shared" si="30"/>
        <v>0</v>
      </c>
      <c r="AC194" s="7">
        <f t="shared" si="36"/>
        <v>67.09</v>
      </c>
    </row>
    <row r="195" spans="2:30">
      <c r="B195" s="19">
        <v>45910</v>
      </c>
      <c r="C195" s="19"/>
      <c r="D195" s="13">
        <f t="shared" si="31"/>
        <v>1</v>
      </c>
      <c r="E195" s="16">
        <v>0</v>
      </c>
      <c r="F195" s="16">
        <v>0</v>
      </c>
      <c r="G195" s="7">
        <f t="shared" si="40"/>
        <v>143465.24420000002</v>
      </c>
      <c r="H195" s="14"/>
      <c r="I195" s="16">
        <v>0</v>
      </c>
      <c r="J195" s="16">
        <f t="shared" si="32"/>
        <v>39.31</v>
      </c>
      <c r="K195" s="16">
        <f t="shared" si="37"/>
        <v>415.97</v>
      </c>
      <c r="L195" s="14"/>
      <c r="M195" s="16">
        <f t="shared" si="33"/>
        <v>0</v>
      </c>
      <c r="N195" s="16">
        <f t="shared" si="33"/>
        <v>0</v>
      </c>
      <c r="O195" s="7">
        <f t="shared" si="34"/>
        <v>2019.6746000000003</v>
      </c>
      <c r="P195" s="16">
        <v>0</v>
      </c>
      <c r="Q195" s="16">
        <v>0</v>
      </c>
      <c r="R195" s="7">
        <f t="shared" si="38"/>
        <v>0</v>
      </c>
      <c r="S195" s="16">
        <v>0</v>
      </c>
      <c r="T195" s="16">
        <v>0</v>
      </c>
      <c r="U195" s="7">
        <f t="shared" si="39"/>
        <v>2019.6746000000003</v>
      </c>
      <c r="V195" s="14"/>
      <c r="W195" s="16">
        <v>0</v>
      </c>
      <c r="X195" s="16">
        <f t="shared" si="35"/>
        <v>0.06</v>
      </c>
      <c r="Y195" s="16">
        <f t="shared" si="29"/>
        <v>0.63</v>
      </c>
      <c r="Z195" s="14"/>
      <c r="AA195" s="16">
        <v>0</v>
      </c>
      <c r="AB195" s="16">
        <f t="shared" si="30"/>
        <v>0</v>
      </c>
      <c r="AC195" s="7">
        <f t="shared" si="36"/>
        <v>67.09</v>
      </c>
    </row>
    <row r="196" spans="2:30">
      <c r="B196" s="19">
        <v>45911</v>
      </c>
      <c r="C196" s="19"/>
      <c r="D196" s="13">
        <f t="shared" si="31"/>
        <v>1</v>
      </c>
      <c r="E196" s="16">
        <v>0</v>
      </c>
      <c r="F196" s="16">
        <v>0</v>
      </c>
      <c r="G196" s="7">
        <f t="shared" si="40"/>
        <v>143465.24420000002</v>
      </c>
      <c r="H196" s="14"/>
      <c r="I196" s="16">
        <v>0</v>
      </c>
      <c r="J196" s="16">
        <f t="shared" si="32"/>
        <v>39.31</v>
      </c>
      <c r="K196" s="16">
        <f t="shared" si="37"/>
        <v>455.28</v>
      </c>
      <c r="L196" s="14"/>
      <c r="M196" s="16">
        <f t="shared" si="33"/>
        <v>0</v>
      </c>
      <c r="N196" s="16">
        <f t="shared" si="33"/>
        <v>0</v>
      </c>
      <c r="O196" s="7">
        <f t="shared" si="34"/>
        <v>2019.6746000000003</v>
      </c>
      <c r="P196" s="16">
        <v>0</v>
      </c>
      <c r="Q196" s="16">
        <v>0</v>
      </c>
      <c r="R196" s="7">
        <f t="shared" si="38"/>
        <v>0</v>
      </c>
      <c r="S196" s="16">
        <v>0</v>
      </c>
      <c r="T196" s="16">
        <v>0</v>
      </c>
      <c r="U196" s="7">
        <f t="shared" si="39"/>
        <v>2019.6746000000003</v>
      </c>
      <c r="V196" s="14"/>
      <c r="W196" s="16">
        <v>0</v>
      </c>
      <c r="X196" s="16">
        <f t="shared" si="35"/>
        <v>0.06</v>
      </c>
      <c r="Y196" s="16">
        <f t="shared" si="29"/>
        <v>0.69</v>
      </c>
      <c r="Z196" s="14"/>
      <c r="AA196" s="16">
        <v>0</v>
      </c>
      <c r="AB196" s="16">
        <f t="shared" si="30"/>
        <v>0</v>
      </c>
      <c r="AC196" s="7">
        <f t="shared" si="36"/>
        <v>67.09</v>
      </c>
    </row>
    <row r="197" spans="2:30">
      <c r="B197" s="19">
        <v>45912</v>
      </c>
      <c r="C197" s="19"/>
      <c r="D197" s="13">
        <f t="shared" si="31"/>
        <v>1</v>
      </c>
      <c r="E197" s="16">
        <v>0</v>
      </c>
      <c r="F197" s="16">
        <v>0</v>
      </c>
      <c r="G197" s="7">
        <f t="shared" si="40"/>
        <v>143465.24420000002</v>
      </c>
      <c r="H197" s="14"/>
      <c r="I197" s="16">
        <v>0</v>
      </c>
      <c r="J197" s="16">
        <f t="shared" si="32"/>
        <v>39.31</v>
      </c>
      <c r="K197" s="16">
        <f t="shared" si="37"/>
        <v>494.59</v>
      </c>
      <c r="L197" s="14"/>
      <c r="M197" s="16">
        <f t="shared" si="33"/>
        <v>0</v>
      </c>
      <c r="N197" s="16">
        <f t="shared" si="33"/>
        <v>0</v>
      </c>
      <c r="O197" s="7">
        <f t="shared" si="34"/>
        <v>2019.6746000000003</v>
      </c>
      <c r="P197" s="16">
        <v>0</v>
      </c>
      <c r="Q197" s="16">
        <v>0</v>
      </c>
      <c r="R197" s="7">
        <f t="shared" si="38"/>
        <v>0</v>
      </c>
      <c r="S197" s="16">
        <v>0</v>
      </c>
      <c r="T197" s="16">
        <v>0</v>
      </c>
      <c r="U197" s="7">
        <f t="shared" si="39"/>
        <v>2019.6746000000003</v>
      </c>
      <c r="V197" s="14"/>
      <c r="W197" s="16">
        <v>0</v>
      </c>
      <c r="X197" s="16">
        <f t="shared" si="35"/>
        <v>0.06</v>
      </c>
      <c r="Y197" s="16">
        <f t="shared" ref="Y197:Y260" si="41">ROUND(Y196+X197-W197,2)</f>
        <v>0.75</v>
      </c>
      <c r="Z197" s="14"/>
      <c r="AA197" s="16">
        <v>0</v>
      </c>
      <c r="AB197" s="16">
        <f t="shared" ref="AB197:AB259" si="42">(I197+W197)*$AB$3</f>
        <v>0</v>
      </c>
      <c r="AC197" s="7">
        <f t="shared" si="36"/>
        <v>67.09</v>
      </c>
    </row>
    <row r="198" spans="2:30">
      <c r="B198" s="19">
        <v>45913</v>
      </c>
      <c r="C198" s="19"/>
      <c r="D198" s="13">
        <f t="shared" ref="D198:D261" si="43">B198-B197</f>
        <v>1</v>
      </c>
      <c r="E198" s="16">
        <v>0</v>
      </c>
      <c r="F198" s="16">
        <v>0</v>
      </c>
      <c r="G198" s="7">
        <f t="shared" si="40"/>
        <v>143465.24420000002</v>
      </c>
      <c r="H198" s="14"/>
      <c r="I198" s="16">
        <v>0</v>
      </c>
      <c r="J198" s="16">
        <f t="shared" ref="J198:J261" si="44">ROUND((G198-F198)*$B$3/$D$3*D198,2)</f>
        <v>39.31</v>
      </c>
      <c r="K198" s="16">
        <f t="shared" si="37"/>
        <v>533.9</v>
      </c>
      <c r="L198" s="14"/>
      <c r="M198" s="16">
        <f t="shared" ref="M198:N238" si="45">P198+S198</f>
        <v>0</v>
      </c>
      <c r="N198" s="16">
        <f t="shared" si="45"/>
        <v>0</v>
      </c>
      <c r="O198" s="7">
        <f t="shared" ref="O198:O261" si="46">O197+N198-M198</f>
        <v>2019.6746000000003</v>
      </c>
      <c r="P198" s="16">
        <v>0</v>
      </c>
      <c r="Q198" s="16">
        <v>0</v>
      </c>
      <c r="R198" s="7">
        <f t="shared" si="38"/>
        <v>0</v>
      </c>
      <c r="S198" s="16">
        <v>0</v>
      </c>
      <c r="T198" s="16">
        <v>0</v>
      </c>
      <c r="U198" s="7">
        <f t="shared" si="39"/>
        <v>2019.6746000000003</v>
      </c>
      <c r="V198" s="14"/>
      <c r="W198" s="16">
        <v>0</v>
      </c>
      <c r="X198" s="16">
        <f t="shared" ref="X198:X261" si="47">ROUND((O198-N198)*$M$3/$N$3*D198,2)</f>
        <v>0.06</v>
      </c>
      <c r="Y198" s="16">
        <f t="shared" si="41"/>
        <v>0.81</v>
      </c>
      <c r="Z198" s="14"/>
      <c r="AA198" s="16">
        <v>0</v>
      </c>
      <c r="AB198" s="16">
        <f t="shared" si="42"/>
        <v>0</v>
      </c>
      <c r="AC198" s="7">
        <f t="shared" ref="AC198:AC261" si="48">ROUND(AC197+AB198-AA198,2)</f>
        <v>67.09</v>
      </c>
    </row>
    <row r="199" spans="2:30" ht="17">
      <c r="B199" s="19">
        <v>45914</v>
      </c>
      <c r="C199" s="19"/>
      <c r="D199" s="13">
        <f t="shared" si="43"/>
        <v>1</v>
      </c>
      <c r="E199" s="16">
        <v>0</v>
      </c>
      <c r="F199" s="16">
        <v>0</v>
      </c>
      <c r="G199" s="7">
        <f t="shared" si="40"/>
        <v>143465.24420000002</v>
      </c>
      <c r="H199" s="14"/>
      <c r="I199" s="16">
        <v>0</v>
      </c>
      <c r="J199" s="16">
        <f t="shared" si="44"/>
        <v>39.31</v>
      </c>
      <c r="K199" s="16">
        <f t="shared" ref="K199:K262" si="49">ROUND(K198+J199-I199,2)</f>
        <v>573.21</v>
      </c>
      <c r="L199" s="14"/>
      <c r="M199" s="16">
        <f t="shared" si="45"/>
        <v>0</v>
      </c>
      <c r="N199" s="16">
        <f t="shared" si="45"/>
        <v>0</v>
      </c>
      <c r="O199" s="7">
        <f t="shared" si="46"/>
        <v>2019.6746000000003</v>
      </c>
      <c r="P199" s="16">
        <v>0</v>
      </c>
      <c r="Q199" s="16">
        <v>0</v>
      </c>
      <c r="R199" s="7">
        <f t="shared" si="38"/>
        <v>0</v>
      </c>
      <c r="S199" s="16">
        <v>0</v>
      </c>
      <c r="T199" s="16">
        <v>0</v>
      </c>
      <c r="U199" s="7">
        <f t="shared" si="39"/>
        <v>2019.6746000000003</v>
      </c>
      <c r="V199" s="14"/>
      <c r="W199" s="16">
        <v>0</v>
      </c>
      <c r="X199" s="16">
        <f t="shared" si="47"/>
        <v>0.06</v>
      </c>
      <c r="Y199" s="16">
        <f t="shared" si="41"/>
        <v>0.87</v>
      </c>
      <c r="Z199" s="14"/>
      <c r="AA199" s="22">
        <f>AC198</f>
        <v>67.09</v>
      </c>
      <c r="AB199" s="16">
        <f t="shared" si="42"/>
        <v>0</v>
      </c>
      <c r="AC199" s="69">
        <f t="shared" si="48"/>
        <v>0</v>
      </c>
      <c r="AD199" s="71" t="s">
        <v>48</v>
      </c>
    </row>
    <row r="200" spans="2:30">
      <c r="B200" s="19">
        <v>45915</v>
      </c>
      <c r="C200" s="19"/>
      <c r="D200" s="13">
        <f t="shared" si="43"/>
        <v>1</v>
      </c>
      <c r="E200" s="16">
        <v>0</v>
      </c>
      <c r="F200" s="16">
        <v>0</v>
      </c>
      <c r="G200" s="7">
        <f t="shared" si="40"/>
        <v>143465.24420000002</v>
      </c>
      <c r="H200" s="14"/>
      <c r="I200" s="16">
        <v>0</v>
      </c>
      <c r="J200" s="16">
        <f t="shared" si="44"/>
        <v>39.31</v>
      </c>
      <c r="K200" s="16">
        <f t="shared" si="49"/>
        <v>612.52</v>
      </c>
      <c r="L200" s="14"/>
      <c r="M200" s="16">
        <f t="shared" si="45"/>
        <v>0</v>
      </c>
      <c r="N200" s="16">
        <f t="shared" si="45"/>
        <v>0</v>
      </c>
      <c r="O200" s="7">
        <f t="shared" si="46"/>
        <v>2019.6746000000003</v>
      </c>
      <c r="P200" s="16">
        <v>0</v>
      </c>
      <c r="Q200" s="16">
        <v>0</v>
      </c>
      <c r="R200" s="7">
        <f t="shared" si="38"/>
        <v>0</v>
      </c>
      <c r="S200" s="16">
        <v>0</v>
      </c>
      <c r="T200" s="16">
        <v>0</v>
      </c>
      <c r="U200" s="7">
        <f t="shared" si="39"/>
        <v>2019.6746000000003</v>
      </c>
      <c r="V200" s="14"/>
      <c r="W200" s="16">
        <v>0</v>
      </c>
      <c r="X200" s="16">
        <f t="shared" si="47"/>
        <v>0.06</v>
      </c>
      <c r="Y200" s="16">
        <f t="shared" si="41"/>
        <v>0.93</v>
      </c>
      <c r="Z200" s="14"/>
      <c r="AA200" s="16">
        <v>0</v>
      </c>
      <c r="AB200" s="16">
        <f t="shared" si="42"/>
        <v>0</v>
      </c>
      <c r="AC200" s="7">
        <f t="shared" si="48"/>
        <v>0</v>
      </c>
    </row>
    <row r="201" spans="2:30">
      <c r="B201" s="19">
        <v>45916</v>
      </c>
      <c r="C201" s="19"/>
      <c r="D201" s="13">
        <f t="shared" si="43"/>
        <v>1</v>
      </c>
      <c r="E201" s="16">
        <v>0</v>
      </c>
      <c r="F201" s="16">
        <v>0</v>
      </c>
      <c r="G201" s="7">
        <f t="shared" si="40"/>
        <v>143465.24420000002</v>
      </c>
      <c r="H201" s="14"/>
      <c r="I201" s="16">
        <v>0</v>
      </c>
      <c r="J201" s="16">
        <f t="shared" si="44"/>
        <v>39.31</v>
      </c>
      <c r="K201" s="16">
        <f t="shared" si="49"/>
        <v>651.83000000000004</v>
      </c>
      <c r="L201" s="14"/>
      <c r="M201" s="16">
        <f t="shared" si="45"/>
        <v>0</v>
      </c>
      <c r="N201" s="16">
        <f t="shared" si="45"/>
        <v>0</v>
      </c>
      <c r="O201" s="7">
        <f t="shared" si="46"/>
        <v>2019.6746000000003</v>
      </c>
      <c r="P201" s="16">
        <v>0</v>
      </c>
      <c r="Q201" s="16">
        <v>0</v>
      </c>
      <c r="R201" s="7">
        <f t="shared" si="38"/>
        <v>0</v>
      </c>
      <c r="S201" s="16">
        <v>0</v>
      </c>
      <c r="T201" s="16">
        <v>0</v>
      </c>
      <c r="U201" s="7">
        <f t="shared" si="39"/>
        <v>2019.6746000000003</v>
      </c>
      <c r="V201" s="14"/>
      <c r="W201" s="16">
        <v>0</v>
      </c>
      <c r="X201" s="16">
        <f t="shared" si="47"/>
        <v>0.06</v>
      </c>
      <c r="Y201" s="16">
        <f t="shared" si="41"/>
        <v>0.99</v>
      </c>
      <c r="Z201" s="14"/>
      <c r="AA201" s="16">
        <v>0</v>
      </c>
      <c r="AB201" s="16">
        <f t="shared" si="42"/>
        <v>0</v>
      </c>
      <c r="AC201" s="7">
        <f t="shared" si="48"/>
        <v>0</v>
      </c>
    </row>
    <row r="202" spans="2:30">
      <c r="B202" s="19">
        <v>45917</v>
      </c>
      <c r="C202" s="19"/>
      <c r="D202" s="13">
        <f t="shared" si="43"/>
        <v>1</v>
      </c>
      <c r="E202" s="16">
        <v>0</v>
      </c>
      <c r="F202" s="16">
        <v>0</v>
      </c>
      <c r="G202" s="7">
        <f t="shared" si="40"/>
        <v>143465.24420000002</v>
      </c>
      <c r="H202" s="14"/>
      <c r="I202" s="16">
        <v>0</v>
      </c>
      <c r="J202" s="16">
        <f t="shared" si="44"/>
        <v>39.31</v>
      </c>
      <c r="K202" s="16">
        <f t="shared" si="49"/>
        <v>691.14</v>
      </c>
      <c r="L202" s="14"/>
      <c r="M202" s="16">
        <f t="shared" si="45"/>
        <v>0</v>
      </c>
      <c r="N202" s="16">
        <f t="shared" si="45"/>
        <v>0</v>
      </c>
      <c r="O202" s="7">
        <f t="shared" si="46"/>
        <v>2019.6746000000003</v>
      </c>
      <c r="P202" s="16">
        <v>0</v>
      </c>
      <c r="Q202" s="16">
        <v>0</v>
      </c>
      <c r="R202" s="7">
        <f t="shared" si="38"/>
        <v>0</v>
      </c>
      <c r="S202" s="16">
        <v>0</v>
      </c>
      <c r="T202" s="16">
        <v>0</v>
      </c>
      <c r="U202" s="7">
        <f t="shared" si="39"/>
        <v>2019.6746000000003</v>
      </c>
      <c r="V202" s="14"/>
      <c r="W202" s="16">
        <v>0</v>
      </c>
      <c r="X202" s="16">
        <f t="shared" si="47"/>
        <v>0.06</v>
      </c>
      <c r="Y202" s="16">
        <f t="shared" si="41"/>
        <v>1.05</v>
      </c>
      <c r="Z202" s="14"/>
      <c r="AA202" s="16">
        <v>0</v>
      </c>
      <c r="AB202" s="16">
        <f t="shared" si="42"/>
        <v>0</v>
      </c>
      <c r="AC202" s="7">
        <f t="shared" si="48"/>
        <v>0</v>
      </c>
    </row>
    <row r="203" spans="2:30">
      <c r="B203" s="19">
        <v>45918</v>
      </c>
      <c r="C203" s="19"/>
      <c r="D203" s="13">
        <f t="shared" si="43"/>
        <v>1</v>
      </c>
      <c r="E203" s="16">
        <v>0</v>
      </c>
      <c r="F203" s="16">
        <v>0</v>
      </c>
      <c r="G203" s="7">
        <f t="shared" si="40"/>
        <v>143465.24420000002</v>
      </c>
      <c r="H203" s="14"/>
      <c r="I203" s="16">
        <v>0</v>
      </c>
      <c r="J203" s="16">
        <f t="shared" si="44"/>
        <v>39.31</v>
      </c>
      <c r="K203" s="16">
        <f t="shared" si="49"/>
        <v>730.45</v>
      </c>
      <c r="L203" s="14"/>
      <c r="M203" s="16">
        <f t="shared" si="45"/>
        <v>0</v>
      </c>
      <c r="N203" s="16">
        <f t="shared" si="45"/>
        <v>0</v>
      </c>
      <c r="O203" s="7">
        <f t="shared" si="46"/>
        <v>2019.6746000000003</v>
      </c>
      <c r="P203" s="16">
        <v>0</v>
      </c>
      <c r="Q203" s="16">
        <v>0</v>
      </c>
      <c r="R203" s="7">
        <f t="shared" si="38"/>
        <v>0</v>
      </c>
      <c r="S203" s="16">
        <v>0</v>
      </c>
      <c r="T203" s="16">
        <v>0</v>
      </c>
      <c r="U203" s="7">
        <f t="shared" si="39"/>
        <v>2019.6746000000003</v>
      </c>
      <c r="V203" s="14"/>
      <c r="W203" s="16">
        <v>0</v>
      </c>
      <c r="X203" s="16">
        <f t="shared" si="47"/>
        <v>0.06</v>
      </c>
      <c r="Y203" s="16">
        <f t="shared" si="41"/>
        <v>1.1100000000000001</v>
      </c>
      <c r="Z203" s="14"/>
      <c r="AA203" s="16">
        <v>0</v>
      </c>
      <c r="AB203" s="16">
        <f t="shared" si="42"/>
        <v>0</v>
      </c>
      <c r="AC203" s="7">
        <f t="shared" si="48"/>
        <v>0</v>
      </c>
    </row>
    <row r="204" spans="2:30">
      <c r="B204" s="19">
        <v>45919</v>
      </c>
      <c r="C204" s="19"/>
      <c r="D204" s="13">
        <f t="shared" si="43"/>
        <v>1</v>
      </c>
      <c r="E204" s="16">
        <v>0</v>
      </c>
      <c r="F204" s="16">
        <v>0</v>
      </c>
      <c r="G204" s="7">
        <f t="shared" si="40"/>
        <v>143465.24420000002</v>
      </c>
      <c r="H204" s="14"/>
      <c r="I204" s="16">
        <v>0</v>
      </c>
      <c r="J204" s="16">
        <f t="shared" si="44"/>
        <v>39.31</v>
      </c>
      <c r="K204" s="16">
        <f t="shared" si="49"/>
        <v>769.76</v>
      </c>
      <c r="L204" s="14"/>
      <c r="M204" s="16">
        <f t="shared" si="45"/>
        <v>0</v>
      </c>
      <c r="N204" s="16">
        <f t="shared" si="45"/>
        <v>0</v>
      </c>
      <c r="O204" s="7">
        <f t="shared" si="46"/>
        <v>2019.6746000000003</v>
      </c>
      <c r="P204" s="16">
        <v>0</v>
      </c>
      <c r="Q204" s="16">
        <v>0</v>
      </c>
      <c r="R204" s="7">
        <f t="shared" si="38"/>
        <v>0</v>
      </c>
      <c r="S204" s="16">
        <v>0</v>
      </c>
      <c r="T204" s="16">
        <v>0</v>
      </c>
      <c r="U204" s="7">
        <f t="shared" si="39"/>
        <v>2019.6746000000003</v>
      </c>
      <c r="V204" s="14"/>
      <c r="W204" s="16">
        <v>0</v>
      </c>
      <c r="X204" s="16">
        <f t="shared" si="47"/>
        <v>0.06</v>
      </c>
      <c r="Y204" s="16">
        <f t="shared" si="41"/>
        <v>1.17</v>
      </c>
      <c r="Z204" s="14"/>
      <c r="AA204" s="16">
        <v>0</v>
      </c>
      <c r="AB204" s="16">
        <f t="shared" si="42"/>
        <v>0</v>
      </c>
      <c r="AC204" s="7">
        <f t="shared" si="48"/>
        <v>0</v>
      </c>
    </row>
    <row r="205" spans="2:30">
      <c r="B205" s="19">
        <v>45920</v>
      </c>
      <c r="C205" s="19"/>
      <c r="D205" s="13">
        <f t="shared" si="43"/>
        <v>1</v>
      </c>
      <c r="E205" s="16">
        <v>0</v>
      </c>
      <c r="F205" s="16">
        <v>0</v>
      </c>
      <c r="G205" s="7">
        <f t="shared" si="40"/>
        <v>143465.24420000002</v>
      </c>
      <c r="H205" s="14"/>
      <c r="I205" s="16">
        <v>0</v>
      </c>
      <c r="J205" s="16">
        <f t="shared" si="44"/>
        <v>39.31</v>
      </c>
      <c r="K205" s="16">
        <f t="shared" si="49"/>
        <v>809.07</v>
      </c>
      <c r="L205" s="14"/>
      <c r="M205" s="16">
        <f t="shared" si="45"/>
        <v>0</v>
      </c>
      <c r="N205" s="16">
        <f t="shared" si="45"/>
        <v>0</v>
      </c>
      <c r="O205" s="7">
        <f t="shared" si="46"/>
        <v>2019.6746000000003</v>
      </c>
      <c r="P205" s="16">
        <v>0</v>
      </c>
      <c r="Q205" s="16">
        <v>0</v>
      </c>
      <c r="R205" s="7">
        <f t="shared" si="38"/>
        <v>0</v>
      </c>
      <c r="S205" s="16">
        <v>0</v>
      </c>
      <c r="T205" s="16">
        <v>0</v>
      </c>
      <c r="U205" s="7">
        <f t="shared" si="39"/>
        <v>2019.6746000000003</v>
      </c>
      <c r="V205" s="14"/>
      <c r="W205" s="16">
        <v>0</v>
      </c>
      <c r="X205" s="16">
        <f t="shared" si="47"/>
        <v>0.06</v>
      </c>
      <c r="Y205" s="16">
        <f t="shared" si="41"/>
        <v>1.23</v>
      </c>
      <c r="Z205" s="14"/>
      <c r="AA205" s="16">
        <v>0</v>
      </c>
      <c r="AB205" s="16">
        <f t="shared" si="42"/>
        <v>0</v>
      </c>
      <c r="AC205" s="7">
        <f t="shared" si="48"/>
        <v>0</v>
      </c>
    </row>
    <row r="206" spans="2:30">
      <c r="B206" s="19">
        <v>45921</v>
      </c>
      <c r="C206" s="19"/>
      <c r="D206" s="13">
        <f t="shared" si="43"/>
        <v>1</v>
      </c>
      <c r="E206" s="16">
        <v>0</v>
      </c>
      <c r="F206" s="16">
        <v>0</v>
      </c>
      <c r="G206" s="7">
        <f t="shared" si="40"/>
        <v>143465.24420000002</v>
      </c>
      <c r="H206" s="14"/>
      <c r="I206" s="16">
        <v>0</v>
      </c>
      <c r="J206" s="16">
        <f t="shared" si="44"/>
        <v>39.31</v>
      </c>
      <c r="K206" s="16">
        <f t="shared" si="49"/>
        <v>848.38</v>
      </c>
      <c r="L206" s="14"/>
      <c r="M206" s="16">
        <f t="shared" si="45"/>
        <v>0</v>
      </c>
      <c r="N206" s="16">
        <f t="shared" si="45"/>
        <v>0</v>
      </c>
      <c r="O206" s="7">
        <f t="shared" si="46"/>
        <v>2019.6746000000003</v>
      </c>
      <c r="P206" s="16">
        <v>0</v>
      </c>
      <c r="Q206" s="16">
        <v>0</v>
      </c>
      <c r="R206" s="7">
        <f t="shared" si="38"/>
        <v>0</v>
      </c>
      <c r="S206" s="16">
        <v>0</v>
      </c>
      <c r="T206" s="16">
        <v>0</v>
      </c>
      <c r="U206" s="7">
        <f t="shared" si="39"/>
        <v>2019.6746000000003</v>
      </c>
      <c r="V206" s="14"/>
      <c r="W206" s="16">
        <v>0</v>
      </c>
      <c r="X206" s="16">
        <f t="shared" si="47"/>
        <v>0.06</v>
      </c>
      <c r="Y206" s="16">
        <f t="shared" si="41"/>
        <v>1.29</v>
      </c>
      <c r="Z206" s="14"/>
      <c r="AA206" s="16">
        <v>0</v>
      </c>
      <c r="AB206" s="16">
        <f t="shared" si="42"/>
        <v>0</v>
      </c>
      <c r="AC206" s="7">
        <f t="shared" si="48"/>
        <v>0</v>
      </c>
    </row>
    <row r="207" spans="2:30">
      <c r="B207" s="19">
        <v>45922</v>
      </c>
      <c r="C207" s="19"/>
      <c r="D207" s="13">
        <f t="shared" si="43"/>
        <v>1</v>
      </c>
      <c r="E207" s="16">
        <v>0</v>
      </c>
      <c r="F207" s="16">
        <v>0</v>
      </c>
      <c r="G207" s="7">
        <f t="shared" si="40"/>
        <v>143465.24420000002</v>
      </c>
      <c r="H207" s="14"/>
      <c r="I207" s="16">
        <v>0</v>
      </c>
      <c r="J207" s="16">
        <f t="shared" si="44"/>
        <v>39.31</v>
      </c>
      <c r="K207" s="16">
        <f t="shared" si="49"/>
        <v>887.69</v>
      </c>
      <c r="L207" s="14"/>
      <c r="M207" s="16">
        <f t="shared" si="45"/>
        <v>0</v>
      </c>
      <c r="N207" s="16">
        <f t="shared" si="45"/>
        <v>0</v>
      </c>
      <c r="O207" s="7">
        <f t="shared" si="46"/>
        <v>2019.6746000000003</v>
      </c>
      <c r="P207" s="16">
        <v>0</v>
      </c>
      <c r="Q207" s="16">
        <v>0</v>
      </c>
      <c r="R207" s="7">
        <f t="shared" si="38"/>
        <v>0</v>
      </c>
      <c r="S207" s="16">
        <v>0</v>
      </c>
      <c r="T207" s="16">
        <v>0</v>
      </c>
      <c r="U207" s="7">
        <f t="shared" si="39"/>
        <v>2019.6746000000003</v>
      </c>
      <c r="V207" s="14"/>
      <c r="W207" s="16">
        <v>0</v>
      </c>
      <c r="X207" s="16">
        <f t="shared" si="47"/>
        <v>0.06</v>
      </c>
      <c r="Y207" s="16">
        <f t="shared" si="41"/>
        <v>1.35</v>
      </c>
      <c r="Z207" s="14"/>
      <c r="AA207" s="16">
        <v>0</v>
      </c>
      <c r="AB207" s="16">
        <f t="shared" si="42"/>
        <v>0</v>
      </c>
      <c r="AC207" s="7">
        <f t="shared" si="48"/>
        <v>0</v>
      </c>
    </row>
    <row r="208" spans="2:30">
      <c r="B208" s="19">
        <v>45923</v>
      </c>
      <c r="C208" s="19"/>
      <c r="D208" s="13">
        <f t="shared" si="43"/>
        <v>1</v>
      </c>
      <c r="E208" s="16">
        <v>0</v>
      </c>
      <c r="F208" s="16">
        <v>0</v>
      </c>
      <c r="G208" s="7">
        <f t="shared" si="40"/>
        <v>143465.24420000002</v>
      </c>
      <c r="H208" s="14"/>
      <c r="I208" s="16">
        <v>0</v>
      </c>
      <c r="J208" s="16">
        <f t="shared" si="44"/>
        <v>39.31</v>
      </c>
      <c r="K208" s="16">
        <f t="shared" si="49"/>
        <v>927</v>
      </c>
      <c r="L208" s="14"/>
      <c r="M208" s="16">
        <f t="shared" si="45"/>
        <v>0</v>
      </c>
      <c r="N208" s="16">
        <f t="shared" si="45"/>
        <v>0</v>
      </c>
      <c r="O208" s="7">
        <f t="shared" si="46"/>
        <v>2019.6746000000003</v>
      </c>
      <c r="P208" s="16">
        <v>0</v>
      </c>
      <c r="Q208" s="16">
        <v>0</v>
      </c>
      <c r="R208" s="7">
        <f t="shared" si="38"/>
        <v>0</v>
      </c>
      <c r="S208" s="16">
        <v>0</v>
      </c>
      <c r="T208" s="16">
        <v>0</v>
      </c>
      <c r="U208" s="7">
        <f t="shared" si="39"/>
        <v>2019.6746000000003</v>
      </c>
      <c r="V208" s="14"/>
      <c r="W208" s="16">
        <v>0</v>
      </c>
      <c r="X208" s="16">
        <f t="shared" si="47"/>
        <v>0.06</v>
      </c>
      <c r="Y208" s="16">
        <f t="shared" si="41"/>
        <v>1.41</v>
      </c>
      <c r="Z208" s="14"/>
      <c r="AA208" s="16">
        <v>0</v>
      </c>
      <c r="AB208" s="16">
        <f t="shared" si="42"/>
        <v>0</v>
      </c>
      <c r="AC208" s="7">
        <f t="shared" si="48"/>
        <v>0</v>
      </c>
    </row>
    <row r="209" spans="2:30">
      <c r="B209" s="19">
        <v>45924</v>
      </c>
      <c r="C209" s="19"/>
      <c r="D209" s="13">
        <f t="shared" si="43"/>
        <v>1</v>
      </c>
      <c r="E209" s="16">
        <v>0</v>
      </c>
      <c r="F209" s="16">
        <v>0</v>
      </c>
      <c r="G209" s="7">
        <f t="shared" si="40"/>
        <v>143465.24420000002</v>
      </c>
      <c r="H209" s="14"/>
      <c r="I209" s="16">
        <v>0</v>
      </c>
      <c r="J209" s="16">
        <f t="shared" si="44"/>
        <v>39.31</v>
      </c>
      <c r="K209" s="16">
        <f t="shared" si="49"/>
        <v>966.31</v>
      </c>
      <c r="L209" s="14"/>
      <c r="M209" s="16">
        <f t="shared" si="45"/>
        <v>0</v>
      </c>
      <c r="N209" s="16">
        <f t="shared" si="45"/>
        <v>0</v>
      </c>
      <c r="O209" s="7">
        <f t="shared" si="46"/>
        <v>2019.6746000000003</v>
      </c>
      <c r="P209" s="16">
        <v>0</v>
      </c>
      <c r="Q209" s="16">
        <v>0</v>
      </c>
      <c r="R209" s="7">
        <f t="shared" si="38"/>
        <v>0</v>
      </c>
      <c r="S209" s="16">
        <v>0</v>
      </c>
      <c r="T209" s="16">
        <v>0</v>
      </c>
      <c r="U209" s="7">
        <f t="shared" si="39"/>
        <v>2019.6746000000003</v>
      </c>
      <c r="V209" s="14"/>
      <c r="W209" s="16">
        <v>0</v>
      </c>
      <c r="X209" s="16">
        <f t="shared" si="47"/>
        <v>0.06</v>
      </c>
      <c r="Y209" s="16">
        <f t="shared" si="41"/>
        <v>1.47</v>
      </c>
      <c r="Z209" s="14"/>
      <c r="AA209" s="16">
        <v>0</v>
      </c>
      <c r="AB209" s="16">
        <f t="shared" si="42"/>
        <v>0</v>
      </c>
      <c r="AC209" s="7">
        <f t="shared" si="48"/>
        <v>0</v>
      </c>
    </row>
    <row r="210" spans="2:30">
      <c r="B210" s="19">
        <v>45925</v>
      </c>
      <c r="C210" s="19"/>
      <c r="D210" s="13">
        <f t="shared" si="43"/>
        <v>1</v>
      </c>
      <c r="E210" s="16">
        <v>0</v>
      </c>
      <c r="F210" s="16">
        <v>0</v>
      </c>
      <c r="G210" s="7">
        <f t="shared" si="40"/>
        <v>143465.24420000002</v>
      </c>
      <c r="H210" s="14"/>
      <c r="I210" s="16">
        <v>0</v>
      </c>
      <c r="J210" s="16">
        <f t="shared" si="44"/>
        <v>39.31</v>
      </c>
      <c r="K210" s="16">
        <f t="shared" si="49"/>
        <v>1005.62</v>
      </c>
      <c r="L210" s="14"/>
      <c r="M210" s="16">
        <f t="shared" si="45"/>
        <v>0</v>
      </c>
      <c r="N210" s="16">
        <f t="shared" si="45"/>
        <v>0</v>
      </c>
      <c r="O210" s="7">
        <f t="shared" si="46"/>
        <v>2019.6746000000003</v>
      </c>
      <c r="P210" s="16">
        <v>0</v>
      </c>
      <c r="Q210" s="16">
        <v>0</v>
      </c>
      <c r="R210" s="7">
        <f t="shared" si="38"/>
        <v>0</v>
      </c>
      <c r="S210" s="16">
        <v>0</v>
      </c>
      <c r="T210" s="16">
        <v>0</v>
      </c>
      <c r="U210" s="7">
        <f t="shared" si="39"/>
        <v>2019.6746000000003</v>
      </c>
      <c r="V210" s="14"/>
      <c r="W210" s="16">
        <v>0</v>
      </c>
      <c r="X210" s="16">
        <f t="shared" si="47"/>
        <v>0.06</v>
      </c>
      <c r="Y210" s="16">
        <f t="shared" si="41"/>
        <v>1.53</v>
      </c>
      <c r="Z210" s="14"/>
      <c r="AA210" s="16">
        <v>0</v>
      </c>
      <c r="AB210" s="16">
        <f t="shared" si="42"/>
        <v>0</v>
      </c>
      <c r="AC210" s="7">
        <f t="shared" si="48"/>
        <v>0</v>
      </c>
    </row>
    <row r="211" spans="2:30">
      <c r="B211" s="19">
        <v>45926</v>
      </c>
      <c r="C211" s="19"/>
      <c r="D211" s="13">
        <f t="shared" si="43"/>
        <v>1</v>
      </c>
      <c r="E211" s="16">
        <v>0</v>
      </c>
      <c r="F211" s="16">
        <v>0</v>
      </c>
      <c r="G211" s="7">
        <f t="shared" si="40"/>
        <v>143465.24420000002</v>
      </c>
      <c r="H211" s="14"/>
      <c r="I211" s="16">
        <v>0</v>
      </c>
      <c r="J211" s="16">
        <f t="shared" si="44"/>
        <v>39.31</v>
      </c>
      <c r="K211" s="16">
        <f t="shared" si="49"/>
        <v>1044.93</v>
      </c>
      <c r="L211" s="14"/>
      <c r="M211" s="16">
        <f t="shared" si="45"/>
        <v>0</v>
      </c>
      <c r="N211" s="16">
        <f t="shared" si="45"/>
        <v>0</v>
      </c>
      <c r="O211" s="7">
        <f t="shared" si="46"/>
        <v>2019.6746000000003</v>
      </c>
      <c r="P211" s="16">
        <v>0</v>
      </c>
      <c r="Q211" s="16">
        <v>0</v>
      </c>
      <c r="R211" s="7">
        <f t="shared" si="38"/>
        <v>0</v>
      </c>
      <c r="S211" s="16">
        <v>0</v>
      </c>
      <c r="T211" s="16">
        <v>0</v>
      </c>
      <c r="U211" s="7">
        <f t="shared" si="39"/>
        <v>2019.6746000000003</v>
      </c>
      <c r="V211" s="14"/>
      <c r="W211" s="16">
        <v>0</v>
      </c>
      <c r="X211" s="16">
        <f t="shared" si="47"/>
        <v>0.06</v>
      </c>
      <c r="Y211" s="16">
        <f t="shared" si="41"/>
        <v>1.59</v>
      </c>
      <c r="Z211" s="14"/>
      <c r="AA211" s="16">
        <v>0</v>
      </c>
      <c r="AB211" s="16">
        <f t="shared" si="42"/>
        <v>0</v>
      </c>
      <c r="AC211" s="7">
        <f t="shared" si="48"/>
        <v>0</v>
      </c>
    </row>
    <row r="212" spans="2:30">
      <c r="B212" s="19">
        <v>45927</v>
      </c>
      <c r="C212" s="19"/>
      <c r="D212" s="13">
        <f t="shared" si="43"/>
        <v>1</v>
      </c>
      <c r="E212" s="16">
        <v>0</v>
      </c>
      <c r="F212" s="16">
        <v>0</v>
      </c>
      <c r="G212" s="7">
        <f t="shared" si="40"/>
        <v>143465.24420000002</v>
      </c>
      <c r="H212" s="14"/>
      <c r="I212" s="16">
        <v>0</v>
      </c>
      <c r="J212" s="16">
        <f t="shared" si="44"/>
        <v>39.31</v>
      </c>
      <c r="K212" s="16">
        <f t="shared" si="49"/>
        <v>1084.24</v>
      </c>
      <c r="L212" s="14"/>
      <c r="M212" s="16">
        <f t="shared" si="45"/>
        <v>0</v>
      </c>
      <c r="N212" s="16">
        <f t="shared" si="45"/>
        <v>0</v>
      </c>
      <c r="O212" s="7">
        <f t="shared" si="46"/>
        <v>2019.6746000000003</v>
      </c>
      <c r="P212" s="16">
        <v>0</v>
      </c>
      <c r="Q212" s="16">
        <v>0</v>
      </c>
      <c r="R212" s="7">
        <f t="shared" si="38"/>
        <v>0</v>
      </c>
      <c r="S212" s="16">
        <v>0</v>
      </c>
      <c r="T212" s="16">
        <v>0</v>
      </c>
      <c r="U212" s="7">
        <f t="shared" si="39"/>
        <v>2019.6746000000003</v>
      </c>
      <c r="V212" s="14"/>
      <c r="W212" s="16">
        <v>0</v>
      </c>
      <c r="X212" s="16">
        <f t="shared" si="47"/>
        <v>0.06</v>
      </c>
      <c r="Y212" s="16">
        <f t="shared" si="41"/>
        <v>1.65</v>
      </c>
      <c r="Z212" s="14"/>
      <c r="AA212" s="16">
        <v>0</v>
      </c>
      <c r="AB212" s="16">
        <f t="shared" si="42"/>
        <v>0</v>
      </c>
      <c r="AC212" s="7">
        <f t="shared" si="48"/>
        <v>0</v>
      </c>
    </row>
    <row r="213" spans="2:30">
      <c r="B213" s="19">
        <v>45928</v>
      </c>
      <c r="C213" s="19"/>
      <c r="D213" s="13">
        <f t="shared" si="43"/>
        <v>1</v>
      </c>
      <c r="E213" s="16">
        <v>0</v>
      </c>
      <c r="F213" s="16">
        <v>0</v>
      </c>
      <c r="G213" s="7">
        <f t="shared" si="40"/>
        <v>143465.24420000002</v>
      </c>
      <c r="H213" s="14"/>
      <c r="I213" s="16">
        <v>0</v>
      </c>
      <c r="J213" s="16">
        <f t="shared" si="44"/>
        <v>39.31</v>
      </c>
      <c r="K213" s="16">
        <f t="shared" si="49"/>
        <v>1123.55</v>
      </c>
      <c r="L213" s="14"/>
      <c r="M213" s="16">
        <f t="shared" si="45"/>
        <v>0</v>
      </c>
      <c r="N213" s="16">
        <f t="shared" si="45"/>
        <v>0</v>
      </c>
      <c r="O213" s="7">
        <f t="shared" si="46"/>
        <v>2019.6746000000003</v>
      </c>
      <c r="P213" s="16">
        <v>0</v>
      </c>
      <c r="Q213" s="16">
        <v>0</v>
      </c>
      <c r="R213" s="7">
        <f t="shared" si="38"/>
        <v>0</v>
      </c>
      <c r="S213" s="16">
        <v>0</v>
      </c>
      <c r="T213" s="16">
        <v>0</v>
      </c>
      <c r="U213" s="7">
        <f t="shared" si="39"/>
        <v>2019.6746000000003</v>
      </c>
      <c r="V213" s="14"/>
      <c r="W213" s="16">
        <v>0</v>
      </c>
      <c r="X213" s="16">
        <f t="shared" si="47"/>
        <v>0.06</v>
      </c>
      <c r="Y213" s="16">
        <f t="shared" si="41"/>
        <v>1.71</v>
      </c>
      <c r="Z213" s="14"/>
      <c r="AA213" s="16">
        <v>0</v>
      </c>
      <c r="AB213" s="16">
        <f t="shared" si="42"/>
        <v>0</v>
      </c>
      <c r="AC213" s="7">
        <f t="shared" si="48"/>
        <v>0</v>
      </c>
    </row>
    <row r="214" spans="2:30">
      <c r="B214" s="19">
        <v>45929</v>
      </c>
      <c r="C214" s="19"/>
      <c r="D214" s="13">
        <f t="shared" si="43"/>
        <v>1</v>
      </c>
      <c r="E214" s="16">
        <v>0</v>
      </c>
      <c r="F214" s="16">
        <v>0</v>
      </c>
      <c r="G214" s="7">
        <f t="shared" si="40"/>
        <v>143465.24420000002</v>
      </c>
      <c r="H214" s="14"/>
      <c r="I214" s="16">
        <v>0</v>
      </c>
      <c r="J214" s="16">
        <f t="shared" si="44"/>
        <v>39.31</v>
      </c>
      <c r="K214" s="16">
        <f t="shared" si="49"/>
        <v>1162.8599999999999</v>
      </c>
      <c r="L214" s="14"/>
      <c r="M214" s="16">
        <f t="shared" si="45"/>
        <v>0</v>
      </c>
      <c r="N214" s="16">
        <f t="shared" si="45"/>
        <v>0</v>
      </c>
      <c r="O214" s="7">
        <f t="shared" si="46"/>
        <v>2019.6746000000003</v>
      </c>
      <c r="P214" s="16">
        <v>0</v>
      </c>
      <c r="Q214" s="16">
        <v>0</v>
      </c>
      <c r="R214" s="7">
        <f t="shared" si="38"/>
        <v>0</v>
      </c>
      <c r="S214" s="16">
        <v>0</v>
      </c>
      <c r="T214" s="16">
        <v>0</v>
      </c>
      <c r="U214" s="7">
        <f t="shared" si="39"/>
        <v>2019.6746000000003</v>
      </c>
      <c r="V214" s="14"/>
      <c r="W214" s="16">
        <v>0</v>
      </c>
      <c r="X214" s="16">
        <f t="shared" si="47"/>
        <v>0.06</v>
      </c>
      <c r="Y214" s="16">
        <f t="shared" si="41"/>
        <v>1.77</v>
      </c>
      <c r="Z214" s="14"/>
      <c r="AA214" s="16">
        <v>0</v>
      </c>
      <c r="AB214" s="16">
        <f t="shared" si="42"/>
        <v>0</v>
      </c>
      <c r="AC214" s="7">
        <f t="shared" si="48"/>
        <v>0</v>
      </c>
    </row>
    <row r="215" spans="2:30" ht="68">
      <c r="B215" s="19">
        <v>45930</v>
      </c>
      <c r="C215" s="19"/>
      <c r="D215" s="13">
        <f t="shared" si="43"/>
        <v>1</v>
      </c>
      <c r="E215" s="52">
        <v>20000</v>
      </c>
      <c r="F215" s="16">
        <v>0</v>
      </c>
      <c r="G215" s="7">
        <f t="shared" si="40"/>
        <v>123465.24420000002</v>
      </c>
      <c r="H215" s="14"/>
      <c r="I215" s="21">
        <f>K214</f>
        <v>1162.8599999999999</v>
      </c>
      <c r="J215" s="16">
        <f>ROUND((G215-F215)*$B$3/$D$3*D215,2)</f>
        <v>33.83</v>
      </c>
      <c r="K215" s="16">
        <f t="shared" si="49"/>
        <v>33.83</v>
      </c>
      <c r="L215" s="14"/>
      <c r="M215" s="16">
        <f>P215+S215</f>
        <v>0</v>
      </c>
      <c r="N215" s="21">
        <f>Q215+T215</f>
        <v>21094.752199999999</v>
      </c>
      <c r="O215" s="10">
        <f>O214+N215-M215</f>
        <v>23114.426800000001</v>
      </c>
      <c r="P215" s="16">
        <v>0</v>
      </c>
      <c r="Q215" s="52">
        <f>E215</f>
        <v>20000</v>
      </c>
      <c r="R215" s="7">
        <f t="shared" si="38"/>
        <v>20000</v>
      </c>
      <c r="S215" s="16">
        <v>0</v>
      </c>
      <c r="T215" s="21">
        <f>(I215+W215)-AB215</f>
        <v>1094.7521999999999</v>
      </c>
      <c r="U215" s="7">
        <f t="shared" si="39"/>
        <v>3114.4268000000002</v>
      </c>
      <c r="V215" s="14"/>
      <c r="W215" s="21">
        <f>Y214</f>
        <v>1.77</v>
      </c>
      <c r="X215" s="16">
        <f>ROUND((O215-N215)*$M$3/$N$3*D215,2)</f>
        <v>0.06</v>
      </c>
      <c r="Y215" s="16">
        <f t="shared" si="41"/>
        <v>0.06</v>
      </c>
      <c r="Z215" s="14"/>
      <c r="AA215" s="16">
        <v>0</v>
      </c>
      <c r="AB215" s="22">
        <f t="shared" si="42"/>
        <v>69.877799999999993</v>
      </c>
      <c r="AC215" s="69">
        <f t="shared" si="48"/>
        <v>69.88</v>
      </c>
      <c r="AD215" s="18" t="s">
        <v>18</v>
      </c>
    </row>
    <row r="216" spans="2:30" ht="102">
      <c r="B216" s="19">
        <v>45931</v>
      </c>
      <c r="C216" s="19"/>
      <c r="D216" s="13">
        <f t="shared" si="43"/>
        <v>1</v>
      </c>
      <c r="E216" s="16">
        <v>0</v>
      </c>
      <c r="F216" s="24">
        <f>S216</f>
        <v>3114.4268000000002</v>
      </c>
      <c r="G216" s="7">
        <f t="shared" si="40"/>
        <v>126579.67100000002</v>
      </c>
      <c r="H216" s="14"/>
      <c r="I216" s="16">
        <v>0</v>
      </c>
      <c r="J216" s="16">
        <f t="shared" si="44"/>
        <v>33.83</v>
      </c>
      <c r="K216" s="16">
        <f t="shared" si="49"/>
        <v>67.66</v>
      </c>
      <c r="L216" s="14"/>
      <c r="M216" s="16">
        <f>P216+S216</f>
        <v>23114.426800000001</v>
      </c>
      <c r="N216" s="16">
        <f t="shared" ref="N216" si="50">Q216+T216</f>
        <v>0</v>
      </c>
      <c r="O216" s="7">
        <f>O215+N216-M216</f>
        <v>0</v>
      </c>
      <c r="P216" s="52">
        <v>20000</v>
      </c>
      <c r="Q216" s="16">
        <v>0</v>
      </c>
      <c r="R216" s="7">
        <f t="shared" si="38"/>
        <v>0</v>
      </c>
      <c r="S216" s="24">
        <f>U215</f>
        <v>3114.4268000000002</v>
      </c>
      <c r="T216" s="16">
        <v>0</v>
      </c>
      <c r="U216" s="7">
        <f t="shared" si="39"/>
        <v>0</v>
      </c>
      <c r="V216" s="14"/>
      <c r="W216" s="16">
        <v>0</v>
      </c>
      <c r="X216" s="16">
        <f>ROUND((O216-N216)*$M$3/$N$3*D216,2)</f>
        <v>0</v>
      </c>
      <c r="Y216" s="16">
        <f t="shared" si="41"/>
        <v>0.06</v>
      </c>
      <c r="Z216" s="14"/>
      <c r="AA216" s="16">
        <v>0</v>
      </c>
      <c r="AB216" s="16">
        <f t="shared" si="42"/>
        <v>0</v>
      </c>
      <c r="AC216" s="7">
        <f t="shared" si="48"/>
        <v>69.88</v>
      </c>
      <c r="AD216" s="18" t="s">
        <v>19</v>
      </c>
    </row>
    <row r="217" spans="2:30">
      <c r="B217" s="19">
        <v>45932</v>
      </c>
      <c r="C217" s="19"/>
      <c r="D217" s="13">
        <f t="shared" si="43"/>
        <v>1</v>
      </c>
      <c r="E217" s="16">
        <v>0</v>
      </c>
      <c r="F217" s="16">
        <v>0</v>
      </c>
      <c r="G217" s="7">
        <f t="shared" si="40"/>
        <v>126579.67100000002</v>
      </c>
      <c r="H217" s="14"/>
      <c r="I217" s="16">
        <v>0</v>
      </c>
      <c r="J217" s="16">
        <f t="shared" si="44"/>
        <v>34.68</v>
      </c>
      <c r="K217" s="16">
        <f t="shared" si="49"/>
        <v>102.34</v>
      </c>
      <c r="L217" s="14"/>
      <c r="M217" s="16">
        <f t="shared" si="45"/>
        <v>0</v>
      </c>
      <c r="N217" s="16">
        <f t="shared" si="45"/>
        <v>0</v>
      </c>
      <c r="O217" s="7">
        <f t="shared" si="46"/>
        <v>0</v>
      </c>
      <c r="P217" s="16">
        <v>0</v>
      </c>
      <c r="Q217" s="16">
        <v>0</v>
      </c>
      <c r="R217" s="7">
        <f t="shared" si="38"/>
        <v>0</v>
      </c>
      <c r="S217" s="16">
        <v>0</v>
      </c>
      <c r="T217" s="16">
        <v>0</v>
      </c>
      <c r="U217" s="7">
        <f t="shared" si="39"/>
        <v>0</v>
      </c>
      <c r="V217" s="14"/>
      <c r="W217" s="16">
        <v>0</v>
      </c>
      <c r="X217" s="16">
        <f>ROUND((O217-N217)*$M$3/$N$3*D217,2)</f>
        <v>0</v>
      </c>
      <c r="Y217" s="16">
        <f t="shared" si="41"/>
        <v>0.06</v>
      </c>
      <c r="Z217" s="14"/>
      <c r="AA217" s="16">
        <v>0</v>
      </c>
      <c r="AB217" s="16">
        <f t="shared" si="42"/>
        <v>0</v>
      </c>
      <c r="AC217" s="7">
        <f t="shared" si="48"/>
        <v>69.88</v>
      </c>
    </row>
    <row r="218" spans="2:30">
      <c r="B218" s="19">
        <v>45933</v>
      </c>
      <c r="C218" s="19"/>
      <c r="D218" s="13">
        <f t="shared" si="43"/>
        <v>1</v>
      </c>
      <c r="E218" s="16">
        <v>0</v>
      </c>
      <c r="F218" s="16">
        <v>0</v>
      </c>
      <c r="G218" s="7">
        <f t="shared" si="40"/>
        <v>126579.67100000002</v>
      </c>
      <c r="H218" s="14"/>
      <c r="I218" s="16">
        <v>0</v>
      </c>
      <c r="J218" s="16">
        <f t="shared" si="44"/>
        <v>34.68</v>
      </c>
      <c r="K218" s="16">
        <f t="shared" si="49"/>
        <v>137.02000000000001</v>
      </c>
      <c r="L218" s="14"/>
      <c r="M218" s="16">
        <f t="shared" si="45"/>
        <v>0</v>
      </c>
      <c r="N218" s="16">
        <f t="shared" si="45"/>
        <v>0</v>
      </c>
      <c r="O218" s="7">
        <f t="shared" si="46"/>
        <v>0</v>
      </c>
      <c r="P218" s="16">
        <v>0</v>
      </c>
      <c r="Q218" s="16">
        <v>0</v>
      </c>
      <c r="R218" s="7">
        <f t="shared" si="38"/>
        <v>0</v>
      </c>
      <c r="S218" s="16">
        <v>0</v>
      </c>
      <c r="T218" s="16">
        <v>0</v>
      </c>
      <c r="U218" s="7">
        <f t="shared" si="39"/>
        <v>0</v>
      </c>
      <c r="V218" s="14"/>
      <c r="W218" s="16">
        <v>0</v>
      </c>
      <c r="X218" s="16">
        <f t="shared" si="47"/>
        <v>0</v>
      </c>
      <c r="Y218" s="16">
        <f t="shared" si="41"/>
        <v>0.06</v>
      </c>
      <c r="Z218" s="14"/>
      <c r="AA218" s="16">
        <v>0</v>
      </c>
      <c r="AB218" s="16">
        <f t="shared" si="42"/>
        <v>0</v>
      </c>
      <c r="AC218" s="7">
        <f t="shared" si="48"/>
        <v>69.88</v>
      </c>
    </row>
    <row r="219" spans="2:30">
      <c r="B219" s="19">
        <v>45934</v>
      </c>
      <c r="C219" s="19"/>
      <c r="D219" s="13">
        <f t="shared" si="43"/>
        <v>1</v>
      </c>
      <c r="E219" s="16">
        <v>0</v>
      </c>
      <c r="F219" s="16">
        <v>0</v>
      </c>
      <c r="G219" s="7">
        <f t="shared" si="40"/>
        <v>126579.67100000002</v>
      </c>
      <c r="H219" s="14"/>
      <c r="I219" s="16">
        <v>0</v>
      </c>
      <c r="J219" s="16">
        <f t="shared" si="44"/>
        <v>34.68</v>
      </c>
      <c r="K219" s="16">
        <f t="shared" si="49"/>
        <v>171.7</v>
      </c>
      <c r="L219" s="14"/>
      <c r="M219" s="16">
        <f t="shared" si="45"/>
        <v>0</v>
      </c>
      <c r="N219" s="16">
        <f t="shared" si="45"/>
        <v>0</v>
      </c>
      <c r="O219" s="7">
        <f t="shared" si="46"/>
        <v>0</v>
      </c>
      <c r="P219" s="16">
        <v>0</v>
      </c>
      <c r="Q219" s="16">
        <v>0</v>
      </c>
      <c r="R219" s="7">
        <f t="shared" si="38"/>
        <v>0</v>
      </c>
      <c r="S219" s="16">
        <v>0</v>
      </c>
      <c r="T219" s="16">
        <v>0</v>
      </c>
      <c r="U219" s="7">
        <f t="shared" si="39"/>
        <v>0</v>
      </c>
      <c r="V219" s="14"/>
      <c r="W219" s="16">
        <v>0</v>
      </c>
      <c r="X219" s="16">
        <f t="shared" si="47"/>
        <v>0</v>
      </c>
      <c r="Y219" s="16">
        <f t="shared" si="41"/>
        <v>0.06</v>
      </c>
      <c r="Z219" s="14"/>
      <c r="AA219" s="16">
        <v>0</v>
      </c>
      <c r="AB219" s="16">
        <f t="shared" si="42"/>
        <v>0</v>
      </c>
      <c r="AC219" s="7">
        <f t="shared" si="48"/>
        <v>69.88</v>
      </c>
    </row>
    <row r="220" spans="2:30" ht="34">
      <c r="B220" s="19">
        <v>45935</v>
      </c>
      <c r="C220" s="19"/>
      <c r="D220" s="13">
        <f t="shared" si="43"/>
        <v>1</v>
      </c>
      <c r="E220" s="16">
        <v>0</v>
      </c>
      <c r="F220" s="14">
        <v>10000</v>
      </c>
      <c r="G220" s="7">
        <f t="shared" si="40"/>
        <v>136579.67100000003</v>
      </c>
      <c r="H220" s="14"/>
      <c r="I220" s="16">
        <v>0</v>
      </c>
      <c r="J220" s="16">
        <f t="shared" si="44"/>
        <v>34.68</v>
      </c>
      <c r="K220" s="16">
        <f t="shared" si="49"/>
        <v>206.38</v>
      </c>
      <c r="L220" s="14"/>
      <c r="M220" s="16">
        <f t="shared" si="45"/>
        <v>0</v>
      </c>
      <c r="N220" s="16">
        <f t="shared" si="45"/>
        <v>0</v>
      </c>
      <c r="O220" s="7">
        <f t="shared" si="46"/>
        <v>0</v>
      </c>
      <c r="P220" s="16">
        <v>0</v>
      </c>
      <c r="Q220" s="16">
        <v>0</v>
      </c>
      <c r="R220" s="7">
        <f t="shared" si="38"/>
        <v>0</v>
      </c>
      <c r="S220" s="16">
        <v>0</v>
      </c>
      <c r="T220" s="16">
        <v>0</v>
      </c>
      <c r="U220" s="7">
        <f t="shared" si="39"/>
        <v>0</v>
      </c>
      <c r="V220" s="14"/>
      <c r="W220" s="16">
        <v>0</v>
      </c>
      <c r="X220" s="16">
        <f t="shared" si="47"/>
        <v>0</v>
      </c>
      <c r="Y220" s="16">
        <f t="shared" si="41"/>
        <v>0.06</v>
      </c>
      <c r="Z220" s="14"/>
      <c r="AA220" s="16">
        <v>0</v>
      </c>
      <c r="AB220" s="16">
        <f t="shared" si="42"/>
        <v>0</v>
      </c>
      <c r="AC220" s="7">
        <f t="shared" si="48"/>
        <v>69.88</v>
      </c>
      <c r="AD220" s="65" t="s">
        <v>15</v>
      </c>
    </row>
    <row r="221" spans="2:30">
      <c r="B221" s="19">
        <v>45936</v>
      </c>
      <c r="C221" s="19"/>
      <c r="D221" s="13">
        <f t="shared" si="43"/>
        <v>1</v>
      </c>
      <c r="E221" s="16">
        <v>0</v>
      </c>
      <c r="F221" s="16">
        <v>0</v>
      </c>
      <c r="G221" s="7">
        <f t="shared" si="40"/>
        <v>136579.67100000003</v>
      </c>
      <c r="H221" s="14"/>
      <c r="I221" s="16">
        <v>0</v>
      </c>
      <c r="J221" s="16">
        <f t="shared" si="44"/>
        <v>37.42</v>
      </c>
      <c r="K221" s="16">
        <f t="shared" si="49"/>
        <v>243.8</v>
      </c>
      <c r="L221" s="14"/>
      <c r="M221" s="16">
        <f t="shared" si="45"/>
        <v>0</v>
      </c>
      <c r="N221" s="16">
        <f t="shared" si="45"/>
        <v>0</v>
      </c>
      <c r="O221" s="7">
        <f t="shared" si="46"/>
        <v>0</v>
      </c>
      <c r="P221" s="16">
        <v>0</v>
      </c>
      <c r="Q221" s="16">
        <v>0</v>
      </c>
      <c r="R221" s="7">
        <f t="shared" si="38"/>
        <v>0</v>
      </c>
      <c r="S221" s="16">
        <v>0</v>
      </c>
      <c r="T221" s="16">
        <v>0</v>
      </c>
      <c r="U221" s="7">
        <f t="shared" si="39"/>
        <v>0</v>
      </c>
      <c r="V221" s="14"/>
      <c r="W221" s="16">
        <v>0</v>
      </c>
      <c r="X221" s="16">
        <f t="shared" si="47"/>
        <v>0</v>
      </c>
      <c r="Y221" s="16">
        <f t="shared" si="41"/>
        <v>0.06</v>
      </c>
      <c r="Z221" s="14"/>
      <c r="AA221" s="16">
        <v>0</v>
      </c>
      <c r="AB221" s="16">
        <f t="shared" si="42"/>
        <v>0</v>
      </c>
      <c r="AC221" s="7">
        <f t="shared" si="48"/>
        <v>69.88</v>
      </c>
    </row>
    <row r="222" spans="2:30">
      <c r="B222" s="19">
        <v>45937</v>
      </c>
      <c r="C222" s="19"/>
      <c r="D222" s="13">
        <f t="shared" si="43"/>
        <v>1</v>
      </c>
      <c r="E222" s="16">
        <v>0</v>
      </c>
      <c r="F222" s="16">
        <v>0</v>
      </c>
      <c r="G222" s="7">
        <f t="shared" si="40"/>
        <v>136579.67100000003</v>
      </c>
      <c r="H222" s="14"/>
      <c r="I222" s="16">
        <v>0</v>
      </c>
      <c r="J222" s="16">
        <f t="shared" si="44"/>
        <v>37.42</v>
      </c>
      <c r="K222" s="16">
        <f t="shared" si="49"/>
        <v>281.22000000000003</v>
      </c>
      <c r="L222" s="14"/>
      <c r="M222" s="16">
        <f t="shared" si="45"/>
        <v>0</v>
      </c>
      <c r="N222" s="16">
        <f t="shared" si="45"/>
        <v>0</v>
      </c>
      <c r="O222" s="7">
        <f t="shared" si="46"/>
        <v>0</v>
      </c>
      <c r="P222" s="16">
        <v>0</v>
      </c>
      <c r="Q222" s="16">
        <v>0</v>
      </c>
      <c r="R222" s="7">
        <f t="shared" si="38"/>
        <v>0</v>
      </c>
      <c r="S222" s="16">
        <v>0</v>
      </c>
      <c r="T222" s="16">
        <v>0</v>
      </c>
      <c r="U222" s="7">
        <f t="shared" si="39"/>
        <v>0</v>
      </c>
      <c r="V222" s="14"/>
      <c r="W222" s="16">
        <v>0</v>
      </c>
      <c r="X222" s="16">
        <f t="shared" si="47"/>
        <v>0</v>
      </c>
      <c r="Y222" s="16">
        <f t="shared" si="41"/>
        <v>0.06</v>
      </c>
      <c r="Z222" s="14"/>
      <c r="AA222" s="16">
        <v>0</v>
      </c>
      <c r="AB222" s="16">
        <f t="shared" si="42"/>
        <v>0</v>
      </c>
      <c r="AC222" s="7">
        <f t="shared" si="48"/>
        <v>69.88</v>
      </c>
    </row>
    <row r="223" spans="2:30">
      <c r="B223" s="19">
        <v>45938</v>
      </c>
      <c r="C223" s="19"/>
      <c r="D223" s="13">
        <f t="shared" si="43"/>
        <v>1</v>
      </c>
      <c r="E223" s="16">
        <v>0</v>
      </c>
      <c r="F223" s="16">
        <v>0</v>
      </c>
      <c r="G223" s="7">
        <f t="shared" si="40"/>
        <v>136579.67100000003</v>
      </c>
      <c r="H223" s="14"/>
      <c r="I223" s="16">
        <v>0</v>
      </c>
      <c r="J223" s="16">
        <f t="shared" si="44"/>
        <v>37.42</v>
      </c>
      <c r="K223" s="16">
        <f t="shared" si="49"/>
        <v>318.64</v>
      </c>
      <c r="L223" s="14"/>
      <c r="M223" s="16">
        <f t="shared" si="45"/>
        <v>0</v>
      </c>
      <c r="N223" s="16">
        <f t="shared" si="45"/>
        <v>0</v>
      </c>
      <c r="O223" s="7">
        <f t="shared" si="46"/>
        <v>0</v>
      </c>
      <c r="P223" s="16">
        <v>0</v>
      </c>
      <c r="Q223" s="16">
        <v>0</v>
      </c>
      <c r="R223" s="7">
        <f t="shared" si="38"/>
        <v>0</v>
      </c>
      <c r="S223" s="16">
        <v>0</v>
      </c>
      <c r="T223" s="16">
        <v>0</v>
      </c>
      <c r="U223" s="7">
        <f t="shared" si="39"/>
        <v>0</v>
      </c>
      <c r="V223" s="14"/>
      <c r="W223" s="16">
        <v>0</v>
      </c>
      <c r="X223" s="16">
        <f t="shared" si="47"/>
        <v>0</v>
      </c>
      <c r="Y223" s="16">
        <f t="shared" si="41"/>
        <v>0.06</v>
      </c>
      <c r="Z223" s="14"/>
      <c r="AA223" s="16">
        <v>0</v>
      </c>
      <c r="AB223" s="16">
        <f t="shared" si="42"/>
        <v>0</v>
      </c>
      <c r="AC223" s="7">
        <f t="shared" si="48"/>
        <v>69.88</v>
      </c>
    </row>
    <row r="224" spans="2:30">
      <c r="B224" s="19">
        <v>45939</v>
      </c>
      <c r="C224" s="19"/>
      <c r="D224" s="13">
        <f t="shared" si="43"/>
        <v>1</v>
      </c>
      <c r="E224" s="16">
        <v>0</v>
      </c>
      <c r="F224" s="16">
        <v>0</v>
      </c>
      <c r="G224" s="7">
        <f t="shared" si="40"/>
        <v>136579.67100000003</v>
      </c>
      <c r="H224" s="14"/>
      <c r="I224" s="16">
        <v>0</v>
      </c>
      <c r="J224" s="16">
        <f t="shared" si="44"/>
        <v>37.42</v>
      </c>
      <c r="K224" s="16">
        <f t="shared" si="49"/>
        <v>356.06</v>
      </c>
      <c r="L224" s="14"/>
      <c r="M224" s="16">
        <f t="shared" si="45"/>
        <v>0</v>
      </c>
      <c r="N224" s="16">
        <f t="shared" si="45"/>
        <v>0</v>
      </c>
      <c r="O224" s="7">
        <f t="shared" si="46"/>
        <v>0</v>
      </c>
      <c r="P224" s="16">
        <v>0</v>
      </c>
      <c r="Q224" s="16">
        <v>0</v>
      </c>
      <c r="R224" s="7">
        <f t="shared" si="38"/>
        <v>0</v>
      </c>
      <c r="S224" s="16">
        <v>0</v>
      </c>
      <c r="T224" s="16">
        <v>0</v>
      </c>
      <c r="U224" s="7">
        <f t="shared" si="39"/>
        <v>0</v>
      </c>
      <c r="V224" s="14"/>
      <c r="W224" s="16">
        <v>0</v>
      </c>
      <c r="X224" s="16">
        <f t="shared" si="47"/>
        <v>0</v>
      </c>
      <c r="Y224" s="16">
        <f t="shared" si="41"/>
        <v>0.06</v>
      </c>
      <c r="Z224" s="14"/>
      <c r="AA224" s="16">
        <v>0</v>
      </c>
      <c r="AB224" s="16">
        <f t="shared" si="42"/>
        <v>0</v>
      </c>
      <c r="AC224" s="7">
        <f t="shared" si="48"/>
        <v>69.88</v>
      </c>
    </row>
    <row r="225" spans="2:30">
      <c r="B225" s="19">
        <v>45940</v>
      </c>
      <c r="C225" s="19"/>
      <c r="D225" s="13">
        <f t="shared" si="43"/>
        <v>1</v>
      </c>
      <c r="E225" s="16">
        <v>0</v>
      </c>
      <c r="F225" s="16">
        <v>0</v>
      </c>
      <c r="G225" s="7">
        <f t="shared" si="40"/>
        <v>136579.67100000003</v>
      </c>
      <c r="H225" s="14"/>
      <c r="I225" s="16">
        <v>0</v>
      </c>
      <c r="J225" s="16">
        <f t="shared" si="44"/>
        <v>37.42</v>
      </c>
      <c r="K225" s="16">
        <f t="shared" si="49"/>
        <v>393.48</v>
      </c>
      <c r="L225" s="14"/>
      <c r="M225" s="16">
        <f t="shared" si="45"/>
        <v>0</v>
      </c>
      <c r="N225" s="16">
        <f t="shared" si="45"/>
        <v>0</v>
      </c>
      <c r="O225" s="7">
        <f t="shared" si="46"/>
        <v>0</v>
      </c>
      <c r="P225" s="16">
        <v>0</v>
      </c>
      <c r="Q225" s="16">
        <v>0</v>
      </c>
      <c r="R225" s="7">
        <f t="shared" si="38"/>
        <v>0</v>
      </c>
      <c r="S225" s="16">
        <v>0</v>
      </c>
      <c r="T225" s="16">
        <v>0</v>
      </c>
      <c r="U225" s="7">
        <f t="shared" si="39"/>
        <v>0</v>
      </c>
      <c r="V225" s="14"/>
      <c r="W225" s="16">
        <v>0</v>
      </c>
      <c r="X225" s="16">
        <f t="shared" si="47"/>
        <v>0</v>
      </c>
      <c r="Y225" s="16">
        <f t="shared" si="41"/>
        <v>0.06</v>
      </c>
      <c r="Z225" s="14"/>
      <c r="AA225" s="16">
        <v>0</v>
      </c>
      <c r="AB225" s="16">
        <f t="shared" si="42"/>
        <v>0</v>
      </c>
      <c r="AC225" s="7">
        <f t="shared" si="48"/>
        <v>69.88</v>
      </c>
    </row>
    <row r="226" spans="2:30">
      <c r="B226" s="19">
        <v>45941</v>
      </c>
      <c r="C226" s="19"/>
      <c r="D226" s="13">
        <f t="shared" si="43"/>
        <v>1</v>
      </c>
      <c r="E226" s="16">
        <v>0</v>
      </c>
      <c r="F226" s="16">
        <v>0</v>
      </c>
      <c r="G226" s="7">
        <f t="shared" si="40"/>
        <v>136579.67100000003</v>
      </c>
      <c r="H226" s="14"/>
      <c r="I226" s="16">
        <v>0</v>
      </c>
      <c r="J226" s="16">
        <f t="shared" si="44"/>
        <v>37.42</v>
      </c>
      <c r="K226" s="16">
        <f t="shared" si="49"/>
        <v>430.9</v>
      </c>
      <c r="L226" s="14"/>
      <c r="M226" s="16">
        <f t="shared" si="45"/>
        <v>0</v>
      </c>
      <c r="N226" s="16">
        <f t="shared" si="45"/>
        <v>0</v>
      </c>
      <c r="O226" s="7">
        <f t="shared" si="46"/>
        <v>0</v>
      </c>
      <c r="P226" s="16">
        <v>0</v>
      </c>
      <c r="Q226" s="16">
        <v>0</v>
      </c>
      <c r="R226" s="7">
        <f t="shared" si="38"/>
        <v>0</v>
      </c>
      <c r="S226" s="16">
        <v>0</v>
      </c>
      <c r="T226" s="16">
        <v>0</v>
      </c>
      <c r="U226" s="7">
        <f t="shared" si="39"/>
        <v>0</v>
      </c>
      <c r="V226" s="14"/>
      <c r="W226" s="16">
        <v>0</v>
      </c>
      <c r="X226" s="16">
        <f t="shared" si="47"/>
        <v>0</v>
      </c>
      <c r="Y226" s="16">
        <f t="shared" si="41"/>
        <v>0.06</v>
      </c>
      <c r="Z226" s="14"/>
      <c r="AA226" s="16">
        <v>0</v>
      </c>
      <c r="AB226" s="16">
        <f t="shared" si="42"/>
        <v>0</v>
      </c>
      <c r="AC226" s="7">
        <f t="shared" si="48"/>
        <v>69.88</v>
      </c>
    </row>
    <row r="227" spans="2:30">
      <c r="B227" s="19">
        <v>45942</v>
      </c>
      <c r="C227" s="19"/>
      <c r="D227" s="13">
        <f t="shared" si="43"/>
        <v>1</v>
      </c>
      <c r="E227" s="16">
        <v>0</v>
      </c>
      <c r="F227" s="16">
        <v>0</v>
      </c>
      <c r="G227" s="7">
        <f t="shared" si="40"/>
        <v>136579.67100000003</v>
      </c>
      <c r="H227" s="14"/>
      <c r="I227" s="16">
        <v>0</v>
      </c>
      <c r="J227" s="16">
        <f t="shared" si="44"/>
        <v>37.42</v>
      </c>
      <c r="K227" s="16">
        <f t="shared" si="49"/>
        <v>468.32</v>
      </c>
      <c r="L227" s="14"/>
      <c r="M227" s="16">
        <f t="shared" si="45"/>
        <v>0</v>
      </c>
      <c r="N227" s="16">
        <f t="shared" si="45"/>
        <v>0</v>
      </c>
      <c r="O227" s="7">
        <f t="shared" si="46"/>
        <v>0</v>
      </c>
      <c r="P227" s="16">
        <v>0</v>
      </c>
      <c r="Q227" s="16">
        <v>0</v>
      </c>
      <c r="R227" s="7">
        <f t="shared" si="38"/>
        <v>0</v>
      </c>
      <c r="S227" s="16">
        <v>0</v>
      </c>
      <c r="T227" s="16">
        <v>0</v>
      </c>
      <c r="U227" s="7">
        <f t="shared" si="39"/>
        <v>0</v>
      </c>
      <c r="V227" s="14"/>
      <c r="W227" s="16">
        <v>0</v>
      </c>
      <c r="X227" s="16">
        <f t="shared" si="47"/>
        <v>0</v>
      </c>
      <c r="Y227" s="16">
        <f t="shared" si="41"/>
        <v>0.06</v>
      </c>
      <c r="Z227" s="14"/>
      <c r="AA227" s="16">
        <v>0</v>
      </c>
      <c r="AB227" s="16">
        <f t="shared" si="42"/>
        <v>0</v>
      </c>
      <c r="AC227" s="7">
        <f t="shared" si="48"/>
        <v>69.88</v>
      </c>
    </row>
    <row r="228" spans="2:30">
      <c r="B228" s="19">
        <v>45943</v>
      </c>
      <c r="C228" s="19"/>
      <c r="D228" s="13">
        <f t="shared" si="43"/>
        <v>1</v>
      </c>
      <c r="E228" s="16">
        <v>0</v>
      </c>
      <c r="F228" s="16">
        <v>0</v>
      </c>
      <c r="G228" s="7">
        <f t="shared" si="40"/>
        <v>136579.67100000003</v>
      </c>
      <c r="H228" s="14"/>
      <c r="I228" s="16">
        <v>0</v>
      </c>
      <c r="J228" s="16">
        <f t="shared" si="44"/>
        <v>37.42</v>
      </c>
      <c r="K228" s="16">
        <f t="shared" si="49"/>
        <v>505.74</v>
      </c>
      <c r="L228" s="14"/>
      <c r="M228" s="16">
        <f t="shared" si="45"/>
        <v>0</v>
      </c>
      <c r="N228" s="16">
        <f t="shared" si="45"/>
        <v>0</v>
      </c>
      <c r="O228" s="7">
        <f t="shared" si="46"/>
        <v>0</v>
      </c>
      <c r="P228" s="16">
        <v>0</v>
      </c>
      <c r="Q228" s="16">
        <v>0</v>
      </c>
      <c r="R228" s="7">
        <f t="shared" si="38"/>
        <v>0</v>
      </c>
      <c r="S228" s="16">
        <v>0</v>
      </c>
      <c r="T228" s="16">
        <v>0</v>
      </c>
      <c r="U228" s="7">
        <f t="shared" si="39"/>
        <v>0</v>
      </c>
      <c r="V228" s="14"/>
      <c r="W228" s="16">
        <v>0</v>
      </c>
      <c r="X228" s="16">
        <f t="shared" si="47"/>
        <v>0</v>
      </c>
      <c r="Y228" s="16">
        <f t="shared" si="41"/>
        <v>0.06</v>
      </c>
      <c r="Z228" s="14"/>
      <c r="AA228" s="16">
        <v>0</v>
      </c>
      <c r="AB228" s="16">
        <f t="shared" si="42"/>
        <v>0</v>
      </c>
      <c r="AC228" s="7">
        <f t="shared" si="48"/>
        <v>69.88</v>
      </c>
    </row>
    <row r="229" spans="2:30" ht="17">
      <c r="B229" s="19">
        <v>45944</v>
      </c>
      <c r="C229" s="19"/>
      <c r="D229" s="13">
        <f t="shared" si="43"/>
        <v>1</v>
      </c>
      <c r="E229" s="16">
        <v>0</v>
      </c>
      <c r="F229" s="16">
        <v>0</v>
      </c>
      <c r="G229" s="7">
        <f t="shared" si="40"/>
        <v>136579.67100000003</v>
      </c>
      <c r="H229" s="14"/>
      <c r="I229" s="16">
        <v>0</v>
      </c>
      <c r="J229" s="16">
        <f t="shared" si="44"/>
        <v>37.42</v>
      </c>
      <c r="K229" s="16">
        <f t="shared" si="49"/>
        <v>543.16</v>
      </c>
      <c r="L229" s="14"/>
      <c r="M229" s="16">
        <f t="shared" si="45"/>
        <v>0</v>
      </c>
      <c r="N229" s="16">
        <f t="shared" si="45"/>
        <v>0</v>
      </c>
      <c r="O229" s="7">
        <f t="shared" si="46"/>
        <v>0</v>
      </c>
      <c r="P229" s="16">
        <v>0</v>
      </c>
      <c r="Q229" s="16">
        <v>0</v>
      </c>
      <c r="R229" s="7">
        <f t="shared" si="38"/>
        <v>0</v>
      </c>
      <c r="S229" s="16">
        <v>0</v>
      </c>
      <c r="T229" s="16">
        <v>0</v>
      </c>
      <c r="U229" s="7">
        <f t="shared" si="39"/>
        <v>0</v>
      </c>
      <c r="V229" s="14"/>
      <c r="W229" s="16">
        <v>0</v>
      </c>
      <c r="X229" s="16">
        <f t="shared" si="47"/>
        <v>0</v>
      </c>
      <c r="Y229" s="16">
        <f t="shared" si="41"/>
        <v>0.06</v>
      </c>
      <c r="Z229" s="14"/>
      <c r="AA229" s="22">
        <f>AC228</f>
        <v>69.88</v>
      </c>
      <c r="AB229" s="16">
        <f t="shared" ref="AB229" si="51">(I229+W229)*$AB$3</f>
        <v>0</v>
      </c>
      <c r="AC229" s="69">
        <f t="shared" ref="AC229" si="52">ROUND(AC228+AB229-AA229,2)</f>
        <v>0</v>
      </c>
      <c r="AD229" s="71" t="s">
        <v>48</v>
      </c>
    </row>
    <row r="230" spans="2:30">
      <c r="B230" s="19">
        <v>45945</v>
      </c>
      <c r="C230" s="19"/>
      <c r="D230" s="13">
        <f t="shared" si="43"/>
        <v>1</v>
      </c>
      <c r="E230" s="16">
        <v>0</v>
      </c>
      <c r="F230" s="16">
        <v>0</v>
      </c>
      <c r="G230" s="7">
        <f t="shared" si="40"/>
        <v>136579.67100000003</v>
      </c>
      <c r="H230" s="14"/>
      <c r="I230" s="16">
        <v>0</v>
      </c>
      <c r="J230" s="16">
        <f t="shared" si="44"/>
        <v>37.42</v>
      </c>
      <c r="K230" s="16">
        <f t="shared" si="49"/>
        <v>580.58000000000004</v>
      </c>
      <c r="L230" s="14"/>
      <c r="M230" s="16">
        <f t="shared" si="45"/>
        <v>0</v>
      </c>
      <c r="N230" s="16">
        <f t="shared" si="45"/>
        <v>0</v>
      </c>
      <c r="O230" s="7">
        <f t="shared" si="46"/>
        <v>0</v>
      </c>
      <c r="P230" s="16">
        <v>0</v>
      </c>
      <c r="Q230" s="16">
        <v>0</v>
      </c>
      <c r="R230" s="7">
        <f t="shared" si="38"/>
        <v>0</v>
      </c>
      <c r="S230" s="16">
        <v>0</v>
      </c>
      <c r="T230" s="16">
        <v>0</v>
      </c>
      <c r="U230" s="7">
        <f t="shared" si="39"/>
        <v>0</v>
      </c>
      <c r="V230" s="14"/>
      <c r="W230" s="16">
        <v>0</v>
      </c>
      <c r="X230" s="16">
        <f t="shared" si="47"/>
        <v>0</v>
      </c>
      <c r="Y230" s="16">
        <f t="shared" si="41"/>
        <v>0.06</v>
      </c>
      <c r="Z230" s="14"/>
      <c r="AA230" s="16">
        <v>0</v>
      </c>
      <c r="AB230" s="16">
        <f t="shared" si="42"/>
        <v>0</v>
      </c>
      <c r="AC230" s="7">
        <f t="shared" si="48"/>
        <v>0</v>
      </c>
    </row>
    <row r="231" spans="2:30">
      <c r="B231" s="19">
        <v>45946</v>
      </c>
      <c r="C231" s="19"/>
      <c r="D231" s="13">
        <f t="shared" si="43"/>
        <v>1</v>
      </c>
      <c r="E231" s="16">
        <v>0</v>
      </c>
      <c r="F231" s="16">
        <v>0</v>
      </c>
      <c r="G231" s="7">
        <f t="shared" si="40"/>
        <v>136579.67100000003</v>
      </c>
      <c r="H231" s="14"/>
      <c r="I231" s="16">
        <v>0</v>
      </c>
      <c r="J231" s="16">
        <f t="shared" si="44"/>
        <v>37.42</v>
      </c>
      <c r="K231" s="16">
        <f t="shared" si="49"/>
        <v>618</v>
      </c>
      <c r="L231" s="14"/>
      <c r="M231" s="16">
        <f t="shared" si="45"/>
        <v>0</v>
      </c>
      <c r="N231" s="16">
        <f t="shared" si="45"/>
        <v>0</v>
      </c>
      <c r="O231" s="7">
        <f t="shared" si="46"/>
        <v>0</v>
      </c>
      <c r="P231" s="16">
        <v>0</v>
      </c>
      <c r="Q231" s="16">
        <v>0</v>
      </c>
      <c r="R231" s="7">
        <f t="shared" ref="R231:R294" si="53">R230+Q231-P231</f>
        <v>0</v>
      </c>
      <c r="S231" s="16">
        <v>0</v>
      </c>
      <c r="T231" s="16">
        <v>0</v>
      </c>
      <c r="U231" s="7">
        <f t="shared" ref="U231:U294" si="54">U230+T231-S231</f>
        <v>0</v>
      </c>
      <c r="V231" s="14"/>
      <c r="W231" s="16">
        <v>0</v>
      </c>
      <c r="X231" s="16">
        <f t="shared" si="47"/>
        <v>0</v>
      </c>
      <c r="Y231" s="16">
        <f t="shared" si="41"/>
        <v>0.06</v>
      </c>
      <c r="Z231" s="14"/>
      <c r="AA231" s="16">
        <v>0</v>
      </c>
      <c r="AB231" s="16">
        <f t="shared" si="42"/>
        <v>0</v>
      </c>
      <c r="AC231" s="7">
        <f t="shared" si="48"/>
        <v>0</v>
      </c>
    </row>
    <row r="232" spans="2:30">
      <c r="B232" s="19">
        <v>45947</v>
      </c>
      <c r="C232" s="19"/>
      <c r="D232" s="13">
        <f t="shared" si="43"/>
        <v>1</v>
      </c>
      <c r="E232" s="16">
        <v>0</v>
      </c>
      <c r="F232" s="16">
        <v>0</v>
      </c>
      <c r="G232" s="7">
        <f t="shared" si="40"/>
        <v>136579.67100000003</v>
      </c>
      <c r="H232" s="14"/>
      <c r="I232" s="16">
        <v>0</v>
      </c>
      <c r="J232" s="16">
        <f t="shared" si="44"/>
        <v>37.42</v>
      </c>
      <c r="K232" s="16">
        <f t="shared" si="49"/>
        <v>655.42</v>
      </c>
      <c r="L232" s="14"/>
      <c r="M232" s="16">
        <f t="shared" si="45"/>
        <v>0</v>
      </c>
      <c r="N232" s="16">
        <f t="shared" si="45"/>
        <v>0</v>
      </c>
      <c r="O232" s="7">
        <f t="shared" si="46"/>
        <v>0</v>
      </c>
      <c r="P232" s="16">
        <v>0</v>
      </c>
      <c r="Q232" s="16">
        <v>0</v>
      </c>
      <c r="R232" s="7">
        <f t="shared" si="53"/>
        <v>0</v>
      </c>
      <c r="S232" s="16">
        <v>0</v>
      </c>
      <c r="T232" s="16">
        <v>0</v>
      </c>
      <c r="U232" s="7">
        <f t="shared" si="54"/>
        <v>0</v>
      </c>
      <c r="V232" s="14"/>
      <c r="W232" s="16">
        <v>0</v>
      </c>
      <c r="X232" s="16">
        <f t="shared" si="47"/>
        <v>0</v>
      </c>
      <c r="Y232" s="16">
        <f t="shared" si="41"/>
        <v>0.06</v>
      </c>
      <c r="Z232" s="14"/>
      <c r="AA232" s="16">
        <v>0</v>
      </c>
      <c r="AB232" s="16">
        <f t="shared" si="42"/>
        <v>0</v>
      </c>
      <c r="AC232" s="7">
        <f t="shared" si="48"/>
        <v>0</v>
      </c>
    </row>
    <row r="233" spans="2:30">
      <c r="B233" s="19">
        <v>45948</v>
      </c>
      <c r="C233" s="19"/>
      <c r="D233" s="13">
        <f t="shared" si="43"/>
        <v>1</v>
      </c>
      <c r="E233" s="16">
        <v>0</v>
      </c>
      <c r="F233" s="16">
        <v>0</v>
      </c>
      <c r="G233" s="7">
        <f t="shared" si="40"/>
        <v>136579.67100000003</v>
      </c>
      <c r="H233" s="14"/>
      <c r="I233" s="16">
        <v>0</v>
      </c>
      <c r="J233" s="16">
        <f t="shared" si="44"/>
        <v>37.42</v>
      </c>
      <c r="K233" s="16">
        <f t="shared" si="49"/>
        <v>692.84</v>
      </c>
      <c r="L233" s="14"/>
      <c r="M233" s="16">
        <f t="shared" si="45"/>
        <v>0</v>
      </c>
      <c r="N233" s="16">
        <f t="shared" si="45"/>
        <v>0</v>
      </c>
      <c r="O233" s="7">
        <f t="shared" si="46"/>
        <v>0</v>
      </c>
      <c r="P233" s="16">
        <v>0</v>
      </c>
      <c r="Q233" s="16">
        <v>0</v>
      </c>
      <c r="R233" s="7">
        <f t="shared" si="53"/>
        <v>0</v>
      </c>
      <c r="S233" s="16">
        <v>0</v>
      </c>
      <c r="T233" s="16">
        <v>0</v>
      </c>
      <c r="U233" s="7">
        <f t="shared" si="54"/>
        <v>0</v>
      </c>
      <c r="V233" s="14"/>
      <c r="W233" s="16">
        <v>0</v>
      </c>
      <c r="X233" s="16">
        <f t="shared" si="47"/>
        <v>0</v>
      </c>
      <c r="Y233" s="16">
        <f t="shared" si="41"/>
        <v>0.06</v>
      </c>
      <c r="Z233" s="14"/>
      <c r="AA233" s="16">
        <v>0</v>
      </c>
      <c r="AB233" s="16">
        <f t="shared" si="42"/>
        <v>0</v>
      </c>
      <c r="AC233" s="7">
        <f t="shared" si="48"/>
        <v>0</v>
      </c>
    </row>
    <row r="234" spans="2:30">
      <c r="B234" s="19">
        <v>45949</v>
      </c>
      <c r="C234" s="19"/>
      <c r="D234" s="13">
        <f t="shared" si="43"/>
        <v>1</v>
      </c>
      <c r="E234" s="16">
        <v>0</v>
      </c>
      <c r="F234" s="16">
        <v>0</v>
      </c>
      <c r="G234" s="7">
        <f t="shared" si="40"/>
        <v>136579.67100000003</v>
      </c>
      <c r="H234" s="14"/>
      <c r="I234" s="16">
        <v>0</v>
      </c>
      <c r="J234" s="16">
        <f t="shared" si="44"/>
        <v>37.42</v>
      </c>
      <c r="K234" s="16">
        <f t="shared" si="49"/>
        <v>730.26</v>
      </c>
      <c r="L234" s="14"/>
      <c r="M234" s="16">
        <f t="shared" si="45"/>
        <v>0</v>
      </c>
      <c r="N234" s="16">
        <f t="shared" si="45"/>
        <v>0</v>
      </c>
      <c r="O234" s="7">
        <f t="shared" si="46"/>
        <v>0</v>
      </c>
      <c r="P234" s="16">
        <v>0</v>
      </c>
      <c r="Q234" s="16">
        <v>0</v>
      </c>
      <c r="R234" s="7">
        <f t="shared" si="53"/>
        <v>0</v>
      </c>
      <c r="S234" s="16">
        <v>0</v>
      </c>
      <c r="T234" s="16">
        <v>0</v>
      </c>
      <c r="U234" s="7">
        <f t="shared" si="54"/>
        <v>0</v>
      </c>
      <c r="V234" s="14"/>
      <c r="W234" s="16">
        <v>0</v>
      </c>
      <c r="X234" s="16">
        <f t="shared" si="47"/>
        <v>0</v>
      </c>
      <c r="Y234" s="16">
        <f t="shared" si="41"/>
        <v>0.06</v>
      </c>
      <c r="Z234" s="14"/>
      <c r="AA234" s="16">
        <v>0</v>
      </c>
      <c r="AB234" s="16">
        <f t="shared" si="42"/>
        <v>0</v>
      </c>
      <c r="AC234" s="7">
        <f t="shared" si="48"/>
        <v>0</v>
      </c>
    </row>
    <row r="235" spans="2:30">
      <c r="B235" s="19">
        <v>45950</v>
      </c>
      <c r="C235" s="19"/>
      <c r="D235" s="13">
        <f t="shared" si="43"/>
        <v>1</v>
      </c>
      <c r="E235" s="16">
        <v>0</v>
      </c>
      <c r="F235" s="16">
        <v>0</v>
      </c>
      <c r="G235" s="7">
        <f t="shared" si="40"/>
        <v>136579.67100000003</v>
      </c>
      <c r="H235" s="14"/>
      <c r="I235" s="16">
        <v>0</v>
      </c>
      <c r="J235" s="16">
        <f t="shared" si="44"/>
        <v>37.42</v>
      </c>
      <c r="K235" s="16">
        <f t="shared" si="49"/>
        <v>767.68</v>
      </c>
      <c r="L235" s="14"/>
      <c r="M235" s="16">
        <f t="shared" si="45"/>
        <v>0</v>
      </c>
      <c r="N235" s="16">
        <f t="shared" si="45"/>
        <v>0</v>
      </c>
      <c r="O235" s="7">
        <f t="shared" si="46"/>
        <v>0</v>
      </c>
      <c r="P235" s="16">
        <v>0</v>
      </c>
      <c r="Q235" s="16">
        <v>0</v>
      </c>
      <c r="R235" s="7">
        <f t="shared" si="53"/>
        <v>0</v>
      </c>
      <c r="S235" s="16">
        <v>0</v>
      </c>
      <c r="T235" s="16">
        <v>0</v>
      </c>
      <c r="U235" s="7">
        <f t="shared" si="54"/>
        <v>0</v>
      </c>
      <c r="V235" s="14"/>
      <c r="W235" s="16">
        <v>0</v>
      </c>
      <c r="X235" s="16">
        <f t="shared" si="47"/>
        <v>0</v>
      </c>
      <c r="Y235" s="16">
        <f t="shared" si="41"/>
        <v>0.06</v>
      </c>
      <c r="Z235" s="14"/>
      <c r="AA235" s="16">
        <v>0</v>
      </c>
      <c r="AB235" s="16">
        <f t="shared" si="42"/>
        <v>0</v>
      </c>
      <c r="AC235" s="7">
        <f t="shared" si="48"/>
        <v>0</v>
      </c>
    </row>
    <row r="236" spans="2:30">
      <c r="B236" s="19">
        <v>45951</v>
      </c>
      <c r="C236" s="19"/>
      <c r="D236" s="13">
        <f t="shared" si="43"/>
        <v>1</v>
      </c>
      <c r="E236" s="16">
        <v>0</v>
      </c>
      <c r="F236" s="16">
        <v>0</v>
      </c>
      <c r="G236" s="7">
        <f t="shared" si="40"/>
        <v>136579.67100000003</v>
      </c>
      <c r="H236" s="14"/>
      <c r="I236" s="16">
        <v>0</v>
      </c>
      <c r="J236" s="16">
        <f t="shared" si="44"/>
        <v>37.42</v>
      </c>
      <c r="K236" s="16">
        <f t="shared" si="49"/>
        <v>805.1</v>
      </c>
      <c r="L236" s="14"/>
      <c r="M236" s="16">
        <f t="shared" si="45"/>
        <v>0</v>
      </c>
      <c r="N236" s="16">
        <f t="shared" si="45"/>
        <v>0</v>
      </c>
      <c r="O236" s="7">
        <f t="shared" si="46"/>
        <v>0</v>
      </c>
      <c r="P236" s="16">
        <v>0</v>
      </c>
      <c r="Q236" s="16">
        <v>0</v>
      </c>
      <c r="R236" s="7">
        <f t="shared" si="53"/>
        <v>0</v>
      </c>
      <c r="S236" s="16">
        <v>0</v>
      </c>
      <c r="T236" s="16">
        <v>0</v>
      </c>
      <c r="U236" s="7">
        <f t="shared" si="54"/>
        <v>0</v>
      </c>
      <c r="V236" s="14"/>
      <c r="W236" s="16">
        <v>0</v>
      </c>
      <c r="X236" s="16">
        <f t="shared" si="47"/>
        <v>0</v>
      </c>
      <c r="Y236" s="16">
        <f t="shared" si="41"/>
        <v>0.06</v>
      </c>
      <c r="Z236" s="14"/>
      <c r="AA236" s="16">
        <v>0</v>
      </c>
      <c r="AB236" s="16">
        <f t="shared" si="42"/>
        <v>0</v>
      </c>
      <c r="AC236" s="7">
        <f t="shared" si="48"/>
        <v>0</v>
      </c>
    </row>
    <row r="237" spans="2:30">
      <c r="B237" s="19">
        <v>45952</v>
      </c>
      <c r="C237" s="19"/>
      <c r="D237" s="13">
        <f t="shared" si="43"/>
        <v>1</v>
      </c>
      <c r="E237" s="16">
        <v>0</v>
      </c>
      <c r="F237" s="16">
        <v>0</v>
      </c>
      <c r="G237" s="7">
        <f t="shared" si="40"/>
        <v>136579.67100000003</v>
      </c>
      <c r="H237" s="14"/>
      <c r="I237" s="16">
        <v>0</v>
      </c>
      <c r="J237" s="16">
        <f t="shared" si="44"/>
        <v>37.42</v>
      </c>
      <c r="K237" s="16">
        <f t="shared" si="49"/>
        <v>842.52</v>
      </c>
      <c r="L237" s="14"/>
      <c r="M237" s="16">
        <f t="shared" si="45"/>
        <v>0</v>
      </c>
      <c r="N237" s="16">
        <f t="shared" si="45"/>
        <v>0</v>
      </c>
      <c r="O237" s="7">
        <f t="shared" si="46"/>
        <v>0</v>
      </c>
      <c r="P237" s="16">
        <v>0</v>
      </c>
      <c r="Q237" s="16">
        <v>0</v>
      </c>
      <c r="R237" s="7">
        <f t="shared" si="53"/>
        <v>0</v>
      </c>
      <c r="S237" s="16">
        <v>0</v>
      </c>
      <c r="T237" s="16">
        <v>0</v>
      </c>
      <c r="U237" s="7">
        <f t="shared" si="54"/>
        <v>0</v>
      </c>
      <c r="V237" s="14"/>
      <c r="W237" s="16">
        <v>0</v>
      </c>
      <c r="X237" s="16">
        <f t="shared" si="47"/>
        <v>0</v>
      </c>
      <c r="Y237" s="16">
        <f t="shared" si="41"/>
        <v>0.06</v>
      </c>
      <c r="Z237" s="14"/>
      <c r="AA237" s="16">
        <v>0</v>
      </c>
      <c r="AB237" s="16">
        <f t="shared" si="42"/>
        <v>0</v>
      </c>
      <c r="AC237" s="7">
        <f t="shared" si="48"/>
        <v>0</v>
      </c>
    </row>
    <row r="238" spans="2:30">
      <c r="B238" s="19">
        <v>45953</v>
      </c>
      <c r="C238" s="19"/>
      <c r="D238" s="13">
        <f t="shared" si="43"/>
        <v>1</v>
      </c>
      <c r="E238" s="16">
        <v>0</v>
      </c>
      <c r="F238" s="16">
        <v>0</v>
      </c>
      <c r="G238" s="7">
        <f t="shared" si="40"/>
        <v>136579.67100000003</v>
      </c>
      <c r="H238" s="14"/>
      <c r="I238" s="16">
        <v>0</v>
      </c>
      <c r="J238" s="16">
        <f t="shared" si="44"/>
        <v>37.42</v>
      </c>
      <c r="K238" s="16">
        <f t="shared" si="49"/>
        <v>879.94</v>
      </c>
      <c r="L238" s="14"/>
      <c r="M238" s="16">
        <f t="shared" si="45"/>
        <v>0</v>
      </c>
      <c r="N238" s="16">
        <f t="shared" si="45"/>
        <v>0</v>
      </c>
      <c r="O238" s="7">
        <f t="shared" si="46"/>
        <v>0</v>
      </c>
      <c r="P238" s="16">
        <v>0</v>
      </c>
      <c r="Q238" s="16">
        <v>0</v>
      </c>
      <c r="R238" s="7">
        <f t="shared" si="53"/>
        <v>0</v>
      </c>
      <c r="S238" s="16">
        <v>0</v>
      </c>
      <c r="T238" s="16">
        <v>0</v>
      </c>
      <c r="U238" s="7">
        <f t="shared" si="54"/>
        <v>0</v>
      </c>
      <c r="V238" s="14"/>
      <c r="W238" s="16">
        <v>0</v>
      </c>
      <c r="X238" s="16">
        <f t="shared" si="47"/>
        <v>0</v>
      </c>
      <c r="Y238" s="16">
        <f t="shared" si="41"/>
        <v>0.06</v>
      </c>
      <c r="Z238" s="14"/>
      <c r="AA238" s="16">
        <v>0</v>
      </c>
      <c r="AB238" s="16">
        <f t="shared" si="42"/>
        <v>0</v>
      </c>
      <c r="AC238" s="7">
        <f t="shared" si="48"/>
        <v>0</v>
      </c>
    </row>
    <row r="239" spans="2:30">
      <c r="B239" s="19">
        <v>45954</v>
      </c>
      <c r="C239" s="19"/>
      <c r="D239" s="13">
        <f t="shared" si="43"/>
        <v>1</v>
      </c>
      <c r="E239" s="16">
        <v>0</v>
      </c>
      <c r="F239" s="16">
        <v>0</v>
      </c>
      <c r="G239" s="7">
        <f t="shared" si="40"/>
        <v>136579.67100000003</v>
      </c>
      <c r="H239" s="14"/>
      <c r="I239" s="16">
        <v>0</v>
      </c>
      <c r="J239" s="16">
        <f t="shared" si="44"/>
        <v>37.42</v>
      </c>
      <c r="K239" s="16">
        <f t="shared" si="49"/>
        <v>917.36</v>
      </c>
      <c r="L239" s="14"/>
      <c r="M239" s="16">
        <f t="shared" ref="M239:N293" si="55">P239+S239</f>
        <v>0</v>
      </c>
      <c r="N239" s="16">
        <f t="shared" si="55"/>
        <v>0</v>
      </c>
      <c r="O239" s="7">
        <f t="shared" si="46"/>
        <v>0</v>
      </c>
      <c r="P239" s="16">
        <v>0</v>
      </c>
      <c r="Q239" s="16">
        <v>0</v>
      </c>
      <c r="R239" s="7">
        <f t="shared" si="53"/>
        <v>0</v>
      </c>
      <c r="S239" s="16">
        <v>0</v>
      </c>
      <c r="T239" s="16">
        <v>0</v>
      </c>
      <c r="U239" s="7">
        <f t="shared" si="54"/>
        <v>0</v>
      </c>
      <c r="V239" s="14"/>
      <c r="W239" s="16">
        <v>0</v>
      </c>
      <c r="X239" s="16">
        <f t="shared" si="47"/>
        <v>0</v>
      </c>
      <c r="Y239" s="16">
        <f t="shared" si="41"/>
        <v>0.06</v>
      </c>
      <c r="Z239" s="14"/>
      <c r="AA239" s="16">
        <v>0</v>
      </c>
      <c r="AB239" s="16">
        <f t="shared" si="42"/>
        <v>0</v>
      </c>
      <c r="AC239" s="7">
        <f t="shared" si="48"/>
        <v>0</v>
      </c>
    </row>
    <row r="240" spans="2:30">
      <c r="B240" s="19">
        <v>45955</v>
      </c>
      <c r="C240" s="19"/>
      <c r="D240" s="13">
        <f t="shared" si="43"/>
        <v>1</v>
      </c>
      <c r="E240" s="16">
        <v>0</v>
      </c>
      <c r="F240" s="16">
        <v>0</v>
      </c>
      <c r="G240" s="7">
        <f t="shared" si="40"/>
        <v>136579.67100000003</v>
      </c>
      <c r="H240" s="14"/>
      <c r="I240" s="16">
        <v>0</v>
      </c>
      <c r="J240" s="16">
        <f t="shared" si="44"/>
        <v>37.42</v>
      </c>
      <c r="K240" s="16">
        <f t="shared" si="49"/>
        <v>954.78</v>
      </c>
      <c r="L240" s="14"/>
      <c r="M240" s="16">
        <f t="shared" si="55"/>
        <v>0</v>
      </c>
      <c r="N240" s="16">
        <f t="shared" si="55"/>
        <v>0</v>
      </c>
      <c r="O240" s="7">
        <f t="shared" si="46"/>
        <v>0</v>
      </c>
      <c r="P240" s="16">
        <v>0</v>
      </c>
      <c r="Q240" s="16">
        <v>0</v>
      </c>
      <c r="R240" s="7">
        <f t="shared" si="53"/>
        <v>0</v>
      </c>
      <c r="S240" s="16">
        <v>0</v>
      </c>
      <c r="T240" s="16">
        <v>0</v>
      </c>
      <c r="U240" s="7">
        <f t="shared" si="54"/>
        <v>0</v>
      </c>
      <c r="V240" s="14"/>
      <c r="W240" s="16">
        <v>0</v>
      </c>
      <c r="X240" s="16">
        <f t="shared" si="47"/>
        <v>0</v>
      </c>
      <c r="Y240" s="16">
        <f t="shared" si="41"/>
        <v>0.06</v>
      </c>
      <c r="Z240" s="14"/>
      <c r="AA240" s="16">
        <v>0</v>
      </c>
      <c r="AB240" s="16">
        <f t="shared" si="42"/>
        <v>0</v>
      </c>
      <c r="AC240" s="7">
        <f t="shared" si="48"/>
        <v>0</v>
      </c>
    </row>
    <row r="241" spans="2:30">
      <c r="B241" s="19">
        <v>45956</v>
      </c>
      <c r="C241" s="19"/>
      <c r="D241" s="13">
        <f t="shared" si="43"/>
        <v>1</v>
      </c>
      <c r="E241" s="16">
        <v>0</v>
      </c>
      <c r="F241" s="16">
        <v>0</v>
      </c>
      <c r="G241" s="7">
        <f t="shared" si="40"/>
        <v>136579.67100000003</v>
      </c>
      <c r="H241" s="14"/>
      <c r="I241" s="16">
        <v>0</v>
      </c>
      <c r="J241" s="16">
        <f t="shared" si="44"/>
        <v>37.42</v>
      </c>
      <c r="K241" s="16">
        <f t="shared" si="49"/>
        <v>992.2</v>
      </c>
      <c r="L241" s="14"/>
      <c r="M241" s="16">
        <f t="shared" si="55"/>
        <v>0</v>
      </c>
      <c r="N241" s="16">
        <f t="shared" si="55"/>
        <v>0</v>
      </c>
      <c r="O241" s="7">
        <f t="shared" si="46"/>
        <v>0</v>
      </c>
      <c r="P241" s="16">
        <v>0</v>
      </c>
      <c r="Q241" s="16">
        <v>0</v>
      </c>
      <c r="R241" s="7">
        <f t="shared" si="53"/>
        <v>0</v>
      </c>
      <c r="S241" s="16">
        <v>0</v>
      </c>
      <c r="T241" s="16">
        <v>0</v>
      </c>
      <c r="U241" s="7">
        <f t="shared" si="54"/>
        <v>0</v>
      </c>
      <c r="V241" s="14"/>
      <c r="W241" s="16">
        <v>0</v>
      </c>
      <c r="X241" s="16">
        <f t="shared" si="47"/>
        <v>0</v>
      </c>
      <c r="Y241" s="16">
        <f t="shared" si="41"/>
        <v>0.06</v>
      </c>
      <c r="Z241" s="14"/>
      <c r="AA241" s="16">
        <v>0</v>
      </c>
      <c r="AB241" s="16">
        <f t="shared" si="42"/>
        <v>0</v>
      </c>
      <c r="AC241" s="7">
        <f t="shared" si="48"/>
        <v>0</v>
      </c>
    </row>
    <row r="242" spans="2:30">
      <c r="B242" s="19">
        <v>45957</v>
      </c>
      <c r="C242" s="19"/>
      <c r="D242" s="13">
        <f t="shared" si="43"/>
        <v>1</v>
      </c>
      <c r="E242" s="16">
        <v>0</v>
      </c>
      <c r="F242" s="16">
        <v>0</v>
      </c>
      <c r="G242" s="7">
        <f t="shared" si="40"/>
        <v>136579.67100000003</v>
      </c>
      <c r="H242" s="14"/>
      <c r="I242" s="16">
        <v>0</v>
      </c>
      <c r="J242" s="16">
        <f t="shared" si="44"/>
        <v>37.42</v>
      </c>
      <c r="K242" s="16">
        <f t="shared" si="49"/>
        <v>1029.6199999999999</v>
      </c>
      <c r="L242" s="14"/>
      <c r="M242" s="16">
        <f t="shared" si="55"/>
        <v>0</v>
      </c>
      <c r="N242" s="16">
        <f t="shared" si="55"/>
        <v>0</v>
      </c>
      <c r="O242" s="7">
        <f t="shared" si="46"/>
        <v>0</v>
      </c>
      <c r="P242" s="16">
        <v>0</v>
      </c>
      <c r="Q242" s="16">
        <v>0</v>
      </c>
      <c r="R242" s="7">
        <f t="shared" si="53"/>
        <v>0</v>
      </c>
      <c r="S242" s="16">
        <v>0</v>
      </c>
      <c r="T242" s="16">
        <v>0</v>
      </c>
      <c r="U242" s="7">
        <f t="shared" si="54"/>
        <v>0</v>
      </c>
      <c r="V242" s="14"/>
      <c r="W242" s="16">
        <v>0</v>
      </c>
      <c r="X242" s="16">
        <f t="shared" si="47"/>
        <v>0</v>
      </c>
      <c r="Y242" s="16">
        <f t="shared" si="41"/>
        <v>0.06</v>
      </c>
      <c r="Z242" s="14"/>
      <c r="AA242" s="16">
        <v>0</v>
      </c>
      <c r="AB242" s="16">
        <f t="shared" si="42"/>
        <v>0</v>
      </c>
      <c r="AC242" s="7">
        <f t="shared" si="48"/>
        <v>0</v>
      </c>
    </row>
    <row r="243" spans="2:30">
      <c r="B243" s="19">
        <v>45958</v>
      </c>
      <c r="C243" s="19"/>
      <c r="D243" s="13">
        <f t="shared" si="43"/>
        <v>1</v>
      </c>
      <c r="E243" s="16">
        <v>0</v>
      </c>
      <c r="F243" s="16">
        <v>0</v>
      </c>
      <c r="G243" s="7">
        <f t="shared" si="40"/>
        <v>136579.67100000003</v>
      </c>
      <c r="H243" s="14"/>
      <c r="I243" s="16">
        <v>0</v>
      </c>
      <c r="J243" s="16">
        <f t="shared" si="44"/>
        <v>37.42</v>
      </c>
      <c r="K243" s="16">
        <f t="shared" si="49"/>
        <v>1067.04</v>
      </c>
      <c r="L243" s="14"/>
      <c r="M243" s="16">
        <f t="shared" si="55"/>
        <v>0</v>
      </c>
      <c r="N243" s="16">
        <f t="shared" si="55"/>
        <v>0</v>
      </c>
      <c r="O243" s="7">
        <f t="shared" si="46"/>
        <v>0</v>
      </c>
      <c r="P243" s="16">
        <v>0</v>
      </c>
      <c r="Q243" s="16">
        <v>0</v>
      </c>
      <c r="R243" s="7">
        <f t="shared" si="53"/>
        <v>0</v>
      </c>
      <c r="S243" s="16">
        <v>0</v>
      </c>
      <c r="T243" s="16">
        <v>0</v>
      </c>
      <c r="U243" s="7">
        <f t="shared" si="54"/>
        <v>0</v>
      </c>
      <c r="V243" s="14"/>
      <c r="W243" s="16">
        <v>0</v>
      </c>
      <c r="X243" s="16">
        <f t="shared" si="47"/>
        <v>0</v>
      </c>
      <c r="Y243" s="16">
        <f t="shared" si="41"/>
        <v>0.06</v>
      </c>
      <c r="Z243" s="14"/>
      <c r="AA243" s="16">
        <v>0</v>
      </c>
      <c r="AB243" s="16">
        <f t="shared" si="42"/>
        <v>0</v>
      </c>
      <c r="AC243" s="7">
        <f t="shared" si="48"/>
        <v>0</v>
      </c>
    </row>
    <row r="244" spans="2:30">
      <c r="B244" s="19">
        <v>45959</v>
      </c>
      <c r="C244" s="19"/>
      <c r="D244" s="13">
        <f t="shared" si="43"/>
        <v>1</v>
      </c>
      <c r="E244" s="16">
        <v>0</v>
      </c>
      <c r="F244" s="16">
        <v>0</v>
      </c>
      <c r="G244" s="7">
        <f t="shared" si="40"/>
        <v>136579.67100000003</v>
      </c>
      <c r="H244" s="14"/>
      <c r="I244" s="16">
        <v>0</v>
      </c>
      <c r="J244" s="16">
        <f t="shared" si="44"/>
        <v>37.42</v>
      </c>
      <c r="K244" s="16">
        <f t="shared" si="49"/>
        <v>1104.46</v>
      </c>
      <c r="L244" s="14"/>
      <c r="M244" s="16">
        <f t="shared" si="55"/>
        <v>0</v>
      </c>
      <c r="N244" s="16">
        <f t="shared" si="55"/>
        <v>0</v>
      </c>
      <c r="O244" s="7">
        <f t="shared" si="46"/>
        <v>0</v>
      </c>
      <c r="P244" s="16">
        <v>0</v>
      </c>
      <c r="Q244" s="16">
        <v>0</v>
      </c>
      <c r="R244" s="7">
        <f t="shared" si="53"/>
        <v>0</v>
      </c>
      <c r="S244" s="16">
        <v>0</v>
      </c>
      <c r="T244" s="16">
        <v>0</v>
      </c>
      <c r="U244" s="7">
        <f t="shared" si="54"/>
        <v>0</v>
      </c>
      <c r="V244" s="14"/>
      <c r="W244" s="16">
        <v>0</v>
      </c>
      <c r="X244" s="16">
        <f t="shared" si="47"/>
        <v>0</v>
      </c>
      <c r="Y244" s="16">
        <f t="shared" si="41"/>
        <v>0.06</v>
      </c>
      <c r="Z244" s="14"/>
      <c r="AA244" s="16">
        <v>0</v>
      </c>
      <c r="AB244" s="16">
        <f t="shared" si="42"/>
        <v>0</v>
      </c>
      <c r="AC244" s="7">
        <f t="shared" si="48"/>
        <v>0</v>
      </c>
    </row>
    <row r="245" spans="2:30">
      <c r="B245" s="19">
        <v>45960</v>
      </c>
      <c r="C245" s="19"/>
      <c r="D245" s="13">
        <f t="shared" si="43"/>
        <v>1</v>
      </c>
      <c r="E245" s="16">
        <v>0</v>
      </c>
      <c r="F245" s="16">
        <v>0</v>
      </c>
      <c r="G245" s="7">
        <f t="shared" si="40"/>
        <v>136579.67100000003</v>
      </c>
      <c r="H245" s="14"/>
      <c r="I245" s="16">
        <v>0</v>
      </c>
      <c r="J245" s="16">
        <f t="shared" si="44"/>
        <v>37.42</v>
      </c>
      <c r="K245" s="16">
        <f t="shared" si="49"/>
        <v>1141.8800000000001</v>
      </c>
      <c r="L245" s="14"/>
      <c r="M245" s="16">
        <f t="shared" si="55"/>
        <v>0</v>
      </c>
      <c r="N245" s="16">
        <f t="shared" si="55"/>
        <v>0</v>
      </c>
      <c r="O245" s="7">
        <f t="shared" si="46"/>
        <v>0</v>
      </c>
      <c r="P245" s="16">
        <v>0</v>
      </c>
      <c r="Q245" s="16">
        <v>0</v>
      </c>
      <c r="R245" s="7">
        <f t="shared" si="53"/>
        <v>0</v>
      </c>
      <c r="S245" s="16">
        <v>0</v>
      </c>
      <c r="T245" s="16">
        <v>0</v>
      </c>
      <c r="U245" s="7">
        <f t="shared" si="54"/>
        <v>0</v>
      </c>
      <c r="V245" s="14"/>
      <c r="W245" s="16">
        <v>0</v>
      </c>
      <c r="X245" s="16">
        <f t="shared" si="47"/>
        <v>0</v>
      </c>
      <c r="Y245" s="16">
        <f t="shared" si="41"/>
        <v>0.06</v>
      </c>
      <c r="Z245" s="14"/>
      <c r="AA245" s="16">
        <v>0</v>
      </c>
      <c r="AB245" s="16">
        <f t="shared" si="42"/>
        <v>0</v>
      </c>
      <c r="AC245" s="7">
        <f t="shared" si="48"/>
        <v>0</v>
      </c>
    </row>
    <row r="246" spans="2:30" ht="136">
      <c r="B246" s="19">
        <v>45961</v>
      </c>
      <c r="C246" s="19"/>
      <c r="D246" s="13">
        <f t="shared" si="43"/>
        <v>1</v>
      </c>
      <c r="E246" s="16">
        <v>0</v>
      </c>
      <c r="F246" s="16">
        <v>0</v>
      </c>
      <c r="G246" s="7">
        <f>G245+F246-E246</f>
        <v>136579.67100000003</v>
      </c>
      <c r="H246" s="14"/>
      <c r="I246" s="21">
        <f>K245</f>
        <v>1141.8800000000001</v>
      </c>
      <c r="J246" s="16">
        <f t="shared" si="44"/>
        <v>37.42</v>
      </c>
      <c r="K246" s="16">
        <f t="shared" si="49"/>
        <v>37.42</v>
      </c>
      <c r="L246" s="14"/>
      <c r="M246" s="16">
        <f>P246+S246</f>
        <v>0</v>
      </c>
      <c r="N246" s="21">
        <f>Q246+T246</f>
        <v>1073.4236000000001</v>
      </c>
      <c r="O246" s="10">
        <f>O245+N246-M246</f>
        <v>1073.4236000000001</v>
      </c>
      <c r="P246" s="16">
        <v>0</v>
      </c>
      <c r="Q246" s="16">
        <v>0</v>
      </c>
      <c r="R246" s="7">
        <f t="shared" si="53"/>
        <v>0</v>
      </c>
      <c r="S246" s="16">
        <v>0</v>
      </c>
      <c r="T246" s="21">
        <f>(I246+W246)-AB246</f>
        <v>1073.4236000000001</v>
      </c>
      <c r="U246" s="7">
        <f t="shared" si="54"/>
        <v>1073.4236000000001</v>
      </c>
      <c r="V246" s="14"/>
      <c r="W246" s="21">
        <f>Y245</f>
        <v>0.06</v>
      </c>
      <c r="X246" s="16">
        <f>ROUND((O246-N246)*$M$3/$N$3*D246,2)</f>
        <v>0</v>
      </c>
      <c r="Y246" s="16">
        <f t="shared" si="41"/>
        <v>0</v>
      </c>
      <c r="Z246" s="14"/>
      <c r="AA246" s="16">
        <v>0</v>
      </c>
      <c r="AB246" s="22">
        <f t="shared" si="42"/>
        <v>68.516400000000004</v>
      </c>
      <c r="AC246" s="69">
        <f t="shared" si="48"/>
        <v>68.52</v>
      </c>
      <c r="AD246" s="23" t="s">
        <v>17</v>
      </c>
    </row>
    <row r="247" spans="2:30">
      <c r="B247" s="19">
        <v>45962</v>
      </c>
      <c r="C247" s="19"/>
      <c r="D247" s="13">
        <f t="shared" si="43"/>
        <v>1</v>
      </c>
      <c r="E247" s="16">
        <v>0</v>
      </c>
      <c r="F247" s="16">
        <v>0</v>
      </c>
      <c r="G247" s="7">
        <f t="shared" si="40"/>
        <v>136579.67100000003</v>
      </c>
      <c r="H247" s="14"/>
      <c r="I247" s="16">
        <v>0</v>
      </c>
      <c r="J247" s="16">
        <f t="shared" si="44"/>
        <v>37.42</v>
      </c>
      <c r="K247" s="16">
        <f t="shared" si="49"/>
        <v>74.84</v>
      </c>
      <c r="L247" s="14"/>
      <c r="M247" s="16">
        <f t="shared" si="55"/>
        <v>0</v>
      </c>
      <c r="N247" s="16">
        <f t="shared" si="55"/>
        <v>0</v>
      </c>
      <c r="O247" s="7">
        <f t="shared" si="46"/>
        <v>1073.4236000000001</v>
      </c>
      <c r="P247" s="16">
        <v>0</v>
      </c>
      <c r="Q247" s="16">
        <v>0</v>
      </c>
      <c r="R247" s="7">
        <f t="shared" si="53"/>
        <v>0</v>
      </c>
      <c r="S247" s="16">
        <v>0</v>
      </c>
      <c r="T247" s="16">
        <v>0</v>
      </c>
      <c r="U247" s="7">
        <f t="shared" si="54"/>
        <v>1073.4236000000001</v>
      </c>
      <c r="V247" s="14"/>
      <c r="W247" s="16">
        <v>0</v>
      </c>
      <c r="X247" s="16">
        <f t="shared" si="47"/>
        <v>0.03</v>
      </c>
      <c r="Y247" s="16">
        <f t="shared" si="41"/>
        <v>0.03</v>
      </c>
      <c r="Z247" s="14"/>
      <c r="AA247" s="16">
        <v>0</v>
      </c>
      <c r="AB247" s="16">
        <f t="shared" si="42"/>
        <v>0</v>
      </c>
      <c r="AC247" s="7">
        <f t="shared" si="48"/>
        <v>68.52</v>
      </c>
    </row>
    <row r="248" spans="2:30">
      <c r="B248" s="19">
        <v>45963</v>
      </c>
      <c r="C248" s="19"/>
      <c r="D248" s="13">
        <f t="shared" si="43"/>
        <v>1</v>
      </c>
      <c r="E248" s="16">
        <v>0</v>
      </c>
      <c r="F248" s="16">
        <v>0</v>
      </c>
      <c r="G248" s="7">
        <f t="shared" si="40"/>
        <v>136579.67100000003</v>
      </c>
      <c r="H248" s="14"/>
      <c r="I248" s="16">
        <v>0</v>
      </c>
      <c r="J248" s="16">
        <f t="shared" si="44"/>
        <v>37.42</v>
      </c>
      <c r="K248" s="16">
        <f t="shared" si="49"/>
        <v>112.26</v>
      </c>
      <c r="L248" s="14"/>
      <c r="M248" s="16">
        <f t="shared" si="55"/>
        <v>0</v>
      </c>
      <c r="N248" s="16">
        <f t="shared" si="55"/>
        <v>0</v>
      </c>
      <c r="O248" s="7">
        <f t="shared" si="46"/>
        <v>1073.4236000000001</v>
      </c>
      <c r="P248" s="16">
        <v>0</v>
      </c>
      <c r="Q248" s="16">
        <v>0</v>
      </c>
      <c r="R248" s="7">
        <f t="shared" si="53"/>
        <v>0</v>
      </c>
      <c r="S248" s="16">
        <v>0</v>
      </c>
      <c r="T248" s="16">
        <v>0</v>
      </c>
      <c r="U248" s="7">
        <f t="shared" si="54"/>
        <v>1073.4236000000001</v>
      </c>
      <c r="V248" s="14"/>
      <c r="W248" s="16">
        <v>0</v>
      </c>
      <c r="X248" s="16">
        <f t="shared" si="47"/>
        <v>0.03</v>
      </c>
      <c r="Y248" s="16">
        <f t="shared" si="41"/>
        <v>0.06</v>
      </c>
      <c r="Z248" s="14"/>
      <c r="AA248" s="16">
        <v>0</v>
      </c>
      <c r="AB248" s="16">
        <f t="shared" si="42"/>
        <v>0</v>
      </c>
      <c r="AC248" s="7">
        <f t="shared" si="48"/>
        <v>68.52</v>
      </c>
    </row>
    <row r="249" spans="2:30">
      <c r="B249" s="19">
        <v>45964</v>
      </c>
      <c r="C249" s="19"/>
      <c r="D249" s="13">
        <f t="shared" si="43"/>
        <v>1</v>
      </c>
      <c r="E249" s="16">
        <v>0</v>
      </c>
      <c r="F249" s="16">
        <v>0</v>
      </c>
      <c r="G249" s="7">
        <f t="shared" si="40"/>
        <v>136579.67100000003</v>
      </c>
      <c r="H249" s="14"/>
      <c r="I249" s="16">
        <v>0</v>
      </c>
      <c r="J249" s="16">
        <f t="shared" si="44"/>
        <v>37.42</v>
      </c>
      <c r="K249" s="16">
        <f t="shared" si="49"/>
        <v>149.68</v>
      </c>
      <c r="L249" s="14"/>
      <c r="M249" s="16">
        <f t="shared" si="55"/>
        <v>0</v>
      </c>
      <c r="N249" s="16">
        <f t="shared" si="55"/>
        <v>0</v>
      </c>
      <c r="O249" s="7">
        <f t="shared" si="46"/>
        <v>1073.4236000000001</v>
      </c>
      <c r="P249" s="16">
        <v>0</v>
      </c>
      <c r="Q249" s="16">
        <v>0</v>
      </c>
      <c r="R249" s="7">
        <f t="shared" si="53"/>
        <v>0</v>
      </c>
      <c r="S249" s="16">
        <v>0</v>
      </c>
      <c r="T249" s="16">
        <v>0</v>
      </c>
      <c r="U249" s="7">
        <f t="shared" si="54"/>
        <v>1073.4236000000001</v>
      </c>
      <c r="V249" s="14"/>
      <c r="W249" s="16">
        <v>0</v>
      </c>
      <c r="X249" s="16">
        <f t="shared" si="47"/>
        <v>0.03</v>
      </c>
      <c r="Y249" s="16">
        <f t="shared" si="41"/>
        <v>0.09</v>
      </c>
      <c r="Z249" s="14"/>
      <c r="AA249" s="16">
        <v>0</v>
      </c>
      <c r="AB249" s="16">
        <f t="shared" si="42"/>
        <v>0</v>
      </c>
      <c r="AC249" s="7">
        <f t="shared" si="48"/>
        <v>68.52</v>
      </c>
    </row>
    <row r="250" spans="2:30">
      <c r="B250" s="19">
        <v>45965</v>
      </c>
      <c r="C250" s="19"/>
      <c r="D250" s="13">
        <f t="shared" si="43"/>
        <v>1</v>
      </c>
      <c r="E250" s="16">
        <v>0</v>
      </c>
      <c r="F250" s="16">
        <v>0</v>
      </c>
      <c r="G250" s="7">
        <f t="shared" si="40"/>
        <v>136579.67100000003</v>
      </c>
      <c r="H250" s="14"/>
      <c r="I250" s="16">
        <v>0</v>
      </c>
      <c r="J250" s="16">
        <f t="shared" si="44"/>
        <v>37.42</v>
      </c>
      <c r="K250" s="16">
        <f t="shared" si="49"/>
        <v>187.1</v>
      </c>
      <c r="L250" s="14"/>
      <c r="M250" s="16">
        <f t="shared" si="55"/>
        <v>0</v>
      </c>
      <c r="N250" s="16">
        <f t="shared" si="55"/>
        <v>0</v>
      </c>
      <c r="O250" s="7">
        <f t="shared" si="46"/>
        <v>1073.4236000000001</v>
      </c>
      <c r="P250" s="16">
        <v>0</v>
      </c>
      <c r="Q250" s="16">
        <v>0</v>
      </c>
      <c r="R250" s="7">
        <f t="shared" si="53"/>
        <v>0</v>
      </c>
      <c r="S250" s="16">
        <v>0</v>
      </c>
      <c r="T250" s="16">
        <v>0</v>
      </c>
      <c r="U250" s="7">
        <f t="shared" si="54"/>
        <v>1073.4236000000001</v>
      </c>
      <c r="V250" s="14"/>
      <c r="W250" s="16">
        <v>0</v>
      </c>
      <c r="X250" s="16">
        <f t="shared" si="47"/>
        <v>0.03</v>
      </c>
      <c r="Y250" s="16">
        <f t="shared" si="41"/>
        <v>0.12</v>
      </c>
      <c r="Z250" s="14"/>
      <c r="AA250" s="16">
        <v>0</v>
      </c>
      <c r="AB250" s="16">
        <f t="shared" si="42"/>
        <v>0</v>
      </c>
      <c r="AC250" s="7">
        <f t="shared" si="48"/>
        <v>68.52</v>
      </c>
    </row>
    <row r="251" spans="2:30" ht="34">
      <c r="B251" s="19">
        <v>45966</v>
      </c>
      <c r="C251" s="19"/>
      <c r="D251" s="13">
        <f t="shared" si="43"/>
        <v>1</v>
      </c>
      <c r="E251" s="16">
        <v>0</v>
      </c>
      <c r="F251" s="14">
        <v>10000</v>
      </c>
      <c r="G251" s="7">
        <f t="shared" si="40"/>
        <v>146579.67100000003</v>
      </c>
      <c r="H251" s="14"/>
      <c r="I251" s="16">
        <v>0</v>
      </c>
      <c r="J251" s="16">
        <f t="shared" si="44"/>
        <v>37.42</v>
      </c>
      <c r="K251" s="16">
        <f t="shared" si="49"/>
        <v>224.52</v>
      </c>
      <c r="L251" s="14"/>
      <c r="M251" s="16">
        <f t="shared" si="55"/>
        <v>0</v>
      </c>
      <c r="N251" s="16">
        <f t="shared" si="55"/>
        <v>0</v>
      </c>
      <c r="O251" s="7">
        <f t="shared" si="46"/>
        <v>1073.4236000000001</v>
      </c>
      <c r="P251" s="16">
        <v>0</v>
      </c>
      <c r="Q251" s="16">
        <v>0</v>
      </c>
      <c r="R251" s="7">
        <f t="shared" si="53"/>
        <v>0</v>
      </c>
      <c r="S251" s="16">
        <v>0</v>
      </c>
      <c r="T251" s="16">
        <v>0</v>
      </c>
      <c r="U251" s="7">
        <f t="shared" si="54"/>
        <v>1073.4236000000001</v>
      </c>
      <c r="V251" s="14"/>
      <c r="W251" s="16">
        <v>0</v>
      </c>
      <c r="X251" s="16">
        <f t="shared" si="47"/>
        <v>0.03</v>
      </c>
      <c r="Y251" s="16">
        <f t="shared" si="41"/>
        <v>0.15</v>
      </c>
      <c r="Z251" s="14"/>
      <c r="AA251" s="16">
        <v>0</v>
      </c>
      <c r="AB251" s="16">
        <f t="shared" si="42"/>
        <v>0</v>
      </c>
      <c r="AC251" s="7">
        <f t="shared" si="48"/>
        <v>68.52</v>
      </c>
      <c r="AD251" s="65" t="s">
        <v>15</v>
      </c>
    </row>
    <row r="252" spans="2:30">
      <c r="B252" s="19">
        <v>45967</v>
      </c>
      <c r="C252" s="19"/>
      <c r="D252" s="13">
        <f t="shared" si="43"/>
        <v>1</v>
      </c>
      <c r="E252" s="16">
        <v>0</v>
      </c>
      <c r="F252" s="16">
        <v>0</v>
      </c>
      <c r="G252" s="7">
        <f t="shared" si="40"/>
        <v>146579.67100000003</v>
      </c>
      <c r="H252" s="14"/>
      <c r="I252" s="16">
        <v>0</v>
      </c>
      <c r="J252" s="16">
        <f t="shared" si="44"/>
        <v>40.159999999999997</v>
      </c>
      <c r="K252" s="16">
        <f t="shared" si="49"/>
        <v>264.68</v>
      </c>
      <c r="L252" s="14"/>
      <c r="M252" s="16">
        <f t="shared" si="55"/>
        <v>0</v>
      </c>
      <c r="N252" s="16">
        <f t="shared" si="55"/>
        <v>0</v>
      </c>
      <c r="O252" s="7">
        <f t="shared" si="46"/>
        <v>1073.4236000000001</v>
      </c>
      <c r="P252" s="16">
        <v>0</v>
      </c>
      <c r="Q252" s="16">
        <v>0</v>
      </c>
      <c r="R252" s="7">
        <f t="shared" si="53"/>
        <v>0</v>
      </c>
      <c r="S252" s="16">
        <v>0</v>
      </c>
      <c r="T252" s="16">
        <v>0</v>
      </c>
      <c r="U252" s="7">
        <f t="shared" si="54"/>
        <v>1073.4236000000001</v>
      </c>
      <c r="V252" s="14"/>
      <c r="W252" s="16">
        <v>0</v>
      </c>
      <c r="X252" s="16">
        <f t="shared" si="47"/>
        <v>0.03</v>
      </c>
      <c r="Y252" s="16">
        <f t="shared" si="41"/>
        <v>0.18</v>
      </c>
      <c r="Z252" s="14"/>
      <c r="AA252" s="16">
        <v>0</v>
      </c>
      <c r="AB252" s="16">
        <f t="shared" si="42"/>
        <v>0</v>
      </c>
      <c r="AC252" s="7">
        <f t="shared" si="48"/>
        <v>68.52</v>
      </c>
    </row>
    <row r="253" spans="2:30">
      <c r="B253" s="19">
        <v>45968</v>
      </c>
      <c r="C253" s="19"/>
      <c r="D253" s="13">
        <f t="shared" si="43"/>
        <v>1</v>
      </c>
      <c r="E253" s="16">
        <v>0</v>
      </c>
      <c r="F253" s="16">
        <v>0</v>
      </c>
      <c r="G253" s="7">
        <f t="shared" si="40"/>
        <v>146579.67100000003</v>
      </c>
      <c r="H253" s="14"/>
      <c r="I253" s="16">
        <v>0</v>
      </c>
      <c r="J253" s="16">
        <f t="shared" si="44"/>
        <v>40.159999999999997</v>
      </c>
      <c r="K253" s="16">
        <f t="shared" si="49"/>
        <v>304.83999999999997</v>
      </c>
      <c r="L253" s="14"/>
      <c r="M253" s="16">
        <f t="shared" si="55"/>
        <v>0</v>
      </c>
      <c r="N253" s="16">
        <f t="shared" si="55"/>
        <v>0</v>
      </c>
      <c r="O253" s="7">
        <f t="shared" si="46"/>
        <v>1073.4236000000001</v>
      </c>
      <c r="P253" s="16">
        <v>0</v>
      </c>
      <c r="Q253" s="16">
        <v>0</v>
      </c>
      <c r="R253" s="7">
        <f t="shared" si="53"/>
        <v>0</v>
      </c>
      <c r="S253" s="16">
        <v>0</v>
      </c>
      <c r="T253" s="16">
        <v>0</v>
      </c>
      <c r="U253" s="7">
        <f t="shared" si="54"/>
        <v>1073.4236000000001</v>
      </c>
      <c r="V253" s="14"/>
      <c r="W253" s="16">
        <v>0</v>
      </c>
      <c r="X253" s="16">
        <f t="shared" si="47"/>
        <v>0.03</v>
      </c>
      <c r="Y253" s="16">
        <f t="shared" si="41"/>
        <v>0.21</v>
      </c>
      <c r="Z253" s="14"/>
      <c r="AA253" s="16">
        <v>0</v>
      </c>
      <c r="AB253" s="16">
        <f t="shared" si="42"/>
        <v>0</v>
      </c>
      <c r="AC253" s="7">
        <f t="shared" si="48"/>
        <v>68.52</v>
      </c>
    </row>
    <row r="254" spans="2:30">
      <c r="B254" s="19">
        <v>45969</v>
      </c>
      <c r="C254" s="19"/>
      <c r="D254" s="13">
        <f t="shared" si="43"/>
        <v>1</v>
      </c>
      <c r="E254" s="16">
        <v>0</v>
      </c>
      <c r="F254" s="16">
        <v>0</v>
      </c>
      <c r="G254" s="7">
        <f t="shared" si="40"/>
        <v>146579.67100000003</v>
      </c>
      <c r="H254" s="14"/>
      <c r="I254" s="16">
        <v>0</v>
      </c>
      <c r="J254" s="16">
        <f t="shared" si="44"/>
        <v>40.159999999999997</v>
      </c>
      <c r="K254" s="16">
        <f t="shared" si="49"/>
        <v>345</v>
      </c>
      <c r="L254" s="14"/>
      <c r="M254" s="16">
        <f t="shared" si="55"/>
        <v>0</v>
      </c>
      <c r="N254" s="16">
        <f t="shared" si="55"/>
        <v>0</v>
      </c>
      <c r="O254" s="7">
        <f t="shared" si="46"/>
        <v>1073.4236000000001</v>
      </c>
      <c r="P254" s="16">
        <v>0</v>
      </c>
      <c r="Q254" s="16">
        <v>0</v>
      </c>
      <c r="R254" s="7">
        <f t="shared" si="53"/>
        <v>0</v>
      </c>
      <c r="S254" s="16">
        <v>0</v>
      </c>
      <c r="T254" s="16">
        <v>0</v>
      </c>
      <c r="U254" s="7">
        <f t="shared" si="54"/>
        <v>1073.4236000000001</v>
      </c>
      <c r="V254" s="14"/>
      <c r="W254" s="16">
        <v>0</v>
      </c>
      <c r="X254" s="16">
        <f t="shared" si="47"/>
        <v>0.03</v>
      </c>
      <c r="Y254" s="16">
        <f t="shared" si="41"/>
        <v>0.24</v>
      </c>
      <c r="Z254" s="14"/>
      <c r="AA254" s="16">
        <v>0</v>
      </c>
      <c r="AB254" s="16">
        <f t="shared" si="42"/>
        <v>0</v>
      </c>
      <c r="AC254" s="7">
        <f t="shared" si="48"/>
        <v>68.52</v>
      </c>
    </row>
    <row r="255" spans="2:30">
      <c r="B255" s="19">
        <v>45970</v>
      </c>
      <c r="C255" s="19"/>
      <c r="D255" s="13">
        <f t="shared" si="43"/>
        <v>1</v>
      </c>
      <c r="E255" s="16">
        <v>0</v>
      </c>
      <c r="F255" s="16">
        <v>0</v>
      </c>
      <c r="G255" s="7">
        <f t="shared" ref="G255:G318" si="56">G254+F255-E255</f>
        <v>146579.67100000003</v>
      </c>
      <c r="H255" s="14"/>
      <c r="I255" s="16">
        <v>0</v>
      </c>
      <c r="J255" s="16">
        <f t="shared" si="44"/>
        <v>40.159999999999997</v>
      </c>
      <c r="K255" s="16">
        <f t="shared" si="49"/>
        <v>385.16</v>
      </c>
      <c r="L255" s="14"/>
      <c r="M255" s="16">
        <f t="shared" si="55"/>
        <v>0</v>
      </c>
      <c r="N255" s="16">
        <f t="shared" si="55"/>
        <v>0</v>
      </c>
      <c r="O255" s="7">
        <f t="shared" si="46"/>
        <v>1073.4236000000001</v>
      </c>
      <c r="P255" s="16">
        <v>0</v>
      </c>
      <c r="Q255" s="16">
        <v>0</v>
      </c>
      <c r="R255" s="7">
        <f t="shared" si="53"/>
        <v>0</v>
      </c>
      <c r="S255" s="16">
        <v>0</v>
      </c>
      <c r="T255" s="16">
        <v>0</v>
      </c>
      <c r="U255" s="7">
        <f t="shared" si="54"/>
        <v>1073.4236000000001</v>
      </c>
      <c r="V255" s="14"/>
      <c r="W255" s="16">
        <v>0</v>
      </c>
      <c r="X255" s="16">
        <f t="shared" si="47"/>
        <v>0.03</v>
      </c>
      <c r="Y255" s="16">
        <f t="shared" si="41"/>
        <v>0.27</v>
      </c>
      <c r="Z255" s="14"/>
      <c r="AA255" s="16">
        <v>0</v>
      </c>
      <c r="AB255" s="16">
        <f t="shared" si="42"/>
        <v>0</v>
      </c>
      <c r="AC255" s="7">
        <f t="shared" si="48"/>
        <v>68.52</v>
      </c>
    </row>
    <row r="256" spans="2:30">
      <c r="B256" s="19">
        <v>45971</v>
      </c>
      <c r="C256" s="19"/>
      <c r="D256" s="13">
        <f t="shared" si="43"/>
        <v>1</v>
      </c>
      <c r="E256" s="16">
        <v>0</v>
      </c>
      <c r="F256" s="16">
        <v>0</v>
      </c>
      <c r="G256" s="7">
        <f t="shared" si="56"/>
        <v>146579.67100000003</v>
      </c>
      <c r="H256" s="14"/>
      <c r="I256" s="16">
        <v>0</v>
      </c>
      <c r="J256" s="16">
        <f t="shared" si="44"/>
        <v>40.159999999999997</v>
      </c>
      <c r="K256" s="16">
        <f t="shared" si="49"/>
        <v>425.32</v>
      </c>
      <c r="L256" s="14"/>
      <c r="M256" s="16">
        <f t="shared" si="55"/>
        <v>0</v>
      </c>
      <c r="N256" s="16">
        <f t="shared" si="55"/>
        <v>0</v>
      </c>
      <c r="O256" s="7">
        <f t="shared" si="46"/>
        <v>1073.4236000000001</v>
      </c>
      <c r="P256" s="16">
        <v>0</v>
      </c>
      <c r="Q256" s="16">
        <v>0</v>
      </c>
      <c r="R256" s="7">
        <f t="shared" si="53"/>
        <v>0</v>
      </c>
      <c r="S256" s="16">
        <v>0</v>
      </c>
      <c r="T256" s="16">
        <v>0</v>
      </c>
      <c r="U256" s="7">
        <f t="shared" si="54"/>
        <v>1073.4236000000001</v>
      </c>
      <c r="V256" s="14"/>
      <c r="W256" s="16">
        <v>0</v>
      </c>
      <c r="X256" s="16">
        <f t="shared" si="47"/>
        <v>0.03</v>
      </c>
      <c r="Y256" s="16">
        <f t="shared" si="41"/>
        <v>0.3</v>
      </c>
      <c r="Z256" s="14"/>
      <c r="AA256" s="16">
        <v>0</v>
      </c>
      <c r="AB256" s="16">
        <f t="shared" si="42"/>
        <v>0</v>
      </c>
      <c r="AC256" s="7">
        <f t="shared" si="48"/>
        <v>68.52</v>
      </c>
    </row>
    <row r="257" spans="2:30">
      <c r="B257" s="19">
        <v>45972</v>
      </c>
      <c r="C257" s="19"/>
      <c r="D257" s="13">
        <f t="shared" si="43"/>
        <v>1</v>
      </c>
      <c r="E257" s="16">
        <v>0</v>
      </c>
      <c r="F257" s="16">
        <v>0</v>
      </c>
      <c r="G257" s="7">
        <f t="shared" si="56"/>
        <v>146579.67100000003</v>
      </c>
      <c r="H257" s="14"/>
      <c r="I257" s="16">
        <v>0</v>
      </c>
      <c r="J257" s="16">
        <f t="shared" si="44"/>
        <v>40.159999999999997</v>
      </c>
      <c r="K257" s="16">
        <f t="shared" si="49"/>
        <v>465.48</v>
      </c>
      <c r="L257" s="14"/>
      <c r="M257" s="16">
        <f t="shared" si="55"/>
        <v>0</v>
      </c>
      <c r="N257" s="16">
        <f t="shared" si="55"/>
        <v>0</v>
      </c>
      <c r="O257" s="7">
        <f t="shared" si="46"/>
        <v>1073.4236000000001</v>
      </c>
      <c r="P257" s="16">
        <v>0</v>
      </c>
      <c r="Q257" s="16">
        <v>0</v>
      </c>
      <c r="R257" s="7">
        <f t="shared" si="53"/>
        <v>0</v>
      </c>
      <c r="S257" s="16">
        <v>0</v>
      </c>
      <c r="T257" s="16">
        <v>0</v>
      </c>
      <c r="U257" s="7">
        <f t="shared" si="54"/>
        <v>1073.4236000000001</v>
      </c>
      <c r="V257" s="14"/>
      <c r="W257" s="16">
        <v>0</v>
      </c>
      <c r="X257" s="16">
        <f t="shared" si="47"/>
        <v>0.03</v>
      </c>
      <c r="Y257" s="16">
        <f t="shared" si="41"/>
        <v>0.33</v>
      </c>
      <c r="Z257" s="14"/>
      <c r="AA257" s="16">
        <v>0</v>
      </c>
      <c r="AB257" s="16">
        <f t="shared" si="42"/>
        <v>0</v>
      </c>
      <c r="AC257" s="7">
        <f t="shared" si="48"/>
        <v>68.52</v>
      </c>
    </row>
    <row r="258" spans="2:30">
      <c r="B258" s="19">
        <v>45973</v>
      </c>
      <c r="C258" s="19"/>
      <c r="D258" s="13">
        <f t="shared" si="43"/>
        <v>1</v>
      </c>
      <c r="E258" s="16">
        <v>0</v>
      </c>
      <c r="F258" s="16">
        <v>0</v>
      </c>
      <c r="G258" s="7">
        <f t="shared" si="56"/>
        <v>146579.67100000003</v>
      </c>
      <c r="H258" s="14"/>
      <c r="I258" s="16">
        <v>0</v>
      </c>
      <c r="J258" s="16">
        <f t="shared" si="44"/>
        <v>40.159999999999997</v>
      </c>
      <c r="K258" s="16">
        <f t="shared" si="49"/>
        <v>505.64</v>
      </c>
      <c r="L258" s="14"/>
      <c r="M258" s="16">
        <f t="shared" si="55"/>
        <v>0</v>
      </c>
      <c r="N258" s="16">
        <f t="shared" si="55"/>
        <v>0</v>
      </c>
      <c r="O258" s="7">
        <f t="shared" si="46"/>
        <v>1073.4236000000001</v>
      </c>
      <c r="P258" s="16">
        <v>0</v>
      </c>
      <c r="Q258" s="16">
        <v>0</v>
      </c>
      <c r="R258" s="7">
        <f t="shared" si="53"/>
        <v>0</v>
      </c>
      <c r="S258" s="16">
        <v>0</v>
      </c>
      <c r="T258" s="16">
        <v>0</v>
      </c>
      <c r="U258" s="7">
        <f t="shared" si="54"/>
        <v>1073.4236000000001</v>
      </c>
      <c r="V258" s="14"/>
      <c r="W258" s="16">
        <v>0</v>
      </c>
      <c r="X258" s="16">
        <f t="shared" si="47"/>
        <v>0.03</v>
      </c>
      <c r="Y258" s="16">
        <f t="shared" si="41"/>
        <v>0.36</v>
      </c>
      <c r="Z258" s="14"/>
      <c r="AA258" s="16">
        <v>0</v>
      </c>
      <c r="AB258" s="16">
        <f t="shared" si="42"/>
        <v>0</v>
      </c>
      <c r="AC258" s="7">
        <f t="shared" si="48"/>
        <v>68.52</v>
      </c>
    </row>
    <row r="259" spans="2:30">
      <c r="B259" s="19">
        <v>45974</v>
      </c>
      <c r="C259" s="19"/>
      <c r="D259" s="13">
        <f t="shared" si="43"/>
        <v>1</v>
      </c>
      <c r="E259" s="16">
        <v>0</v>
      </c>
      <c r="F259" s="16">
        <v>0</v>
      </c>
      <c r="G259" s="7">
        <f t="shared" si="56"/>
        <v>146579.67100000003</v>
      </c>
      <c r="H259" s="14"/>
      <c r="I259" s="16">
        <v>0</v>
      </c>
      <c r="J259" s="16">
        <f t="shared" si="44"/>
        <v>40.159999999999997</v>
      </c>
      <c r="K259" s="16">
        <f t="shared" si="49"/>
        <v>545.79999999999995</v>
      </c>
      <c r="L259" s="14"/>
      <c r="M259" s="16">
        <f t="shared" si="55"/>
        <v>0</v>
      </c>
      <c r="N259" s="16">
        <f t="shared" si="55"/>
        <v>0</v>
      </c>
      <c r="O259" s="7">
        <f t="shared" si="46"/>
        <v>1073.4236000000001</v>
      </c>
      <c r="P259" s="16">
        <v>0</v>
      </c>
      <c r="Q259" s="16">
        <v>0</v>
      </c>
      <c r="R259" s="7">
        <f t="shared" si="53"/>
        <v>0</v>
      </c>
      <c r="S259" s="16">
        <v>0</v>
      </c>
      <c r="T259" s="16">
        <v>0</v>
      </c>
      <c r="U259" s="7">
        <f t="shared" si="54"/>
        <v>1073.4236000000001</v>
      </c>
      <c r="V259" s="14"/>
      <c r="W259" s="16">
        <v>0</v>
      </c>
      <c r="X259" s="16">
        <f t="shared" si="47"/>
        <v>0.03</v>
      </c>
      <c r="Y259" s="16">
        <f t="shared" si="41"/>
        <v>0.39</v>
      </c>
      <c r="Z259" s="14"/>
      <c r="AA259" s="16">
        <v>0</v>
      </c>
      <c r="AB259" s="16">
        <f t="shared" si="42"/>
        <v>0</v>
      </c>
      <c r="AC259" s="7">
        <f t="shared" si="48"/>
        <v>68.52</v>
      </c>
    </row>
    <row r="260" spans="2:30" ht="17">
      <c r="B260" s="19">
        <v>45975</v>
      </c>
      <c r="C260" s="19"/>
      <c r="D260" s="13">
        <f t="shared" si="43"/>
        <v>1</v>
      </c>
      <c r="E260" s="16">
        <v>0</v>
      </c>
      <c r="F260" s="16">
        <v>0</v>
      </c>
      <c r="G260" s="7">
        <f t="shared" si="56"/>
        <v>146579.67100000003</v>
      </c>
      <c r="H260" s="14"/>
      <c r="I260" s="16">
        <v>0</v>
      </c>
      <c r="J260" s="16">
        <f t="shared" si="44"/>
        <v>40.159999999999997</v>
      </c>
      <c r="K260" s="16">
        <f t="shared" si="49"/>
        <v>585.96</v>
      </c>
      <c r="L260" s="14"/>
      <c r="M260" s="16">
        <f t="shared" si="55"/>
        <v>0</v>
      </c>
      <c r="N260" s="16">
        <f t="shared" si="55"/>
        <v>0</v>
      </c>
      <c r="O260" s="7">
        <f t="shared" si="46"/>
        <v>1073.4236000000001</v>
      </c>
      <c r="P260" s="16">
        <v>0</v>
      </c>
      <c r="Q260" s="16">
        <v>0</v>
      </c>
      <c r="R260" s="7">
        <f t="shared" si="53"/>
        <v>0</v>
      </c>
      <c r="S260" s="16">
        <v>0</v>
      </c>
      <c r="T260" s="16">
        <v>0</v>
      </c>
      <c r="U260" s="7">
        <f t="shared" si="54"/>
        <v>1073.4236000000001</v>
      </c>
      <c r="V260" s="14"/>
      <c r="W260" s="16">
        <v>0</v>
      </c>
      <c r="X260" s="16">
        <f t="shared" si="47"/>
        <v>0.03</v>
      </c>
      <c r="Y260" s="16">
        <f t="shared" si="41"/>
        <v>0.42</v>
      </c>
      <c r="Z260" s="14"/>
      <c r="AA260" s="22">
        <f>AC259</f>
        <v>68.52</v>
      </c>
      <c r="AB260" s="16">
        <f t="shared" ref="AB260" si="57">(I260+W260)*$AB$3</f>
        <v>0</v>
      </c>
      <c r="AC260" s="69">
        <f t="shared" ref="AC260" si="58">ROUND(AC259+AB260-AA260,2)</f>
        <v>0</v>
      </c>
      <c r="AD260" s="71" t="s">
        <v>48</v>
      </c>
    </row>
    <row r="261" spans="2:30">
      <c r="B261" s="19">
        <v>45976</v>
      </c>
      <c r="C261" s="19"/>
      <c r="D261" s="13">
        <f t="shared" si="43"/>
        <v>1</v>
      </c>
      <c r="E261" s="16">
        <v>0</v>
      </c>
      <c r="F261" s="16">
        <v>0</v>
      </c>
      <c r="G261" s="7">
        <f t="shared" si="56"/>
        <v>146579.67100000003</v>
      </c>
      <c r="H261" s="14"/>
      <c r="I261" s="16">
        <v>0</v>
      </c>
      <c r="J261" s="16">
        <f t="shared" si="44"/>
        <v>40.159999999999997</v>
      </c>
      <c r="K261" s="16">
        <f t="shared" si="49"/>
        <v>626.12</v>
      </c>
      <c r="L261" s="14"/>
      <c r="M261" s="16">
        <f t="shared" si="55"/>
        <v>0</v>
      </c>
      <c r="N261" s="16">
        <f t="shared" si="55"/>
        <v>0</v>
      </c>
      <c r="O261" s="7">
        <f t="shared" si="46"/>
        <v>1073.4236000000001</v>
      </c>
      <c r="P261" s="16">
        <v>0</v>
      </c>
      <c r="Q261" s="16">
        <v>0</v>
      </c>
      <c r="R261" s="7">
        <f t="shared" si="53"/>
        <v>0</v>
      </c>
      <c r="S261" s="16">
        <v>0</v>
      </c>
      <c r="T261" s="16">
        <v>0</v>
      </c>
      <c r="U261" s="7">
        <f t="shared" si="54"/>
        <v>1073.4236000000001</v>
      </c>
      <c r="V261" s="14"/>
      <c r="W261" s="16">
        <v>0</v>
      </c>
      <c r="X261" s="16">
        <f t="shared" si="47"/>
        <v>0.03</v>
      </c>
      <c r="Y261" s="16">
        <f t="shared" ref="Y261:Y324" si="59">ROUND(Y260+X261-W261,2)</f>
        <v>0.45</v>
      </c>
      <c r="Z261" s="14"/>
      <c r="AA261" s="16">
        <v>0</v>
      </c>
      <c r="AB261" s="16">
        <f t="shared" ref="AB261:AB324" si="60">(I261+W261)*$AB$3</f>
        <v>0</v>
      </c>
      <c r="AC261" s="7">
        <f t="shared" si="48"/>
        <v>0</v>
      </c>
    </row>
    <row r="262" spans="2:30">
      <c r="B262" s="19">
        <v>45977</v>
      </c>
      <c r="C262" s="19"/>
      <c r="D262" s="13">
        <f t="shared" ref="D262:D325" si="61">B262-B261</f>
        <v>1</v>
      </c>
      <c r="E262" s="16">
        <v>0</v>
      </c>
      <c r="F262" s="16">
        <v>0</v>
      </c>
      <c r="G262" s="7">
        <f t="shared" si="56"/>
        <v>146579.67100000003</v>
      </c>
      <c r="H262" s="14"/>
      <c r="I262" s="16">
        <v>0</v>
      </c>
      <c r="J262" s="16">
        <f t="shared" ref="J262:J325" si="62">ROUND((G262-F262)*$B$3/$D$3*D262,2)</f>
        <v>40.159999999999997</v>
      </c>
      <c r="K262" s="16">
        <f t="shared" si="49"/>
        <v>666.28</v>
      </c>
      <c r="L262" s="14"/>
      <c r="M262" s="16">
        <f t="shared" si="55"/>
        <v>0</v>
      </c>
      <c r="N262" s="16">
        <f t="shared" si="55"/>
        <v>0</v>
      </c>
      <c r="O262" s="7">
        <f t="shared" ref="O262:O325" si="63">O261+N262-M262</f>
        <v>1073.4236000000001</v>
      </c>
      <c r="P262" s="16">
        <v>0</v>
      </c>
      <c r="Q262" s="16">
        <v>0</v>
      </c>
      <c r="R262" s="7">
        <f t="shared" si="53"/>
        <v>0</v>
      </c>
      <c r="S262" s="16">
        <v>0</v>
      </c>
      <c r="T262" s="16">
        <v>0</v>
      </c>
      <c r="U262" s="7">
        <f t="shared" si="54"/>
        <v>1073.4236000000001</v>
      </c>
      <c r="V262" s="14"/>
      <c r="W262" s="16">
        <v>0</v>
      </c>
      <c r="X262" s="16">
        <f t="shared" ref="X262:X325" si="64">ROUND((O262-N262)*$M$3/$N$3*D262,2)</f>
        <v>0.03</v>
      </c>
      <c r="Y262" s="16">
        <f t="shared" si="59"/>
        <v>0.48</v>
      </c>
      <c r="Z262" s="14"/>
      <c r="AA262" s="16">
        <v>0</v>
      </c>
      <c r="AB262" s="16">
        <f t="shared" si="60"/>
        <v>0</v>
      </c>
      <c r="AC262" s="7">
        <f t="shared" ref="AC262:AC325" si="65">ROUND(AC261+AB262-AA262,2)</f>
        <v>0</v>
      </c>
    </row>
    <row r="263" spans="2:30">
      <c r="B263" s="19">
        <v>45978</v>
      </c>
      <c r="C263" s="19"/>
      <c r="D263" s="13">
        <f t="shared" si="61"/>
        <v>1</v>
      </c>
      <c r="E263" s="16">
        <v>0</v>
      </c>
      <c r="F263" s="16">
        <v>0</v>
      </c>
      <c r="G263" s="7">
        <f t="shared" si="56"/>
        <v>146579.67100000003</v>
      </c>
      <c r="H263" s="14"/>
      <c r="I263" s="16">
        <v>0</v>
      </c>
      <c r="J263" s="16">
        <f t="shared" si="62"/>
        <v>40.159999999999997</v>
      </c>
      <c r="K263" s="16">
        <f t="shared" ref="K263:K326" si="66">ROUND(K262+J263-I263,2)</f>
        <v>706.44</v>
      </c>
      <c r="L263" s="14"/>
      <c r="M263" s="16">
        <f t="shared" si="55"/>
        <v>0</v>
      </c>
      <c r="N263" s="16">
        <f t="shared" si="55"/>
        <v>0</v>
      </c>
      <c r="O263" s="7">
        <f t="shared" si="63"/>
        <v>1073.4236000000001</v>
      </c>
      <c r="P263" s="16">
        <v>0</v>
      </c>
      <c r="Q263" s="16">
        <v>0</v>
      </c>
      <c r="R263" s="7">
        <f t="shared" si="53"/>
        <v>0</v>
      </c>
      <c r="S263" s="16">
        <v>0</v>
      </c>
      <c r="T263" s="16">
        <v>0</v>
      </c>
      <c r="U263" s="7">
        <f t="shared" si="54"/>
        <v>1073.4236000000001</v>
      </c>
      <c r="V263" s="14"/>
      <c r="W263" s="16">
        <v>0</v>
      </c>
      <c r="X263" s="16">
        <f t="shared" si="64"/>
        <v>0.03</v>
      </c>
      <c r="Y263" s="16">
        <f t="shared" si="59"/>
        <v>0.51</v>
      </c>
      <c r="Z263" s="14"/>
      <c r="AA263" s="16">
        <v>0</v>
      </c>
      <c r="AB263" s="16">
        <f t="shared" si="60"/>
        <v>0</v>
      </c>
      <c r="AC263" s="7">
        <f t="shared" si="65"/>
        <v>0</v>
      </c>
    </row>
    <row r="264" spans="2:30">
      <c r="B264" s="19">
        <v>45979</v>
      </c>
      <c r="C264" s="19"/>
      <c r="D264" s="13">
        <f t="shared" si="61"/>
        <v>1</v>
      </c>
      <c r="E264" s="16">
        <v>0</v>
      </c>
      <c r="F264" s="16">
        <v>0</v>
      </c>
      <c r="G264" s="7">
        <f t="shared" si="56"/>
        <v>146579.67100000003</v>
      </c>
      <c r="H264" s="14"/>
      <c r="I264" s="16">
        <v>0</v>
      </c>
      <c r="J264" s="16">
        <f t="shared" si="62"/>
        <v>40.159999999999997</v>
      </c>
      <c r="K264" s="16">
        <f t="shared" si="66"/>
        <v>746.6</v>
      </c>
      <c r="L264" s="14"/>
      <c r="M264" s="16">
        <f t="shared" si="55"/>
        <v>0</v>
      </c>
      <c r="N264" s="16">
        <f t="shared" si="55"/>
        <v>0</v>
      </c>
      <c r="O264" s="7">
        <f t="shared" si="63"/>
        <v>1073.4236000000001</v>
      </c>
      <c r="P264" s="16">
        <v>0</v>
      </c>
      <c r="Q264" s="16">
        <v>0</v>
      </c>
      <c r="R264" s="7">
        <f t="shared" si="53"/>
        <v>0</v>
      </c>
      <c r="S264" s="16">
        <v>0</v>
      </c>
      <c r="T264" s="16">
        <v>0</v>
      </c>
      <c r="U264" s="7">
        <f t="shared" si="54"/>
        <v>1073.4236000000001</v>
      </c>
      <c r="V264" s="14"/>
      <c r="W264" s="16">
        <v>0</v>
      </c>
      <c r="X264" s="16">
        <f t="shared" si="64"/>
        <v>0.03</v>
      </c>
      <c r="Y264" s="16">
        <f t="shared" si="59"/>
        <v>0.54</v>
      </c>
      <c r="Z264" s="14"/>
      <c r="AA264" s="16">
        <v>0</v>
      </c>
      <c r="AB264" s="16">
        <f t="shared" si="60"/>
        <v>0</v>
      </c>
      <c r="AC264" s="7">
        <f t="shared" si="65"/>
        <v>0</v>
      </c>
    </row>
    <row r="265" spans="2:30">
      <c r="B265" s="19">
        <v>45980</v>
      </c>
      <c r="C265" s="19"/>
      <c r="D265" s="13">
        <f t="shared" si="61"/>
        <v>1</v>
      </c>
      <c r="E265" s="16">
        <v>0</v>
      </c>
      <c r="F265" s="16">
        <v>0</v>
      </c>
      <c r="G265" s="7">
        <f t="shared" si="56"/>
        <v>146579.67100000003</v>
      </c>
      <c r="H265" s="14"/>
      <c r="I265" s="16">
        <v>0</v>
      </c>
      <c r="J265" s="16">
        <f t="shared" si="62"/>
        <v>40.159999999999997</v>
      </c>
      <c r="K265" s="16">
        <f t="shared" si="66"/>
        <v>786.76</v>
      </c>
      <c r="L265" s="14"/>
      <c r="M265" s="16">
        <f t="shared" si="55"/>
        <v>0</v>
      </c>
      <c r="N265" s="16">
        <f t="shared" si="55"/>
        <v>0</v>
      </c>
      <c r="O265" s="7">
        <f t="shared" si="63"/>
        <v>1073.4236000000001</v>
      </c>
      <c r="P265" s="16">
        <v>0</v>
      </c>
      <c r="Q265" s="16">
        <v>0</v>
      </c>
      <c r="R265" s="7">
        <f t="shared" si="53"/>
        <v>0</v>
      </c>
      <c r="S265" s="16">
        <v>0</v>
      </c>
      <c r="T265" s="16">
        <v>0</v>
      </c>
      <c r="U265" s="7">
        <f t="shared" si="54"/>
        <v>1073.4236000000001</v>
      </c>
      <c r="V265" s="14"/>
      <c r="W265" s="16">
        <v>0</v>
      </c>
      <c r="X265" s="16">
        <f t="shared" si="64"/>
        <v>0.03</v>
      </c>
      <c r="Y265" s="16">
        <f t="shared" si="59"/>
        <v>0.56999999999999995</v>
      </c>
      <c r="Z265" s="14"/>
      <c r="AA265" s="16">
        <v>0</v>
      </c>
      <c r="AB265" s="16">
        <f t="shared" si="60"/>
        <v>0</v>
      </c>
      <c r="AC265" s="7">
        <f t="shared" si="65"/>
        <v>0</v>
      </c>
    </row>
    <row r="266" spans="2:30">
      <c r="B266" s="19">
        <v>45981</v>
      </c>
      <c r="C266" s="19"/>
      <c r="D266" s="13">
        <f t="shared" si="61"/>
        <v>1</v>
      </c>
      <c r="E266" s="16">
        <v>0</v>
      </c>
      <c r="F266" s="16">
        <v>0</v>
      </c>
      <c r="G266" s="7">
        <f t="shared" si="56"/>
        <v>146579.67100000003</v>
      </c>
      <c r="H266" s="14"/>
      <c r="I266" s="16">
        <v>0</v>
      </c>
      <c r="J266" s="16">
        <f t="shared" si="62"/>
        <v>40.159999999999997</v>
      </c>
      <c r="K266" s="16">
        <f t="shared" si="66"/>
        <v>826.92</v>
      </c>
      <c r="L266" s="14"/>
      <c r="M266" s="16">
        <f t="shared" si="55"/>
        <v>0</v>
      </c>
      <c r="N266" s="16">
        <f t="shared" si="55"/>
        <v>0</v>
      </c>
      <c r="O266" s="7">
        <f t="shared" si="63"/>
        <v>1073.4236000000001</v>
      </c>
      <c r="P266" s="16">
        <v>0</v>
      </c>
      <c r="Q266" s="16">
        <v>0</v>
      </c>
      <c r="R266" s="7">
        <f t="shared" si="53"/>
        <v>0</v>
      </c>
      <c r="S266" s="16">
        <v>0</v>
      </c>
      <c r="T266" s="16">
        <v>0</v>
      </c>
      <c r="U266" s="7">
        <f t="shared" si="54"/>
        <v>1073.4236000000001</v>
      </c>
      <c r="V266" s="14"/>
      <c r="W266" s="16">
        <v>0</v>
      </c>
      <c r="X266" s="16">
        <f t="shared" si="64"/>
        <v>0.03</v>
      </c>
      <c r="Y266" s="16">
        <f t="shared" si="59"/>
        <v>0.6</v>
      </c>
      <c r="Z266" s="14"/>
      <c r="AA266" s="16">
        <v>0</v>
      </c>
      <c r="AB266" s="16">
        <f t="shared" si="60"/>
        <v>0</v>
      </c>
      <c r="AC266" s="7">
        <f t="shared" si="65"/>
        <v>0</v>
      </c>
    </row>
    <row r="267" spans="2:30">
      <c r="B267" s="19">
        <v>45982</v>
      </c>
      <c r="C267" s="19"/>
      <c r="D267" s="13">
        <f t="shared" si="61"/>
        <v>1</v>
      </c>
      <c r="E267" s="16">
        <v>0</v>
      </c>
      <c r="F267" s="16">
        <v>0</v>
      </c>
      <c r="G267" s="7">
        <f t="shared" si="56"/>
        <v>146579.67100000003</v>
      </c>
      <c r="H267" s="14"/>
      <c r="I267" s="16">
        <v>0</v>
      </c>
      <c r="J267" s="16">
        <f t="shared" si="62"/>
        <v>40.159999999999997</v>
      </c>
      <c r="K267" s="16">
        <f t="shared" si="66"/>
        <v>867.08</v>
      </c>
      <c r="L267" s="14"/>
      <c r="M267" s="16">
        <f t="shared" si="55"/>
        <v>0</v>
      </c>
      <c r="N267" s="16">
        <f t="shared" si="55"/>
        <v>0</v>
      </c>
      <c r="O267" s="7">
        <f t="shared" si="63"/>
        <v>1073.4236000000001</v>
      </c>
      <c r="P267" s="16">
        <v>0</v>
      </c>
      <c r="Q267" s="16">
        <v>0</v>
      </c>
      <c r="R267" s="7">
        <f t="shared" si="53"/>
        <v>0</v>
      </c>
      <c r="S267" s="16">
        <v>0</v>
      </c>
      <c r="T267" s="16">
        <v>0</v>
      </c>
      <c r="U267" s="7">
        <f t="shared" si="54"/>
        <v>1073.4236000000001</v>
      </c>
      <c r="V267" s="14"/>
      <c r="W267" s="16">
        <v>0</v>
      </c>
      <c r="X267" s="16">
        <f t="shared" si="64"/>
        <v>0.03</v>
      </c>
      <c r="Y267" s="16">
        <f t="shared" si="59"/>
        <v>0.63</v>
      </c>
      <c r="Z267" s="14"/>
      <c r="AA267" s="16">
        <v>0</v>
      </c>
      <c r="AB267" s="16">
        <f t="shared" si="60"/>
        <v>0</v>
      </c>
      <c r="AC267" s="7">
        <f t="shared" si="65"/>
        <v>0</v>
      </c>
    </row>
    <row r="268" spans="2:30">
      <c r="B268" s="19">
        <v>45983</v>
      </c>
      <c r="C268" s="19"/>
      <c r="D268" s="13">
        <f t="shared" si="61"/>
        <v>1</v>
      </c>
      <c r="E268" s="16">
        <v>0</v>
      </c>
      <c r="F268" s="16">
        <v>0</v>
      </c>
      <c r="G268" s="7">
        <f t="shared" si="56"/>
        <v>146579.67100000003</v>
      </c>
      <c r="H268" s="14"/>
      <c r="I268" s="16">
        <v>0</v>
      </c>
      <c r="J268" s="16">
        <f t="shared" si="62"/>
        <v>40.159999999999997</v>
      </c>
      <c r="K268" s="16">
        <f t="shared" si="66"/>
        <v>907.24</v>
      </c>
      <c r="L268" s="14"/>
      <c r="M268" s="16">
        <f t="shared" si="55"/>
        <v>0</v>
      </c>
      <c r="N268" s="16">
        <f t="shared" si="55"/>
        <v>0</v>
      </c>
      <c r="O268" s="7">
        <f t="shared" si="63"/>
        <v>1073.4236000000001</v>
      </c>
      <c r="P268" s="16">
        <v>0</v>
      </c>
      <c r="Q268" s="16">
        <v>0</v>
      </c>
      <c r="R268" s="7">
        <f t="shared" si="53"/>
        <v>0</v>
      </c>
      <c r="S268" s="16">
        <v>0</v>
      </c>
      <c r="T268" s="16">
        <v>0</v>
      </c>
      <c r="U268" s="7">
        <f t="shared" si="54"/>
        <v>1073.4236000000001</v>
      </c>
      <c r="V268" s="14"/>
      <c r="W268" s="16">
        <v>0</v>
      </c>
      <c r="X268" s="16">
        <f t="shared" si="64"/>
        <v>0.03</v>
      </c>
      <c r="Y268" s="16">
        <f t="shared" si="59"/>
        <v>0.66</v>
      </c>
      <c r="Z268" s="14"/>
      <c r="AA268" s="16">
        <v>0</v>
      </c>
      <c r="AB268" s="16">
        <f t="shared" si="60"/>
        <v>0</v>
      </c>
      <c r="AC268" s="7">
        <f t="shared" si="65"/>
        <v>0</v>
      </c>
    </row>
    <row r="269" spans="2:30">
      <c r="B269" s="19">
        <v>45984</v>
      </c>
      <c r="C269" s="19"/>
      <c r="D269" s="13">
        <f t="shared" si="61"/>
        <v>1</v>
      </c>
      <c r="E269" s="16">
        <v>0</v>
      </c>
      <c r="F269" s="16">
        <v>0</v>
      </c>
      <c r="G269" s="7">
        <f t="shared" si="56"/>
        <v>146579.67100000003</v>
      </c>
      <c r="H269" s="14"/>
      <c r="I269" s="16">
        <v>0</v>
      </c>
      <c r="J269" s="16">
        <f t="shared" si="62"/>
        <v>40.159999999999997</v>
      </c>
      <c r="K269" s="16">
        <f t="shared" si="66"/>
        <v>947.4</v>
      </c>
      <c r="L269" s="14"/>
      <c r="M269" s="16">
        <f t="shared" si="55"/>
        <v>0</v>
      </c>
      <c r="N269" s="16">
        <f t="shared" si="55"/>
        <v>0</v>
      </c>
      <c r="O269" s="7">
        <f t="shared" si="63"/>
        <v>1073.4236000000001</v>
      </c>
      <c r="P269" s="16">
        <v>0</v>
      </c>
      <c r="Q269" s="16">
        <v>0</v>
      </c>
      <c r="R269" s="7">
        <f t="shared" si="53"/>
        <v>0</v>
      </c>
      <c r="S269" s="16">
        <v>0</v>
      </c>
      <c r="T269" s="16">
        <v>0</v>
      </c>
      <c r="U269" s="7">
        <f t="shared" si="54"/>
        <v>1073.4236000000001</v>
      </c>
      <c r="V269" s="14"/>
      <c r="W269" s="16">
        <v>0</v>
      </c>
      <c r="X269" s="16">
        <f t="shared" si="64"/>
        <v>0.03</v>
      </c>
      <c r="Y269" s="16">
        <f t="shared" si="59"/>
        <v>0.69</v>
      </c>
      <c r="Z269" s="14"/>
      <c r="AA269" s="16">
        <v>0</v>
      </c>
      <c r="AB269" s="16">
        <f t="shared" si="60"/>
        <v>0</v>
      </c>
      <c r="AC269" s="7">
        <f t="shared" si="65"/>
        <v>0</v>
      </c>
    </row>
    <row r="270" spans="2:30">
      <c r="B270" s="19">
        <v>45985</v>
      </c>
      <c r="C270" s="19"/>
      <c r="D270" s="13">
        <f t="shared" si="61"/>
        <v>1</v>
      </c>
      <c r="E270" s="16">
        <v>0</v>
      </c>
      <c r="F270" s="16">
        <v>0</v>
      </c>
      <c r="G270" s="7">
        <f t="shared" si="56"/>
        <v>146579.67100000003</v>
      </c>
      <c r="H270" s="14"/>
      <c r="I270" s="16">
        <v>0</v>
      </c>
      <c r="J270" s="16">
        <f t="shared" si="62"/>
        <v>40.159999999999997</v>
      </c>
      <c r="K270" s="16">
        <f t="shared" si="66"/>
        <v>987.56</v>
      </c>
      <c r="L270" s="14"/>
      <c r="M270" s="16">
        <f t="shared" si="55"/>
        <v>0</v>
      </c>
      <c r="N270" s="16">
        <f t="shared" si="55"/>
        <v>0</v>
      </c>
      <c r="O270" s="7">
        <f t="shared" si="63"/>
        <v>1073.4236000000001</v>
      </c>
      <c r="P270" s="16">
        <v>0</v>
      </c>
      <c r="Q270" s="16">
        <v>0</v>
      </c>
      <c r="R270" s="7">
        <f t="shared" si="53"/>
        <v>0</v>
      </c>
      <c r="S270" s="16">
        <v>0</v>
      </c>
      <c r="T270" s="16">
        <v>0</v>
      </c>
      <c r="U270" s="7">
        <f t="shared" si="54"/>
        <v>1073.4236000000001</v>
      </c>
      <c r="V270" s="14"/>
      <c r="W270" s="16">
        <v>0</v>
      </c>
      <c r="X270" s="16">
        <f t="shared" si="64"/>
        <v>0.03</v>
      </c>
      <c r="Y270" s="16">
        <f t="shared" si="59"/>
        <v>0.72</v>
      </c>
      <c r="Z270" s="14"/>
      <c r="AA270" s="16">
        <v>0</v>
      </c>
      <c r="AB270" s="16">
        <f t="shared" si="60"/>
        <v>0</v>
      </c>
      <c r="AC270" s="7">
        <f t="shared" si="65"/>
        <v>0</v>
      </c>
    </row>
    <row r="271" spans="2:30">
      <c r="B271" s="19">
        <v>45986</v>
      </c>
      <c r="C271" s="19"/>
      <c r="D271" s="13">
        <f t="shared" si="61"/>
        <v>1</v>
      </c>
      <c r="E271" s="16">
        <v>0</v>
      </c>
      <c r="F271" s="16">
        <v>0</v>
      </c>
      <c r="G271" s="7">
        <f t="shared" si="56"/>
        <v>146579.67100000003</v>
      </c>
      <c r="H271" s="14"/>
      <c r="I271" s="16">
        <v>0</v>
      </c>
      <c r="J271" s="16">
        <f t="shared" si="62"/>
        <v>40.159999999999997</v>
      </c>
      <c r="K271" s="16">
        <f t="shared" si="66"/>
        <v>1027.72</v>
      </c>
      <c r="L271" s="14"/>
      <c r="M271" s="16">
        <f t="shared" si="55"/>
        <v>0</v>
      </c>
      <c r="N271" s="16">
        <f t="shared" si="55"/>
        <v>0</v>
      </c>
      <c r="O271" s="7">
        <f t="shared" si="63"/>
        <v>1073.4236000000001</v>
      </c>
      <c r="P271" s="16">
        <v>0</v>
      </c>
      <c r="Q271" s="16">
        <v>0</v>
      </c>
      <c r="R271" s="7">
        <f t="shared" si="53"/>
        <v>0</v>
      </c>
      <c r="S271" s="16">
        <v>0</v>
      </c>
      <c r="T271" s="16">
        <v>0</v>
      </c>
      <c r="U271" s="7">
        <f t="shared" si="54"/>
        <v>1073.4236000000001</v>
      </c>
      <c r="V271" s="14"/>
      <c r="W271" s="16">
        <v>0</v>
      </c>
      <c r="X271" s="16">
        <f t="shared" si="64"/>
        <v>0.03</v>
      </c>
      <c r="Y271" s="16">
        <f t="shared" si="59"/>
        <v>0.75</v>
      </c>
      <c r="Z271" s="14"/>
      <c r="AA271" s="16">
        <v>0</v>
      </c>
      <c r="AB271" s="16">
        <f t="shared" si="60"/>
        <v>0</v>
      </c>
      <c r="AC271" s="7">
        <f t="shared" si="65"/>
        <v>0</v>
      </c>
    </row>
    <row r="272" spans="2:30">
      <c r="B272" s="19">
        <v>45987</v>
      </c>
      <c r="C272" s="19"/>
      <c r="D272" s="13">
        <f t="shared" si="61"/>
        <v>1</v>
      </c>
      <c r="E272" s="16">
        <v>0</v>
      </c>
      <c r="F272" s="16">
        <v>0</v>
      </c>
      <c r="G272" s="7">
        <f t="shared" si="56"/>
        <v>146579.67100000003</v>
      </c>
      <c r="H272" s="14"/>
      <c r="I272" s="16">
        <v>0</v>
      </c>
      <c r="J272" s="16">
        <f t="shared" si="62"/>
        <v>40.159999999999997</v>
      </c>
      <c r="K272" s="16">
        <f t="shared" si="66"/>
        <v>1067.8800000000001</v>
      </c>
      <c r="L272" s="14"/>
      <c r="M272" s="16">
        <f t="shared" si="55"/>
        <v>0</v>
      </c>
      <c r="N272" s="16">
        <f t="shared" si="55"/>
        <v>0</v>
      </c>
      <c r="O272" s="7">
        <f t="shared" si="63"/>
        <v>1073.4236000000001</v>
      </c>
      <c r="P272" s="16">
        <v>0</v>
      </c>
      <c r="Q272" s="16">
        <v>0</v>
      </c>
      <c r="R272" s="7">
        <f t="shared" si="53"/>
        <v>0</v>
      </c>
      <c r="S272" s="16">
        <v>0</v>
      </c>
      <c r="T272" s="16">
        <v>0</v>
      </c>
      <c r="U272" s="7">
        <f t="shared" si="54"/>
        <v>1073.4236000000001</v>
      </c>
      <c r="V272" s="14"/>
      <c r="W272" s="16">
        <v>0</v>
      </c>
      <c r="X272" s="16">
        <f t="shared" si="64"/>
        <v>0.03</v>
      </c>
      <c r="Y272" s="16">
        <f t="shared" si="59"/>
        <v>0.78</v>
      </c>
      <c r="Z272" s="14"/>
      <c r="AA272" s="16">
        <v>0</v>
      </c>
      <c r="AB272" s="16">
        <f t="shared" si="60"/>
        <v>0</v>
      </c>
      <c r="AC272" s="7">
        <f t="shared" si="65"/>
        <v>0</v>
      </c>
    </row>
    <row r="273" spans="2:30">
      <c r="B273" s="19">
        <v>45988</v>
      </c>
      <c r="C273" s="19"/>
      <c r="D273" s="13">
        <f t="shared" si="61"/>
        <v>1</v>
      </c>
      <c r="E273" s="16">
        <v>0</v>
      </c>
      <c r="F273" s="16">
        <v>0</v>
      </c>
      <c r="G273" s="7">
        <f t="shared" si="56"/>
        <v>146579.67100000003</v>
      </c>
      <c r="H273" s="14"/>
      <c r="I273" s="16">
        <v>0</v>
      </c>
      <c r="J273" s="16">
        <f t="shared" si="62"/>
        <v>40.159999999999997</v>
      </c>
      <c r="K273" s="16">
        <f t="shared" si="66"/>
        <v>1108.04</v>
      </c>
      <c r="L273" s="14"/>
      <c r="M273" s="16">
        <f t="shared" si="55"/>
        <v>0</v>
      </c>
      <c r="N273" s="16">
        <f t="shared" si="55"/>
        <v>0</v>
      </c>
      <c r="O273" s="7">
        <f t="shared" si="63"/>
        <v>1073.4236000000001</v>
      </c>
      <c r="P273" s="16">
        <v>0</v>
      </c>
      <c r="Q273" s="16">
        <v>0</v>
      </c>
      <c r="R273" s="7">
        <f t="shared" si="53"/>
        <v>0</v>
      </c>
      <c r="S273" s="16">
        <v>0</v>
      </c>
      <c r="T273" s="16">
        <v>0</v>
      </c>
      <c r="U273" s="7">
        <f t="shared" si="54"/>
        <v>1073.4236000000001</v>
      </c>
      <c r="V273" s="14"/>
      <c r="W273" s="16">
        <v>0</v>
      </c>
      <c r="X273" s="16">
        <f t="shared" si="64"/>
        <v>0.03</v>
      </c>
      <c r="Y273" s="16">
        <f t="shared" si="59"/>
        <v>0.81</v>
      </c>
      <c r="Z273" s="14"/>
      <c r="AA273" s="16">
        <v>0</v>
      </c>
      <c r="AB273" s="16">
        <f t="shared" si="60"/>
        <v>0</v>
      </c>
      <c r="AC273" s="7">
        <f t="shared" si="65"/>
        <v>0</v>
      </c>
    </row>
    <row r="274" spans="2:30">
      <c r="B274" s="19">
        <v>45989</v>
      </c>
      <c r="C274" s="19"/>
      <c r="D274" s="13">
        <f t="shared" si="61"/>
        <v>1</v>
      </c>
      <c r="E274" s="16">
        <v>0</v>
      </c>
      <c r="F274" s="16">
        <v>0</v>
      </c>
      <c r="G274" s="7">
        <f t="shared" si="56"/>
        <v>146579.67100000003</v>
      </c>
      <c r="H274" s="14"/>
      <c r="I274" s="16">
        <v>0</v>
      </c>
      <c r="J274" s="16">
        <f t="shared" si="62"/>
        <v>40.159999999999997</v>
      </c>
      <c r="K274" s="16">
        <f t="shared" si="66"/>
        <v>1148.2</v>
      </c>
      <c r="L274" s="14"/>
      <c r="M274" s="16">
        <f t="shared" si="55"/>
        <v>0</v>
      </c>
      <c r="N274" s="16">
        <f t="shared" si="55"/>
        <v>0</v>
      </c>
      <c r="O274" s="7">
        <f t="shared" si="63"/>
        <v>1073.4236000000001</v>
      </c>
      <c r="P274" s="16">
        <v>0</v>
      </c>
      <c r="Q274" s="16">
        <v>0</v>
      </c>
      <c r="R274" s="7">
        <f t="shared" si="53"/>
        <v>0</v>
      </c>
      <c r="S274" s="16">
        <v>0</v>
      </c>
      <c r="T274" s="16">
        <v>0</v>
      </c>
      <c r="U274" s="7">
        <f t="shared" si="54"/>
        <v>1073.4236000000001</v>
      </c>
      <c r="V274" s="14"/>
      <c r="W274" s="16">
        <v>0</v>
      </c>
      <c r="X274" s="16">
        <f t="shared" si="64"/>
        <v>0.03</v>
      </c>
      <c r="Y274" s="16">
        <f t="shared" si="59"/>
        <v>0.84</v>
      </c>
      <c r="Z274" s="14"/>
      <c r="AA274" s="16">
        <v>0</v>
      </c>
      <c r="AB274" s="16">
        <f t="shared" si="60"/>
        <v>0</v>
      </c>
      <c r="AC274" s="7">
        <f t="shared" si="65"/>
        <v>0</v>
      </c>
    </row>
    <row r="275" spans="2:30">
      <c r="B275" s="19">
        <v>45990</v>
      </c>
      <c r="C275" s="19"/>
      <c r="D275" s="13">
        <f t="shared" si="61"/>
        <v>1</v>
      </c>
      <c r="E275" s="16">
        <v>0</v>
      </c>
      <c r="F275" s="16">
        <v>0</v>
      </c>
      <c r="G275" s="7">
        <f t="shared" si="56"/>
        <v>146579.67100000003</v>
      </c>
      <c r="H275" s="14"/>
      <c r="I275" s="16">
        <v>0</v>
      </c>
      <c r="J275" s="16">
        <f t="shared" si="62"/>
        <v>40.159999999999997</v>
      </c>
      <c r="K275" s="16">
        <f t="shared" si="66"/>
        <v>1188.3599999999999</v>
      </c>
      <c r="L275" s="14"/>
      <c r="M275" s="16">
        <f t="shared" si="55"/>
        <v>0</v>
      </c>
      <c r="N275" s="16">
        <f t="shared" si="55"/>
        <v>0</v>
      </c>
      <c r="O275" s="7">
        <f t="shared" si="63"/>
        <v>1073.4236000000001</v>
      </c>
      <c r="P275" s="16">
        <v>0</v>
      </c>
      <c r="Q275" s="16">
        <v>0</v>
      </c>
      <c r="R275" s="7">
        <f t="shared" si="53"/>
        <v>0</v>
      </c>
      <c r="S275" s="16">
        <v>0</v>
      </c>
      <c r="T275" s="16">
        <v>0</v>
      </c>
      <c r="U275" s="7">
        <f t="shared" si="54"/>
        <v>1073.4236000000001</v>
      </c>
      <c r="V275" s="14"/>
      <c r="W275" s="16">
        <v>0</v>
      </c>
      <c r="X275" s="16">
        <f t="shared" si="64"/>
        <v>0.03</v>
      </c>
      <c r="Y275" s="16">
        <f t="shared" si="59"/>
        <v>0.87</v>
      </c>
      <c r="Z275" s="14"/>
      <c r="AA275" s="16">
        <v>0</v>
      </c>
      <c r="AB275" s="16">
        <f t="shared" si="60"/>
        <v>0</v>
      </c>
      <c r="AC275" s="7">
        <f t="shared" si="65"/>
        <v>0</v>
      </c>
    </row>
    <row r="276" spans="2:30" ht="136">
      <c r="B276" s="19">
        <v>45991</v>
      </c>
      <c r="C276" s="19"/>
      <c r="D276" s="13">
        <f t="shared" si="61"/>
        <v>1</v>
      </c>
      <c r="E276" s="16">
        <v>0</v>
      </c>
      <c r="F276" s="16">
        <v>0</v>
      </c>
      <c r="G276" s="7">
        <f>G275+F276-E276</f>
        <v>146579.67100000003</v>
      </c>
      <c r="H276" s="14"/>
      <c r="I276" s="21">
        <f>K275</f>
        <v>1188.3599999999999</v>
      </c>
      <c r="J276" s="16">
        <f t="shared" si="62"/>
        <v>40.159999999999997</v>
      </c>
      <c r="K276" s="16">
        <f t="shared" si="66"/>
        <v>40.159999999999997</v>
      </c>
      <c r="L276" s="14"/>
      <c r="M276" s="16">
        <f>P276+S276</f>
        <v>0</v>
      </c>
      <c r="N276" s="21">
        <f>Q276+T276</f>
        <v>1117.8761999999997</v>
      </c>
      <c r="O276" s="10">
        <f>O275+N276-M276</f>
        <v>2191.2997999999998</v>
      </c>
      <c r="P276" s="16">
        <v>0</v>
      </c>
      <c r="Q276" s="16">
        <v>0</v>
      </c>
      <c r="R276" s="7">
        <f t="shared" si="53"/>
        <v>0</v>
      </c>
      <c r="S276" s="16">
        <v>0</v>
      </c>
      <c r="T276" s="21">
        <f>(I276+W276)-AB276</f>
        <v>1117.8761999999997</v>
      </c>
      <c r="U276" s="7">
        <f t="shared" si="54"/>
        <v>2191.2997999999998</v>
      </c>
      <c r="V276" s="14"/>
      <c r="W276" s="21">
        <f>Y275</f>
        <v>0.87</v>
      </c>
      <c r="X276" s="16">
        <f>ROUND((O276-N276)*$M$3/$N$3*D276,2)</f>
        <v>0.03</v>
      </c>
      <c r="Y276" s="16">
        <f t="shared" si="59"/>
        <v>0.03</v>
      </c>
      <c r="Z276" s="14"/>
      <c r="AA276" s="16">
        <v>0</v>
      </c>
      <c r="AB276" s="22">
        <f t="shared" si="60"/>
        <v>71.353799999999978</v>
      </c>
      <c r="AC276" s="69">
        <f t="shared" si="65"/>
        <v>71.349999999999994</v>
      </c>
      <c r="AD276" s="23" t="s">
        <v>17</v>
      </c>
    </row>
    <row r="277" spans="2:30">
      <c r="B277" s="19">
        <v>45992</v>
      </c>
      <c r="C277" s="19"/>
      <c r="D277" s="13">
        <f t="shared" si="61"/>
        <v>1</v>
      </c>
      <c r="E277" s="16">
        <v>0</v>
      </c>
      <c r="F277" s="16">
        <v>0</v>
      </c>
      <c r="G277" s="7">
        <f t="shared" si="56"/>
        <v>146579.67100000003</v>
      </c>
      <c r="H277" s="14"/>
      <c r="I277" s="16">
        <v>0</v>
      </c>
      <c r="J277" s="16">
        <f t="shared" si="62"/>
        <v>40.159999999999997</v>
      </c>
      <c r="K277" s="16">
        <f t="shared" si="66"/>
        <v>80.319999999999993</v>
      </c>
      <c r="L277" s="14"/>
      <c r="M277" s="16">
        <f t="shared" si="55"/>
        <v>0</v>
      </c>
      <c r="N277" s="16">
        <f t="shared" si="55"/>
        <v>0</v>
      </c>
      <c r="O277" s="7">
        <f t="shared" si="63"/>
        <v>2191.2997999999998</v>
      </c>
      <c r="P277" s="16">
        <v>0</v>
      </c>
      <c r="Q277" s="16">
        <v>0</v>
      </c>
      <c r="R277" s="7">
        <f t="shared" si="53"/>
        <v>0</v>
      </c>
      <c r="S277" s="16">
        <v>0</v>
      </c>
      <c r="T277" s="16">
        <v>0</v>
      </c>
      <c r="U277" s="7">
        <f t="shared" si="54"/>
        <v>2191.2997999999998</v>
      </c>
      <c r="V277" s="14"/>
      <c r="W277" s="16">
        <v>0</v>
      </c>
      <c r="X277" s="16">
        <f t="shared" si="64"/>
        <v>0.06</v>
      </c>
      <c r="Y277" s="16">
        <f t="shared" si="59"/>
        <v>0.09</v>
      </c>
      <c r="Z277" s="14"/>
      <c r="AA277" s="16">
        <v>0</v>
      </c>
      <c r="AB277" s="16">
        <f t="shared" si="60"/>
        <v>0</v>
      </c>
      <c r="AC277" s="7">
        <f t="shared" si="65"/>
        <v>71.349999999999994</v>
      </c>
    </row>
    <row r="278" spans="2:30">
      <c r="B278" s="19">
        <v>45993</v>
      </c>
      <c r="C278" s="19"/>
      <c r="D278" s="13">
        <f t="shared" si="61"/>
        <v>1</v>
      </c>
      <c r="E278" s="16">
        <v>0</v>
      </c>
      <c r="F278" s="16">
        <v>0</v>
      </c>
      <c r="G278" s="7">
        <f t="shared" si="56"/>
        <v>146579.67100000003</v>
      </c>
      <c r="H278" s="14"/>
      <c r="I278" s="16">
        <v>0</v>
      </c>
      <c r="J278" s="16">
        <f t="shared" si="62"/>
        <v>40.159999999999997</v>
      </c>
      <c r="K278" s="16">
        <f t="shared" si="66"/>
        <v>120.48</v>
      </c>
      <c r="L278" s="14"/>
      <c r="M278" s="16">
        <f t="shared" si="55"/>
        <v>0</v>
      </c>
      <c r="N278" s="16">
        <f t="shared" si="55"/>
        <v>0</v>
      </c>
      <c r="O278" s="7">
        <f t="shared" si="63"/>
        <v>2191.2997999999998</v>
      </c>
      <c r="P278" s="16">
        <v>0</v>
      </c>
      <c r="Q278" s="16">
        <v>0</v>
      </c>
      <c r="R278" s="7">
        <f t="shared" si="53"/>
        <v>0</v>
      </c>
      <c r="S278" s="16">
        <v>0</v>
      </c>
      <c r="T278" s="16">
        <v>0</v>
      </c>
      <c r="U278" s="7">
        <f t="shared" si="54"/>
        <v>2191.2997999999998</v>
      </c>
      <c r="V278" s="14"/>
      <c r="W278" s="16">
        <v>0</v>
      </c>
      <c r="X278" s="16">
        <f t="shared" si="64"/>
        <v>0.06</v>
      </c>
      <c r="Y278" s="16">
        <f t="shared" si="59"/>
        <v>0.15</v>
      </c>
      <c r="Z278" s="14"/>
      <c r="AA278" s="16">
        <v>0</v>
      </c>
      <c r="AB278" s="16">
        <f t="shared" si="60"/>
        <v>0</v>
      </c>
      <c r="AC278" s="7">
        <f t="shared" si="65"/>
        <v>71.349999999999994</v>
      </c>
    </row>
    <row r="279" spans="2:30">
      <c r="B279" s="19">
        <v>45994</v>
      </c>
      <c r="C279" s="19"/>
      <c r="D279" s="13">
        <f t="shared" si="61"/>
        <v>1</v>
      </c>
      <c r="E279" s="16">
        <v>0</v>
      </c>
      <c r="F279" s="16">
        <v>0</v>
      </c>
      <c r="G279" s="7">
        <f t="shared" si="56"/>
        <v>146579.67100000003</v>
      </c>
      <c r="H279" s="14"/>
      <c r="I279" s="16">
        <v>0</v>
      </c>
      <c r="J279" s="16">
        <f t="shared" si="62"/>
        <v>40.159999999999997</v>
      </c>
      <c r="K279" s="16">
        <f t="shared" si="66"/>
        <v>160.63999999999999</v>
      </c>
      <c r="L279" s="14"/>
      <c r="M279" s="16">
        <f t="shared" si="55"/>
        <v>0</v>
      </c>
      <c r="N279" s="16">
        <f t="shared" si="55"/>
        <v>0</v>
      </c>
      <c r="O279" s="7">
        <f t="shared" si="63"/>
        <v>2191.2997999999998</v>
      </c>
      <c r="P279" s="16">
        <v>0</v>
      </c>
      <c r="Q279" s="16">
        <v>0</v>
      </c>
      <c r="R279" s="7">
        <f t="shared" si="53"/>
        <v>0</v>
      </c>
      <c r="S279" s="16">
        <v>0</v>
      </c>
      <c r="T279" s="16">
        <v>0</v>
      </c>
      <c r="U279" s="7">
        <f t="shared" si="54"/>
        <v>2191.2997999999998</v>
      </c>
      <c r="V279" s="14"/>
      <c r="W279" s="16">
        <v>0</v>
      </c>
      <c r="X279" s="16">
        <f t="shared" si="64"/>
        <v>0.06</v>
      </c>
      <c r="Y279" s="16">
        <f t="shared" si="59"/>
        <v>0.21</v>
      </c>
      <c r="Z279" s="14"/>
      <c r="AA279" s="16">
        <v>0</v>
      </c>
      <c r="AB279" s="16">
        <f t="shared" si="60"/>
        <v>0</v>
      </c>
      <c r="AC279" s="7">
        <f t="shared" si="65"/>
        <v>71.349999999999994</v>
      </c>
    </row>
    <row r="280" spans="2:30">
      <c r="B280" s="19">
        <v>45995</v>
      </c>
      <c r="C280" s="19"/>
      <c r="D280" s="13">
        <f t="shared" si="61"/>
        <v>1</v>
      </c>
      <c r="E280" s="16">
        <v>0</v>
      </c>
      <c r="F280" s="16">
        <v>0</v>
      </c>
      <c r="G280" s="7">
        <f t="shared" si="56"/>
        <v>146579.67100000003</v>
      </c>
      <c r="H280" s="14"/>
      <c r="I280" s="16">
        <v>0</v>
      </c>
      <c r="J280" s="16">
        <f t="shared" si="62"/>
        <v>40.159999999999997</v>
      </c>
      <c r="K280" s="16">
        <f t="shared" si="66"/>
        <v>200.8</v>
      </c>
      <c r="L280" s="14"/>
      <c r="M280" s="16">
        <f t="shared" si="55"/>
        <v>0</v>
      </c>
      <c r="N280" s="16">
        <f t="shared" si="55"/>
        <v>0</v>
      </c>
      <c r="O280" s="7">
        <f t="shared" si="63"/>
        <v>2191.2997999999998</v>
      </c>
      <c r="P280" s="16">
        <v>0</v>
      </c>
      <c r="Q280" s="16">
        <v>0</v>
      </c>
      <c r="R280" s="7">
        <f t="shared" si="53"/>
        <v>0</v>
      </c>
      <c r="S280" s="16">
        <v>0</v>
      </c>
      <c r="T280" s="16">
        <v>0</v>
      </c>
      <c r="U280" s="7">
        <f t="shared" si="54"/>
        <v>2191.2997999999998</v>
      </c>
      <c r="V280" s="14"/>
      <c r="W280" s="16">
        <v>0</v>
      </c>
      <c r="X280" s="16">
        <f t="shared" si="64"/>
        <v>0.06</v>
      </c>
      <c r="Y280" s="16">
        <f t="shared" si="59"/>
        <v>0.27</v>
      </c>
      <c r="Z280" s="14"/>
      <c r="AA280" s="16">
        <v>0</v>
      </c>
      <c r="AB280" s="16">
        <f t="shared" si="60"/>
        <v>0</v>
      </c>
      <c r="AC280" s="7">
        <f t="shared" si="65"/>
        <v>71.349999999999994</v>
      </c>
    </row>
    <row r="281" spans="2:30" ht="34">
      <c r="B281" s="19">
        <v>45996</v>
      </c>
      <c r="C281" s="19"/>
      <c r="D281" s="13">
        <f t="shared" si="61"/>
        <v>1</v>
      </c>
      <c r="E281" s="16">
        <v>0</v>
      </c>
      <c r="F281" s="14">
        <v>10000</v>
      </c>
      <c r="G281" s="7">
        <f t="shared" si="56"/>
        <v>156579.67100000003</v>
      </c>
      <c r="H281" s="14"/>
      <c r="I281" s="16">
        <v>0</v>
      </c>
      <c r="J281" s="16">
        <f t="shared" si="62"/>
        <v>40.159999999999997</v>
      </c>
      <c r="K281" s="16">
        <f t="shared" si="66"/>
        <v>240.96</v>
      </c>
      <c r="L281" s="14"/>
      <c r="M281" s="16">
        <f t="shared" si="55"/>
        <v>0</v>
      </c>
      <c r="N281" s="16">
        <f t="shared" si="55"/>
        <v>0</v>
      </c>
      <c r="O281" s="7">
        <f t="shared" si="63"/>
        <v>2191.2997999999998</v>
      </c>
      <c r="P281" s="16">
        <v>0</v>
      </c>
      <c r="Q281" s="16">
        <v>0</v>
      </c>
      <c r="R281" s="7">
        <f t="shared" si="53"/>
        <v>0</v>
      </c>
      <c r="S281" s="16">
        <v>0</v>
      </c>
      <c r="T281" s="16">
        <v>0</v>
      </c>
      <c r="U281" s="7">
        <f t="shared" si="54"/>
        <v>2191.2997999999998</v>
      </c>
      <c r="V281" s="14"/>
      <c r="W281" s="16">
        <v>0</v>
      </c>
      <c r="X281" s="16">
        <f t="shared" si="64"/>
        <v>0.06</v>
      </c>
      <c r="Y281" s="16">
        <f t="shared" si="59"/>
        <v>0.33</v>
      </c>
      <c r="Z281" s="14"/>
      <c r="AA281" s="16">
        <v>0</v>
      </c>
      <c r="AB281" s="16">
        <f t="shared" si="60"/>
        <v>0</v>
      </c>
      <c r="AC281" s="7">
        <f t="shared" si="65"/>
        <v>71.349999999999994</v>
      </c>
      <c r="AD281" s="65" t="s">
        <v>15</v>
      </c>
    </row>
    <row r="282" spans="2:30">
      <c r="B282" s="19">
        <v>45997</v>
      </c>
      <c r="C282" s="19"/>
      <c r="D282" s="13">
        <f t="shared" si="61"/>
        <v>1</v>
      </c>
      <c r="E282" s="16">
        <v>0</v>
      </c>
      <c r="F282" s="16">
        <v>0</v>
      </c>
      <c r="G282" s="7">
        <f t="shared" si="56"/>
        <v>156579.67100000003</v>
      </c>
      <c r="H282" s="14"/>
      <c r="I282" s="16">
        <v>0</v>
      </c>
      <c r="J282" s="16">
        <f t="shared" si="62"/>
        <v>42.9</v>
      </c>
      <c r="K282" s="16">
        <f t="shared" si="66"/>
        <v>283.86</v>
      </c>
      <c r="L282" s="14"/>
      <c r="M282" s="16">
        <f t="shared" si="55"/>
        <v>0</v>
      </c>
      <c r="N282" s="16">
        <f t="shared" si="55"/>
        <v>0</v>
      </c>
      <c r="O282" s="7">
        <f t="shared" si="63"/>
        <v>2191.2997999999998</v>
      </c>
      <c r="P282" s="16">
        <v>0</v>
      </c>
      <c r="Q282" s="16">
        <v>0</v>
      </c>
      <c r="R282" s="7">
        <f t="shared" si="53"/>
        <v>0</v>
      </c>
      <c r="S282" s="16">
        <v>0</v>
      </c>
      <c r="T282" s="16">
        <v>0</v>
      </c>
      <c r="U282" s="7">
        <f t="shared" si="54"/>
        <v>2191.2997999999998</v>
      </c>
      <c r="V282" s="14"/>
      <c r="W282" s="16">
        <v>0</v>
      </c>
      <c r="X282" s="16">
        <f t="shared" si="64"/>
        <v>0.06</v>
      </c>
      <c r="Y282" s="16">
        <f t="shared" si="59"/>
        <v>0.39</v>
      </c>
      <c r="Z282" s="14"/>
      <c r="AA282" s="16">
        <v>0</v>
      </c>
      <c r="AB282" s="16">
        <f t="shared" si="60"/>
        <v>0</v>
      </c>
      <c r="AC282" s="7">
        <f t="shared" si="65"/>
        <v>71.349999999999994</v>
      </c>
    </row>
    <row r="283" spans="2:30">
      <c r="B283" s="19">
        <v>45998</v>
      </c>
      <c r="C283" s="19"/>
      <c r="D283" s="13">
        <f t="shared" si="61"/>
        <v>1</v>
      </c>
      <c r="E283" s="16">
        <v>0</v>
      </c>
      <c r="F283" s="16">
        <v>0</v>
      </c>
      <c r="G283" s="7">
        <f t="shared" si="56"/>
        <v>156579.67100000003</v>
      </c>
      <c r="H283" s="14"/>
      <c r="I283" s="16">
        <v>0</v>
      </c>
      <c r="J283" s="16">
        <f t="shared" si="62"/>
        <v>42.9</v>
      </c>
      <c r="K283" s="16">
        <f t="shared" si="66"/>
        <v>326.76</v>
      </c>
      <c r="L283" s="14"/>
      <c r="M283" s="16">
        <f t="shared" si="55"/>
        <v>0</v>
      </c>
      <c r="N283" s="16">
        <f t="shared" si="55"/>
        <v>0</v>
      </c>
      <c r="O283" s="7">
        <f t="shared" si="63"/>
        <v>2191.2997999999998</v>
      </c>
      <c r="P283" s="16">
        <v>0</v>
      </c>
      <c r="Q283" s="16">
        <v>0</v>
      </c>
      <c r="R283" s="7">
        <f t="shared" si="53"/>
        <v>0</v>
      </c>
      <c r="S283" s="16">
        <v>0</v>
      </c>
      <c r="T283" s="16">
        <v>0</v>
      </c>
      <c r="U283" s="7">
        <f t="shared" si="54"/>
        <v>2191.2997999999998</v>
      </c>
      <c r="V283" s="14"/>
      <c r="W283" s="16">
        <v>0</v>
      </c>
      <c r="X283" s="16">
        <f t="shared" si="64"/>
        <v>0.06</v>
      </c>
      <c r="Y283" s="16">
        <f t="shared" si="59"/>
        <v>0.45</v>
      </c>
      <c r="Z283" s="14"/>
      <c r="AA283" s="16">
        <v>0</v>
      </c>
      <c r="AB283" s="16">
        <f t="shared" si="60"/>
        <v>0</v>
      </c>
      <c r="AC283" s="7">
        <f t="shared" si="65"/>
        <v>71.349999999999994</v>
      </c>
    </row>
    <row r="284" spans="2:30">
      <c r="B284" s="19">
        <v>45999</v>
      </c>
      <c r="C284" s="19"/>
      <c r="D284" s="13">
        <f t="shared" si="61"/>
        <v>1</v>
      </c>
      <c r="E284" s="16">
        <v>0</v>
      </c>
      <c r="F284" s="16">
        <v>0</v>
      </c>
      <c r="G284" s="7">
        <f t="shared" si="56"/>
        <v>156579.67100000003</v>
      </c>
      <c r="H284" s="14"/>
      <c r="I284" s="16">
        <v>0</v>
      </c>
      <c r="J284" s="16">
        <f t="shared" si="62"/>
        <v>42.9</v>
      </c>
      <c r="K284" s="16">
        <f t="shared" si="66"/>
        <v>369.66</v>
      </c>
      <c r="L284" s="14"/>
      <c r="M284" s="16">
        <f t="shared" si="55"/>
        <v>0</v>
      </c>
      <c r="N284" s="16">
        <f t="shared" si="55"/>
        <v>0</v>
      </c>
      <c r="O284" s="7">
        <f t="shared" si="63"/>
        <v>2191.2997999999998</v>
      </c>
      <c r="P284" s="16">
        <v>0</v>
      </c>
      <c r="Q284" s="16">
        <v>0</v>
      </c>
      <c r="R284" s="7">
        <f t="shared" si="53"/>
        <v>0</v>
      </c>
      <c r="S284" s="16">
        <v>0</v>
      </c>
      <c r="T284" s="16">
        <v>0</v>
      </c>
      <c r="U284" s="7">
        <f t="shared" si="54"/>
        <v>2191.2997999999998</v>
      </c>
      <c r="V284" s="14"/>
      <c r="W284" s="16">
        <v>0</v>
      </c>
      <c r="X284" s="16">
        <f t="shared" si="64"/>
        <v>0.06</v>
      </c>
      <c r="Y284" s="16">
        <f t="shared" si="59"/>
        <v>0.51</v>
      </c>
      <c r="Z284" s="14"/>
      <c r="AA284" s="16">
        <v>0</v>
      </c>
      <c r="AB284" s="16">
        <f t="shared" si="60"/>
        <v>0</v>
      </c>
      <c r="AC284" s="7">
        <f t="shared" si="65"/>
        <v>71.349999999999994</v>
      </c>
    </row>
    <row r="285" spans="2:30">
      <c r="B285" s="19">
        <v>46000</v>
      </c>
      <c r="C285" s="19"/>
      <c r="D285" s="13">
        <f t="shared" si="61"/>
        <v>1</v>
      </c>
      <c r="E285" s="16">
        <v>0</v>
      </c>
      <c r="F285" s="16">
        <v>0</v>
      </c>
      <c r="G285" s="7">
        <f t="shared" si="56"/>
        <v>156579.67100000003</v>
      </c>
      <c r="H285" s="14"/>
      <c r="I285" s="16">
        <v>0</v>
      </c>
      <c r="J285" s="16">
        <f t="shared" si="62"/>
        <v>42.9</v>
      </c>
      <c r="K285" s="16">
        <f t="shared" si="66"/>
        <v>412.56</v>
      </c>
      <c r="L285" s="14"/>
      <c r="M285" s="16">
        <f t="shared" si="55"/>
        <v>0</v>
      </c>
      <c r="N285" s="16">
        <f t="shared" si="55"/>
        <v>0</v>
      </c>
      <c r="O285" s="7">
        <f t="shared" si="63"/>
        <v>2191.2997999999998</v>
      </c>
      <c r="P285" s="16">
        <v>0</v>
      </c>
      <c r="Q285" s="16">
        <v>0</v>
      </c>
      <c r="R285" s="7">
        <f t="shared" si="53"/>
        <v>0</v>
      </c>
      <c r="S285" s="16">
        <v>0</v>
      </c>
      <c r="T285" s="16">
        <v>0</v>
      </c>
      <c r="U285" s="7">
        <f t="shared" si="54"/>
        <v>2191.2997999999998</v>
      </c>
      <c r="V285" s="14"/>
      <c r="W285" s="16">
        <v>0</v>
      </c>
      <c r="X285" s="16">
        <f t="shared" si="64"/>
        <v>0.06</v>
      </c>
      <c r="Y285" s="16">
        <f t="shared" si="59"/>
        <v>0.56999999999999995</v>
      </c>
      <c r="Z285" s="14"/>
      <c r="AA285" s="16">
        <v>0</v>
      </c>
      <c r="AB285" s="16">
        <f t="shared" si="60"/>
        <v>0</v>
      </c>
      <c r="AC285" s="7">
        <f t="shared" si="65"/>
        <v>71.349999999999994</v>
      </c>
    </row>
    <row r="286" spans="2:30">
      <c r="B286" s="19">
        <v>46001</v>
      </c>
      <c r="C286" s="19"/>
      <c r="D286" s="13">
        <f t="shared" si="61"/>
        <v>1</v>
      </c>
      <c r="E286" s="16">
        <v>0</v>
      </c>
      <c r="F286" s="16">
        <v>0</v>
      </c>
      <c r="G286" s="7">
        <f t="shared" si="56"/>
        <v>156579.67100000003</v>
      </c>
      <c r="H286" s="14"/>
      <c r="I286" s="16">
        <v>0</v>
      </c>
      <c r="J286" s="16">
        <f t="shared" si="62"/>
        <v>42.9</v>
      </c>
      <c r="K286" s="16">
        <f t="shared" si="66"/>
        <v>455.46</v>
      </c>
      <c r="L286" s="14"/>
      <c r="M286" s="16">
        <f t="shared" si="55"/>
        <v>0</v>
      </c>
      <c r="N286" s="16">
        <f t="shared" si="55"/>
        <v>0</v>
      </c>
      <c r="O286" s="7">
        <f t="shared" si="63"/>
        <v>2191.2997999999998</v>
      </c>
      <c r="P286" s="16">
        <v>0</v>
      </c>
      <c r="Q286" s="16">
        <v>0</v>
      </c>
      <c r="R286" s="7">
        <f t="shared" si="53"/>
        <v>0</v>
      </c>
      <c r="S286" s="16">
        <v>0</v>
      </c>
      <c r="T286" s="16">
        <v>0</v>
      </c>
      <c r="U286" s="7">
        <f t="shared" si="54"/>
        <v>2191.2997999999998</v>
      </c>
      <c r="V286" s="14"/>
      <c r="W286" s="16">
        <v>0</v>
      </c>
      <c r="X286" s="16">
        <f t="shared" si="64"/>
        <v>0.06</v>
      </c>
      <c r="Y286" s="16">
        <f t="shared" si="59"/>
        <v>0.63</v>
      </c>
      <c r="Z286" s="14"/>
      <c r="AA286" s="16">
        <v>0</v>
      </c>
      <c r="AB286" s="16">
        <f t="shared" si="60"/>
        <v>0</v>
      </c>
      <c r="AC286" s="7">
        <f t="shared" si="65"/>
        <v>71.349999999999994</v>
      </c>
    </row>
    <row r="287" spans="2:30">
      <c r="B287" s="19">
        <v>46002</v>
      </c>
      <c r="C287" s="19"/>
      <c r="D287" s="13">
        <f t="shared" si="61"/>
        <v>1</v>
      </c>
      <c r="E287" s="16">
        <v>0</v>
      </c>
      <c r="F287" s="16">
        <v>0</v>
      </c>
      <c r="G287" s="7">
        <f t="shared" si="56"/>
        <v>156579.67100000003</v>
      </c>
      <c r="H287" s="14"/>
      <c r="I287" s="16">
        <v>0</v>
      </c>
      <c r="J287" s="16">
        <f t="shared" si="62"/>
        <v>42.9</v>
      </c>
      <c r="K287" s="16">
        <f t="shared" si="66"/>
        <v>498.36</v>
      </c>
      <c r="L287" s="14"/>
      <c r="M287" s="16">
        <f t="shared" si="55"/>
        <v>0</v>
      </c>
      <c r="N287" s="16">
        <f t="shared" si="55"/>
        <v>0</v>
      </c>
      <c r="O287" s="7">
        <f t="shared" si="63"/>
        <v>2191.2997999999998</v>
      </c>
      <c r="P287" s="16">
        <v>0</v>
      </c>
      <c r="Q287" s="16">
        <v>0</v>
      </c>
      <c r="R287" s="7">
        <f t="shared" si="53"/>
        <v>0</v>
      </c>
      <c r="S287" s="16">
        <v>0</v>
      </c>
      <c r="T287" s="16">
        <v>0</v>
      </c>
      <c r="U287" s="7">
        <f t="shared" si="54"/>
        <v>2191.2997999999998</v>
      </c>
      <c r="V287" s="14"/>
      <c r="W287" s="16">
        <v>0</v>
      </c>
      <c r="X287" s="16">
        <f t="shared" si="64"/>
        <v>0.06</v>
      </c>
      <c r="Y287" s="16">
        <f t="shared" si="59"/>
        <v>0.69</v>
      </c>
      <c r="Z287" s="14"/>
      <c r="AA287" s="16">
        <v>0</v>
      </c>
      <c r="AB287" s="16">
        <f t="shared" si="60"/>
        <v>0</v>
      </c>
      <c r="AC287" s="7">
        <f t="shared" si="65"/>
        <v>71.349999999999994</v>
      </c>
    </row>
    <row r="288" spans="2:30">
      <c r="B288" s="19">
        <v>46003</v>
      </c>
      <c r="C288" s="19"/>
      <c r="D288" s="13">
        <f t="shared" si="61"/>
        <v>1</v>
      </c>
      <c r="E288" s="16">
        <v>0</v>
      </c>
      <c r="F288" s="16">
        <v>0</v>
      </c>
      <c r="G288" s="7">
        <f t="shared" si="56"/>
        <v>156579.67100000003</v>
      </c>
      <c r="H288" s="14"/>
      <c r="I288" s="16">
        <v>0</v>
      </c>
      <c r="J288" s="16">
        <f t="shared" si="62"/>
        <v>42.9</v>
      </c>
      <c r="K288" s="16">
        <f t="shared" si="66"/>
        <v>541.26</v>
      </c>
      <c r="L288" s="14"/>
      <c r="M288" s="16">
        <f t="shared" si="55"/>
        <v>0</v>
      </c>
      <c r="N288" s="16">
        <f t="shared" si="55"/>
        <v>0</v>
      </c>
      <c r="O288" s="7">
        <f t="shared" si="63"/>
        <v>2191.2997999999998</v>
      </c>
      <c r="P288" s="16">
        <v>0</v>
      </c>
      <c r="Q288" s="16">
        <v>0</v>
      </c>
      <c r="R288" s="7">
        <f t="shared" si="53"/>
        <v>0</v>
      </c>
      <c r="S288" s="16">
        <v>0</v>
      </c>
      <c r="T288" s="16">
        <v>0</v>
      </c>
      <c r="U288" s="7">
        <f t="shared" si="54"/>
        <v>2191.2997999999998</v>
      </c>
      <c r="V288" s="14"/>
      <c r="W288" s="16">
        <v>0</v>
      </c>
      <c r="X288" s="16">
        <f t="shared" si="64"/>
        <v>0.06</v>
      </c>
      <c r="Y288" s="16">
        <f t="shared" si="59"/>
        <v>0.75</v>
      </c>
      <c r="Z288" s="14"/>
      <c r="AA288" s="16">
        <v>0</v>
      </c>
      <c r="AB288" s="16">
        <f t="shared" si="60"/>
        <v>0</v>
      </c>
      <c r="AC288" s="7">
        <f t="shared" si="65"/>
        <v>71.349999999999994</v>
      </c>
    </row>
    <row r="289" spans="2:30">
      <c r="B289" s="19">
        <v>46004</v>
      </c>
      <c r="C289" s="19"/>
      <c r="D289" s="13">
        <f t="shared" si="61"/>
        <v>1</v>
      </c>
      <c r="E289" s="16">
        <v>0</v>
      </c>
      <c r="F289" s="16">
        <v>0</v>
      </c>
      <c r="G289" s="7">
        <f t="shared" si="56"/>
        <v>156579.67100000003</v>
      </c>
      <c r="H289" s="14"/>
      <c r="I289" s="16">
        <v>0</v>
      </c>
      <c r="J289" s="16">
        <f t="shared" si="62"/>
        <v>42.9</v>
      </c>
      <c r="K289" s="16">
        <f t="shared" si="66"/>
        <v>584.16</v>
      </c>
      <c r="L289" s="14"/>
      <c r="M289" s="16">
        <f t="shared" si="55"/>
        <v>0</v>
      </c>
      <c r="N289" s="16">
        <f t="shared" si="55"/>
        <v>0</v>
      </c>
      <c r="O289" s="7">
        <f t="shared" si="63"/>
        <v>2191.2997999999998</v>
      </c>
      <c r="P289" s="16">
        <v>0</v>
      </c>
      <c r="Q289" s="16">
        <v>0</v>
      </c>
      <c r="R289" s="7">
        <f t="shared" si="53"/>
        <v>0</v>
      </c>
      <c r="S289" s="16">
        <v>0</v>
      </c>
      <c r="T289" s="16">
        <v>0</v>
      </c>
      <c r="U289" s="7">
        <f t="shared" si="54"/>
        <v>2191.2997999999998</v>
      </c>
      <c r="V289" s="14"/>
      <c r="W289" s="16">
        <v>0</v>
      </c>
      <c r="X289" s="16">
        <f t="shared" si="64"/>
        <v>0.06</v>
      </c>
      <c r="Y289" s="16">
        <f t="shared" si="59"/>
        <v>0.81</v>
      </c>
      <c r="Z289" s="14"/>
      <c r="AA289" s="16">
        <v>0</v>
      </c>
      <c r="AB289" s="16">
        <f t="shared" si="60"/>
        <v>0</v>
      </c>
      <c r="AC289" s="7">
        <f t="shared" si="65"/>
        <v>71.349999999999994</v>
      </c>
    </row>
    <row r="290" spans="2:30" ht="17">
      <c r="B290" s="19">
        <v>46005</v>
      </c>
      <c r="C290" s="19"/>
      <c r="D290" s="13">
        <f t="shared" si="61"/>
        <v>1</v>
      </c>
      <c r="E290" s="16">
        <v>0</v>
      </c>
      <c r="F290" s="16">
        <v>0</v>
      </c>
      <c r="G290" s="7">
        <f t="shared" si="56"/>
        <v>156579.67100000003</v>
      </c>
      <c r="H290" s="14"/>
      <c r="I290" s="16">
        <v>0</v>
      </c>
      <c r="J290" s="16">
        <f t="shared" si="62"/>
        <v>42.9</v>
      </c>
      <c r="K290" s="16">
        <f t="shared" si="66"/>
        <v>627.05999999999995</v>
      </c>
      <c r="L290" s="14"/>
      <c r="M290" s="16">
        <f t="shared" si="55"/>
        <v>0</v>
      </c>
      <c r="N290" s="16">
        <f t="shared" si="55"/>
        <v>0</v>
      </c>
      <c r="O290" s="7">
        <f t="shared" si="63"/>
        <v>2191.2997999999998</v>
      </c>
      <c r="P290" s="16">
        <v>0</v>
      </c>
      <c r="Q290" s="16">
        <v>0</v>
      </c>
      <c r="R290" s="7">
        <f t="shared" si="53"/>
        <v>0</v>
      </c>
      <c r="S290" s="16">
        <v>0</v>
      </c>
      <c r="T290" s="16">
        <v>0</v>
      </c>
      <c r="U290" s="7">
        <f t="shared" si="54"/>
        <v>2191.2997999999998</v>
      </c>
      <c r="V290" s="14"/>
      <c r="W290" s="16">
        <v>0</v>
      </c>
      <c r="X290" s="16">
        <f t="shared" si="64"/>
        <v>0.06</v>
      </c>
      <c r="Y290" s="16">
        <f t="shared" si="59"/>
        <v>0.87</v>
      </c>
      <c r="Z290" s="14"/>
      <c r="AA290" s="22">
        <f>AC289</f>
        <v>71.349999999999994</v>
      </c>
      <c r="AB290" s="16">
        <f t="shared" si="60"/>
        <v>0</v>
      </c>
      <c r="AC290" s="69">
        <f t="shared" si="65"/>
        <v>0</v>
      </c>
      <c r="AD290" s="71" t="s">
        <v>48</v>
      </c>
    </row>
    <row r="291" spans="2:30">
      <c r="B291" s="19">
        <v>46006</v>
      </c>
      <c r="C291" s="19"/>
      <c r="D291" s="13">
        <f t="shared" si="61"/>
        <v>1</v>
      </c>
      <c r="E291" s="16">
        <v>0</v>
      </c>
      <c r="F291" s="16">
        <v>0</v>
      </c>
      <c r="G291" s="7">
        <f t="shared" si="56"/>
        <v>156579.67100000003</v>
      </c>
      <c r="H291" s="14"/>
      <c r="I291" s="16">
        <v>0</v>
      </c>
      <c r="J291" s="16">
        <f t="shared" si="62"/>
        <v>42.9</v>
      </c>
      <c r="K291" s="16">
        <f t="shared" si="66"/>
        <v>669.96</v>
      </c>
      <c r="L291" s="14"/>
      <c r="M291" s="16">
        <f t="shared" si="55"/>
        <v>0</v>
      </c>
      <c r="N291" s="16">
        <f t="shared" si="55"/>
        <v>0</v>
      </c>
      <c r="O291" s="7">
        <f t="shared" si="63"/>
        <v>2191.2997999999998</v>
      </c>
      <c r="P291" s="16">
        <v>0</v>
      </c>
      <c r="Q291" s="16">
        <v>0</v>
      </c>
      <c r="R291" s="7">
        <f t="shared" si="53"/>
        <v>0</v>
      </c>
      <c r="S291" s="16">
        <v>0</v>
      </c>
      <c r="T291" s="16">
        <v>0</v>
      </c>
      <c r="U291" s="7">
        <f t="shared" si="54"/>
        <v>2191.2997999999998</v>
      </c>
      <c r="V291" s="14"/>
      <c r="W291" s="16">
        <v>0</v>
      </c>
      <c r="X291" s="16">
        <f t="shared" si="64"/>
        <v>0.06</v>
      </c>
      <c r="Y291" s="16">
        <f t="shared" si="59"/>
        <v>0.93</v>
      </c>
      <c r="Z291" s="14"/>
      <c r="AA291" s="16">
        <v>0</v>
      </c>
      <c r="AB291" s="16">
        <f t="shared" si="60"/>
        <v>0</v>
      </c>
      <c r="AC291" s="7">
        <f t="shared" si="65"/>
        <v>0</v>
      </c>
    </row>
    <row r="292" spans="2:30">
      <c r="B292" s="19">
        <v>46007</v>
      </c>
      <c r="C292" s="19"/>
      <c r="D292" s="13">
        <f t="shared" si="61"/>
        <v>1</v>
      </c>
      <c r="E292" s="16">
        <v>0</v>
      </c>
      <c r="F292" s="16">
        <v>0</v>
      </c>
      <c r="G292" s="7">
        <f t="shared" si="56"/>
        <v>156579.67100000003</v>
      </c>
      <c r="H292" s="14"/>
      <c r="I292" s="16">
        <v>0</v>
      </c>
      <c r="J292" s="16">
        <f t="shared" si="62"/>
        <v>42.9</v>
      </c>
      <c r="K292" s="16">
        <f t="shared" si="66"/>
        <v>712.86</v>
      </c>
      <c r="L292" s="14"/>
      <c r="M292" s="16">
        <f t="shared" si="55"/>
        <v>0</v>
      </c>
      <c r="N292" s="16">
        <f t="shared" si="55"/>
        <v>0</v>
      </c>
      <c r="O292" s="7">
        <f t="shared" si="63"/>
        <v>2191.2997999999998</v>
      </c>
      <c r="P292" s="16">
        <v>0</v>
      </c>
      <c r="Q292" s="16">
        <v>0</v>
      </c>
      <c r="R292" s="7">
        <f t="shared" si="53"/>
        <v>0</v>
      </c>
      <c r="S292" s="16">
        <v>0</v>
      </c>
      <c r="T292" s="16">
        <v>0</v>
      </c>
      <c r="U292" s="7">
        <f t="shared" si="54"/>
        <v>2191.2997999999998</v>
      </c>
      <c r="V292" s="14"/>
      <c r="W292" s="16">
        <v>0</v>
      </c>
      <c r="X292" s="16">
        <f t="shared" si="64"/>
        <v>0.06</v>
      </c>
      <c r="Y292" s="16">
        <f t="shared" si="59"/>
        <v>0.99</v>
      </c>
      <c r="Z292" s="14"/>
      <c r="AA292" s="16">
        <v>0</v>
      </c>
      <c r="AB292" s="16">
        <f t="shared" si="60"/>
        <v>0</v>
      </c>
      <c r="AC292" s="7">
        <f t="shared" si="65"/>
        <v>0</v>
      </c>
    </row>
    <row r="293" spans="2:30">
      <c r="B293" s="19">
        <v>46008</v>
      </c>
      <c r="C293" s="19"/>
      <c r="D293" s="13">
        <f t="shared" si="61"/>
        <v>1</v>
      </c>
      <c r="E293" s="16">
        <v>0</v>
      </c>
      <c r="F293" s="16">
        <v>0</v>
      </c>
      <c r="G293" s="7">
        <f t="shared" si="56"/>
        <v>156579.67100000003</v>
      </c>
      <c r="H293" s="14"/>
      <c r="I293" s="16">
        <v>0</v>
      </c>
      <c r="J293" s="16">
        <f t="shared" si="62"/>
        <v>42.9</v>
      </c>
      <c r="K293" s="16">
        <f t="shared" si="66"/>
        <v>755.76</v>
      </c>
      <c r="L293" s="14"/>
      <c r="M293" s="16">
        <f t="shared" si="55"/>
        <v>0</v>
      </c>
      <c r="N293" s="16">
        <f t="shared" si="55"/>
        <v>0</v>
      </c>
      <c r="O293" s="7">
        <f t="shared" si="63"/>
        <v>2191.2997999999998</v>
      </c>
      <c r="P293" s="16">
        <v>0</v>
      </c>
      <c r="Q293" s="16">
        <v>0</v>
      </c>
      <c r="R293" s="7">
        <f t="shared" si="53"/>
        <v>0</v>
      </c>
      <c r="S293" s="16">
        <v>0</v>
      </c>
      <c r="T293" s="16">
        <v>0</v>
      </c>
      <c r="U293" s="7">
        <f t="shared" si="54"/>
        <v>2191.2997999999998</v>
      </c>
      <c r="V293" s="14"/>
      <c r="W293" s="16">
        <v>0</v>
      </c>
      <c r="X293" s="16">
        <f t="shared" si="64"/>
        <v>0.06</v>
      </c>
      <c r="Y293" s="16">
        <f t="shared" si="59"/>
        <v>1.05</v>
      </c>
      <c r="Z293" s="14"/>
      <c r="AA293" s="16">
        <v>0</v>
      </c>
      <c r="AB293" s="16">
        <f t="shared" si="60"/>
        <v>0</v>
      </c>
      <c r="AC293" s="7">
        <f t="shared" si="65"/>
        <v>0</v>
      </c>
    </row>
    <row r="294" spans="2:30">
      <c r="B294" s="19">
        <v>46009</v>
      </c>
      <c r="C294" s="19"/>
      <c r="D294" s="13">
        <f t="shared" si="61"/>
        <v>1</v>
      </c>
      <c r="E294" s="16">
        <v>0</v>
      </c>
      <c r="F294" s="16">
        <v>0</v>
      </c>
      <c r="G294" s="7">
        <f t="shared" si="56"/>
        <v>156579.67100000003</v>
      </c>
      <c r="H294" s="14"/>
      <c r="I294" s="16">
        <v>0</v>
      </c>
      <c r="J294" s="16">
        <f t="shared" si="62"/>
        <v>42.9</v>
      </c>
      <c r="K294" s="16">
        <f t="shared" si="66"/>
        <v>798.66</v>
      </c>
      <c r="L294" s="14"/>
      <c r="M294" s="16">
        <f t="shared" ref="M294:N357" si="67">P294+S294</f>
        <v>0</v>
      </c>
      <c r="N294" s="16">
        <f t="shared" si="67"/>
        <v>0</v>
      </c>
      <c r="O294" s="7">
        <f t="shared" si="63"/>
        <v>2191.2997999999998</v>
      </c>
      <c r="P294" s="16">
        <v>0</v>
      </c>
      <c r="Q294" s="16">
        <v>0</v>
      </c>
      <c r="R294" s="7">
        <f t="shared" si="53"/>
        <v>0</v>
      </c>
      <c r="S294" s="16">
        <v>0</v>
      </c>
      <c r="T294" s="16">
        <v>0</v>
      </c>
      <c r="U294" s="7">
        <f t="shared" si="54"/>
        <v>2191.2997999999998</v>
      </c>
      <c r="V294" s="14"/>
      <c r="W294" s="16">
        <v>0</v>
      </c>
      <c r="X294" s="16">
        <f t="shared" si="64"/>
        <v>0.06</v>
      </c>
      <c r="Y294" s="16">
        <f t="shared" si="59"/>
        <v>1.1100000000000001</v>
      </c>
      <c r="Z294" s="14"/>
      <c r="AA294" s="16">
        <v>0</v>
      </c>
      <c r="AB294" s="16">
        <f t="shared" si="60"/>
        <v>0</v>
      </c>
      <c r="AC294" s="7">
        <f t="shared" si="65"/>
        <v>0</v>
      </c>
    </row>
    <row r="295" spans="2:30">
      <c r="B295" s="19">
        <v>46010</v>
      </c>
      <c r="C295" s="19"/>
      <c r="D295" s="13">
        <f t="shared" si="61"/>
        <v>1</v>
      </c>
      <c r="E295" s="16">
        <v>0</v>
      </c>
      <c r="F295" s="16">
        <v>0</v>
      </c>
      <c r="G295" s="7">
        <f t="shared" si="56"/>
        <v>156579.67100000003</v>
      </c>
      <c r="H295" s="14"/>
      <c r="I295" s="16">
        <v>0</v>
      </c>
      <c r="J295" s="16">
        <f t="shared" si="62"/>
        <v>42.9</v>
      </c>
      <c r="K295" s="16">
        <f t="shared" si="66"/>
        <v>841.56</v>
      </c>
      <c r="L295" s="14"/>
      <c r="M295" s="16">
        <f t="shared" si="67"/>
        <v>0</v>
      </c>
      <c r="N295" s="16">
        <f t="shared" si="67"/>
        <v>0</v>
      </c>
      <c r="O295" s="7">
        <f t="shared" si="63"/>
        <v>2191.2997999999998</v>
      </c>
      <c r="P295" s="16">
        <v>0</v>
      </c>
      <c r="Q295" s="16">
        <v>0</v>
      </c>
      <c r="R295" s="7">
        <f t="shared" ref="R295:R358" si="68">R294+Q295-P295</f>
        <v>0</v>
      </c>
      <c r="S295" s="16">
        <v>0</v>
      </c>
      <c r="T295" s="16">
        <v>0</v>
      </c>
      <c r="U295" s="7">
        <f t="shared" ref="U295:U358" si="69">U294+T295-S295</f>
        <v>2191.2997999999998</v>
      </c>
      <c r="V295" s="14"/>
      <c r="W295" s="16">
        <v>0</v>
      </c>
      <c r="X295" s="16">
        <f t="shared" si="64"/>
        <v>0.06</v>
      </c>
      <c r="Y295" s="16">
        <f t="shared" si="59"/>
        <v>1.17</v>
      </c>
      <c r="Z295" s="14"/>
      <c r="AA295" s="16">
        <v>0</v>
      </c>
      <c r="AB295" s="16">
        <f t="shared" si="60"/>
        <v>0</v>
      </c>
      <c r="AC295" s="7">
        <f t="shared" si="65"/>
        <v>0</v>
      </c>
    </row>
    <row r="296" spans="2:30">
      <c r="B296" s="19">
        <v>46011</v>
      </c>
      <c r="C296" s="19"/>
      <c r="D296" s="13">
        <f t="shared" si="61"/>
        <v>1</v>
      </c>
      <c r="E296" s="16">
        <v>0</v>
      </c>
      <c r="F296" s="16">
        <v>0</v>
      </c>
      <c r="G296" s="7">
        <f t="shared" si="56"/>
        <v>156579.67100000003</v>
      </c>
      <c r="H296" s="14"/>
      <c r="I296" s="16">
        <v>0</v>
      </c>
      <c r="J296" s="16">
        <f t="shared" si="62"/>
        <v>42.9</v>
      </c>
      <c r="K296" s="16">
        <f t="shared" si="66"/>
        <v>884.46</v>
      </c>
      <c r="L296" s="14"/>
      <c r="M296" s="16">
        <f t="shared" si="67"/>
        <v>0</v>
      </c>
      <c r="N296" s="16">
        <f t="shared" si="67"/>
        <v>0</v>
      </c>
      <c r="O296" s="7">
        <f t="shared" si="63"/>
        <v>2191.2997999999998</v>
      </c>
      <c r="P296" s="16">
        <v>0</v>
      </c>
      <c r="Q296" s="16">
        <v>0</v>
      </c>
      <c r="R296" s="7">
        <f t="shared" si="68"/>
        <v>0</v>
      </c>
      <c r="S296" s="16">
        <v>0</v>
      </c>
      <c r="T296" s="16">
        <v>0</v>
      </c>
      <c r="U296" s="7">
        <f t="shared" si="69"/>
        <v>2191.2997999999998</v>
      </c>
      <c r="V296" s="14"/>
      <c r="W296" s="16">
        <v>0</v>
      </c>
      <c r="X296" s="16">
        <f t="shared" si="64"/>
        <v>0.06</v>
      </c>
      <c r="Y296" s="16">
        <f t="shared" si="59"/>
        <v>1.23</v>
      </c>
      <c r="Z296" s="14"/>
      <c r="AA296" s="16">
        <v>0</v>
      </c>
      <c r="AB296" s="16">
        <f t="shared" si="60"/>
        <v>0</v>
      </c>
      <c r="AC296" s="7">
        <f t="shared" si="65"/>
        <v>0</v>
      </c>
    </row>
    <row r="297" spans="2:30">
      <c r="B297" s="19">
        <v>46012</v>
      </c>
      <c r="C297" s="19"/>
      <c r="D297" s="13">
        <f t="shared" si="61"/>
        <v>1</v>
      </c>
      <c r="E297" s="16">
        <v>0</v>
      </c>
      <c r="F297" s="16">
        <v>0</v>
      </c>
      <c r="G297" s="7">
        <f t="shared" si="56"/>
        <v>156579.67100000003</v>
      </c>
      <c r="H297" s="14"/>
      <c r="I297" s="16">
        <v>0</v>
      </c>
      <c r="J297" s="16">
        <f t="shared" si="62"/>
        <v>42.9</v>
      </c>
      <c r="K297" s="16">
        <f t="shared" si="66"/>
        <v>927.36</v>
      </c>
      <c r="L297" s="14"/>
      <c r="M297" s="16">
        <f t="shared" si="67"/>
        <v>0</v>
      </c>
      <c r="N297" s="16">
        <f t="shared" si="67"/>
        <v>0</v>
      </c>
      <c r="O297" s="7">
        <f t="shared" si="63"/>
        <v>2191.2997999999998</v>
      </c>
      <c r="P297" s="16">
        <v>0</v>
      </c>
      <c r="Q297" s="16">
        <v>0</v>
      </c>
      <c r="R297" s="7">
        <f t="shared" si="68"/>
        <v>0</v>
      </c>
      <c r="S297" s="16">
        <v>0</v>
      </c>
      <c r="T297" s="16">
        <v>0</v>
      </c>
      <c r="U297" s="7">
        <f t="shared" si="69"/>
        <v>2191.2997999999998</v>
      </c>
      <c r="V297" s="14"/>
      <c r="W297" s="16">
        <v>0</v>
      </c>
      <c r="X297" s="16">
        <f t="shared" si="64"/>
        <v>0.06</v>
      </c>
      <c r="Y297" s="16">
        <f t="shared" si="59"/>
        <v>1.29</v>
      </c>
      <c r="Z297" s="14"/>
      <c r="AA297" s="16">
        <v>0</v>
      </c>
      <c r="AB297" s="16">
        <f t="shared" si="60"/>
        <v>0</v>
      </c>
      <c r="AC297" s="7">
        <f t="shared" si="65"/>
        <v>0</v>
      </c>
    </row>
    <row r="298" spans="2:30">
      <c r="B298" s="19">
        <v>46013</v>
      </c>
      <c r="C298" s="19"/>
      <c r="D298" s="13">
        <f t="shared" si="61"/>
        <v>1</v>
      </c>
      <c r="E298" s="16">
        <v>0</v>
      </c>
      <c r="F298" s="16">
        <v>0</v>
      </c>
      <c r="G298" s="7">
        <f t="shared" si="56"/>
        <v>156579.67100000003</v>
      </c>
      <c r="H298" s="14"/>
      <c r="I298" s="16">
        <v>0</v>
      </c>
      <c r="J298" s="16">
        <f t="shared" si="62"/>
        <v>42.9</v>
      </c>
      <c r="K298" s="16">
        <f t="shared" si="66"/>
        <v>970.26</v>
      </c>
      <c r="L298" s="14"/>
      <c r="M298" s="16">
        <f t="shared" si="67"/>
        <v>0</v>
      </c>
      <c r="N298" s="16">
        <f t="shared" si="67"/>
        <v>0</v>
      </c>
      <c r="O298" s="7">
        <f t="shared" si="63"/>
        <v>2191.2997999999998</v>
      </c>
      <c r="P298" s="16">
        <v>0</v>
      </c>
      <c r="Q298" s="16">
        <v>0</v>
      </c>
      <c r="R298" s="7">
        <f t="shared" si="68"/>
        <v>0</v>
      </c>
      <c r="S298" s="16">
        <v>0</v>
      </c>
      <c r="T298" s="16">
        <v>0</v>
      </c>
      <c r="U298" s="7">
        <f t="shared" si="69"/>
        <v>2191.2997999999998</v>
      </c>
      <c r="V298" s="14"/>
      <c r="W298" s="16">
        <v>0</v>
      </c>
      <c r="X298" s="16">
        <f t="shared" si="64"/>
        <v>0.06</v>
      </c>
      <c r="Y298" s="16">
        <f t="shared" si="59"/>
        <v>1.35</v>
      </c>
      <c r="Z298" s="14"/>
      <c r="AA298" s="16">
        <v>0</v>
      </c>
      <c r="AB298" s="16">
        <f t="shared" si="60"/>
        <v>0</v>
      </c>
      <c r="AC298" s="7">
        <f t="shared" si="65"/>
        <v>0</v>
      </c>
    </row>
    <row r="299" spans="2:30">
      <c r="B299" s="19">
        <v>46014</v>
      </c>
      <c r="C299" s="19"/>
      <c r="D299" s="13">
        <f t="shared" si="61"/>
        <v>1</v>
      </c>
      <c r="E299" s="16">
        <v>0</v>
      </c>
      <c r="F299" s="16">
        <v>0</v>
      </c>
      <c r="G299" s="7">
        <f t="shared" si="56"/>
        <v>156579.67100000003</v>
      </c>
      <c r="H299" s="14"/>
      <c r="I299" s="16">
        <v>0</v>
      </c>
      <c r="J299" s="16">
        <f t="shared" si="62"/>
        <v>42.9</v>
      </c>
      <c r="K299" s="16">
        <f t="shared" si="66"/>
        <v>1013.16</v>
      </c>
      <c r="L299" s="14"/>
      <c r="M299" s="16">
        <f t="shared" si="67"/>
        <v>0</v>
      </c>
      <c r="N299" s="16">
        <f t="shared" si="67"/>
        <v>0</v>
      </c>
      <c r="O299" s="7">
        <f t="shared" si="63"/>
        <v>2191.2997999999998</v>
      </c>
      <c r="P299" s="16">
        <v>0</v>
      </c>
      <c r="Q299" s="16">
        <v>0</v>
      </c>
      <c r="R299" s="7">
        <f t="shared" si="68"/>
        <v>0</v>
      </c>
      <c r="S299" s="16">
        <v>0</v>
      </c>
      <c r="T299" s="16">
        <v>0</v>
      </c>
      <c r="U299" s="7">
        <f t="shared" si="69"/>
        <v>2191.2997999999998</v>
      </c>
      <c r="V299" s="14"/>
      <c r="W299" s="16">
        <v>0</v>
      </c>
      <c r="X299" s="16">
        <f t="shared" si="64"/>
        <v>0.06</v>
      </c>
      <c r="Y299" s="16">
        <f t="shared" si="59"/>
        <v>1.41</v>
      </c>
      <c r="Z299" s="14"/>
      <c r="AA299" s="16">
        <v>0</v>
      </c>
      <c r="AB299" s="16">
        <f t="shared" si="60"/>
        <v>0</v>
      </c>
      <c r="AC299" s="7">
        <f t="shared" si="65"/>
        <v>0</v>
      </c>
    </row>
    <row r="300" spans="2:30">
      <c r="B300" s="19">
        <v>46015</v>
      </c>
      <c r="C300" s="19"/>
      <c r="D300" s="13">
        <f t="shared" si="61"/>
        <v>1</v>
      </c>
      <c r="E300" s="16">
        <v>0</v>
      </c>
      <c r="F300" s="16">
        <v>0</v>
      </c>
      <c r="G300" s="7">
        <f t="shared" si="56"/>
        <v>156579.67100000003</v>
      </c>
      <c r="H300" s="14"/>
      <c r="I300" s="16">
        <v>0</v>
      </c>
      <c r="J300" s="16">
        <f t="shared" si="62"/>
        <v>42.9</v>
      </c>
      <c r="K300" s="16">
        <f t="shared" si="66"/>
        <v>1056.06</v>
      </c>
      <c r="L300" s="14"/>
      <c r="M300" s="16">
        <f t="shared" si="67"/>
        <v>0</v>
      </c>
      <c r="N300" s="16">
        <f t="shared" si="67"/>
        <v>0</v>
      </c>
      <c r="O300" s="7">
        <f t="shared" si="63"/>
        <v>2191.2997999999998</v>
      </c>
      <c r="P300" s="16">
        <v>0</v>
      </c>
      <c r="Q300" s="16">
        <v>0</v>
      </c>
      <c r="R300" s="7">
        <f t="shared" si="68"/>
        <v>0</v>
      </c>
      <c r="S300" s="16">
        <v>0</v>
      </c>
      <c r="T300" s="16">
        <v>0</v>
      </c>
      <c r="U300" s="7">
        <f t="shared" si="69"/>
        <v>2191.2997999999998</v>
      </c>
      <c r="V300" s="14"/>
      <c r="W300" s="16">
        <v>0</v>
      </c>
      <c r="X300" s="16">
        <f t="shared" si="64"/>
        <v>0.06</v>
      </c>
      <c r="Y300" s="16">
        <f t="shared" si="59"/>
        <v>1.47</v>
      </c>
      <c r="Z300" s="14"/>
      <c r="AA300" s="16">
        <v>0</v>
      </c>
      <c r="AB300" s="16">
        <f t="shared" si="60"/>
        <v>0</v>
      </c>
      <c r="AC300" s="7">
        <f t="shared" si="65"/>
        <v>0</v>
      </c>
    </row>
    <row r="301" spans="2:30">
      <c r="B301" s="19">
        <v>46016</v>
      </c>
      <c r="C301" s="19"/>
      <c r="D301" s="13">
        <f t="shared" si="61"/>
        <v>1</v>
      </c>
      <c r="E301" s="16">
        <v>0</v>
      </c>
      <c r="F301" s="16">
        <v>0</v>
      </c>
      <c r="G301" s="7">
        <f t="shared" si="56"/>
        <v>156579.67100000003</v>
      </c>
      <c r="H301" s="14"/>
      <c r="I301" s="16">
        <v>0</v>
      </c>
      <c r="J301" s="16">
        <f t="shared" si="62"/>
        <v>42.9</v>
      </c>
      <c r="K301" s="16">
        <f t="shared" si="66"/>
        <v>1098.96</v>
      </c>
      <c r="L301" s="14"/>
      <c r="M301" s="16">
        <f t="shared" si="67"/>
        <v>0</v>
      </c>
      <c r="N301" s="16">
        <f t="shared" si="67"/>
        <v>0</v>
      </c>
      <c r="O301" s="7">
        <f t="shared" si="63"/>
        <v>2191.2997999999998</v>
      </c>
      <c r="P301" s="16">
        <v>0</v>
      </c>
      <c r="Q301" s="16">
        <v>0</v>
      </c>
      <c r="R301" s="7">
        <f t="shared" si="68"/>
        <v>0</v>
      </c>
      <c r="S301" s="16">
        <v>0</v>
      </c>
      <c r="T301" s="16">
        <v>0</v>
      </c>
      <c r="U301" s="7">
        <f t="shared" si="69"/>
        <v>2191.2997999999998</v>
      </c>
      <c r="V301" s="14"/>
      <c r="W301" s="16">
        <v>0</v>
      </c>
      <c r="X301" s="16">
        <f t="shared" si="64"/>
        <v>0.06</v>
      </c>
      <c r="Y301" s="16">
        <f t="shared" si="59"/>
        <v>1.53</v>
      </c>
      <c r="Z301" s="14"/>
      <c r="AA301" s="16">
        <v>0</v>
      </c>
      <c r="AB301" s="16">
        <f t="shared" si="60"/>
        <v>0</v>
      </c>
      <c r="AC301" s="7">
        <f t="shared" si="65"/>
        <v>0</v>
      </c>
    </row>
    <row r="302" spans="2:30">
      <c r="B302" s="19">
        <v>46017</v>
      </c>
      <c r="C302" s="19"/>
      <c r="D302" s="13">
        <f t="shared" si="61"/>
        <v>1</v>
      </c>
      <c r="E302" s="16">
        <v>0</v>
      </c>
      <c r="F302" s="16">
        <v>0</v>
      </c>
      <c r="G302" s="7">
        <f t="shared" si="56"/>
        <v>156579.67100000003</v>
      </c>
      <c r="H302" s="14"/>
      <c r="I302" s="16">
        <v>0</v>
      </c>
      <c r="J302" s="16">
        <f t="shared" si="62"/>
        <v>42.9</v>
      </c>
      <c r="K302" s="16">
        <f t="shared" si="66"/>
        <v>1141.8599999999999</v>
      </c>
      <c r="L302" s="14"/>
      <c r="M302" s="16">
        <f t="shared" si="67"/>
        <v>0</v>
      </c>
      <c r="N302" s="16">
        <f t="shared" si="67"/>
        <v>0</v>
      </c>
      <c r="O302" s="7">
        <f t="shared" si="63"/>
        <v>2191.2997999999998</v>
      </c>
      <c r="P302" s="16">
        <v>0</v>
      </c>
      <c r="Q302" s="16">
        <v>0</v>
      </c>
      <c r="R302" s="7">
        <f t="shared" si="68"/>
        <v>0</v>
      </c>
      <c r="S302" s="16">
        <v>0</v>
      </c>
      <c r="T302" s="16">
        <v>0</v>
      </c>
      <c r="U302" s="7">
        <f t="shared" si="69"/>
        <v>2191.2997999999998</v>
      </c>
      <c r="V302" s="14"/>
      <c r="W302" s="16">
        <v>0</v>
      </c>
      <c r="X302" s="16">
        <f t="shared" si="64"/>
        <v>0.06</v>
      </c>
      <c r="Y302" s="16">
        <f t="shared" si="59"/>
        <v>1.59</v>
      </c>
      <c r="Z302" s="14"/>
      <c r="AA302" s="16">
        <v>0</v>
      </c>
      <c r="AB302" s="16">
        <f t="shared" si="60"/>
        <v>0</v>
      </c>
      <c r="AC302" s="7">
        <f t="shared" si="65"/>
        <v>0</v>
      </c>
    </row>
    <row r="303" spans="2:30">
      <c r="B303" s="19">
        <v>46018</v>
      </c>
      <c r="C303" s="19"/>
      <c r="D303" s="13">
        <f t="shared" si="61"/>
        <v>1</v>
      </c>
      <c r="E303" s="16">
        <v>0</v>
      </c>
      <c r="F303" s="16">
        <v>0</v>
      </c>
      <c r="G303" s="7">
        <f t="shared" si="56"/>
        <v>156579.67100000003</v>
      </c>
      <c r="H303" s="14"/>
      <c r="I303" s="16">
        <v>0</v>
      </c>
      <c r="J303" s="16">
        <f t="shared" si="62"/>
        <v>42.9</v>
      </c>
      <c r="K303" s="16">
        <f t="shared" si="66"/>
        <v>1184.76</v>
      </c>
      <c r="L303" s="14"/>
      <c r="M303" s="16">
        <f t="shared" si="67"/>
        <v>0</v>
      </c>
      <c r="N303" s="16">
        <f t="shared" si="67"/>
        <v>0</v>
      </c>
      <c r="O303" s="7">
        <f t="shared" si="63"/>
        <v>2191.2997999999998</v>
      </c>
      <c r="P303" s="16">
        <v>0</v>
      </c>
      <c r="Q303" s="16">
        <v>0</v>
      </c>
      <c r="R303" s="7">
        <f t="shared" si="68"/>
        <v>0</v>
      </c>
      <c r="S303" s="16">
        <v>0</v>
      </c>
      <c r="T303" s="16">
        <v>0</v>
      </c>
      <c r="U303" s="7">
        <f t="shared" si="69"/>
        <v>2191.2997999999998</v>
      </c>
      <c r="V303" s="14"/>
      <c r="W303" s="16">
        <v>0</v>
      </c>
      <c r="X303" s="16">
        <f t="shared" si="64"/>
        <v>0.06</v>
      </c>
      <c r="Y303" s="16">
        <f t="shared" si="59"/>
        <v>1.65</v>
      </c>
      <c r="Z303" s="14"/>
      <c r="AA303" s="16">
        <v>0</v>
      </c>
      <c r="AB303" s="16">
        <f t="shared" si="60"/>
        <v>0</v>
      </c>
      <c r="AC303" s="7">
        <f t="shared" si="65"/>
        <v>0</v>
      </c>
    </row>
    <row r="304" spans="2:30">
      <c r="B304" s="19">
        <v>46019</v>
      </c>
      <c r="C304" s="19"/>
      <c r="D304" s="13">
        <f t="shared" si="61"/>
        <v>1</v>
      </c>
      <c r="E304" s="16">
        <v>0</v>
      </c>
      <c r="F304" s="16">
        <v>0</v>
      </c>
      <c r="G304" s="7">
        <f t="shared" si="56"/>
        <v>156579.67100000003</v>
      </c>
      <c r="H304" s="14"/>
      <c r="I304" s="16">
        <v>0</v>
      </c>
      <c r="J304" s="16">
        <f t="shared" si="62"/>
        <v>42.9</v>
      </c>
      <c r="K304" s="16">
        <f t="shared" si="66"/>
        <v>1227.6600000000001</v>
      </c>
      <c r="L304" s="14"/>
      <c r="M304" s="16">
        <f t="shared" si="67"/>
        <v>0</v>
      </c>
      <c r="N304" s="16">
        <f t="shared" si="67"/>
        <v>0</v>
      </c>
      <c r="O304" s="7">
        <f t="shared" si="63"/>
        <v>2191.2997999999998</v>
      </c>
      <c r="P304" s="16">
        <v>0</v>
      </c>
      <c r="Q304" s="16">
        <v>0</v>
      </c>
      <c r="R304" s="7">
        <f t="shared" si="68"/>
        <v>0</v>
      </c>
      <c r="S304" s="16">
        <v>0</v>
      </c>
      <c r="T304" s="16">
        <v>0</v>
      </c>
      <c r="U304" s="7">
        <f t="shared" si="69"/>
        <v>2191.2997999999998</v>
      </c>
      <c r="V304" s="14"/>
      <c r="W304" s="16">
        <v>0</v>
      </c>
      <c r="X304" s="16">
        <f t="shared" si="64"/>
        <v>0.06</v>
      </c>
      <c r="Y304" s="16">
        <f t="shared" si="59"/>
        <v>1.71</v>
      </c>
      <c r="Z304" s="14"/>
      <c r="AA304" s="16">
        <v>0</v>
      </c>
      <c r="AB304" s="16">
        <f t="shared" si="60"/>
        <v>0</v>
      </c>
      <c r="AC304" s="7">
        <f t="shared" si="65"/>
        <v>0</v>
      </c>
    </row>
    <row r="305" spans="2:30">
      <c r="B305" s="19">
        <v>46020</v>
      </c>
      <c r="C305" s="19"/>
      <c r="D305" s="13">
        <f t="shared" si="61"/>
        <v>1</v>
      </c>
      <c r="E305" s="16">
        <v>0</v>
      </c>
      <c r="F305" s="16">
        <v>0</v>
      </c>
      <c r="G305" s="7">
        <f t="shared" si="56"/>
        <v>156579.67100000003</v>
      </c>
      <c r="H305" s="14"/>
      <c r="I305" s="16">
        <v>0</v>
      </c>
      <c r="J305" s="16">
        <f t="shared" si="62"/>
        <v>42.9</v>
      </c>
      <c r="K305" s="16">
        <f t="shared" si="66"/>
        <v>1270.56</v>
      </c>
      <c r="L305" s="14"/>
      <c r="M305" s="16">
        <f t="shared" si="67"/>
        <v>0</v>
      </c>
      <c r="N305" s="16">
        <f t="shared" si="67"/>
        <v>0</v>
      </c>
      <c r="O305" s="7">
        <f t="shared" si="63"/>
        <v>2191.2997999999998</v>
      </c>
      <c r="P305" s="16">
        <v>0</v>
      </c>
      <c r="Q305" s="16">
        <v>0</v>
      </c>
      <c r="R305" s="7">
        <f t="shared" si="68"/>
        <v>0</v>
      </c>
      <c r="S305" s="16">
        <v>0</v>
      </c>
      <c r="T305" s="16">
        <v>0</v>
      </c>
      <c r="U305" s="7">
        <f t="shared" si="69"/>
        <v>2191.2997999999998</v>
      </c>
      <c r="V305" s="14"/>
      <c r="W305" s="16">
        <v>0</v>
      </c>
      <c r="X305" s="16">
        <f t="shared" si="64"/>
        <v>0.06</v>
      </c>
      <c r="Y305" s="16">
        <f t="shared" si="59"/>
        <v>1.77</v>
      </c>
      <c r="Z305" s="14"/>
      <c r="AA305" s="16">
        <v>0</v>
      </c>
      <c r="AB305" s="16">
        <f t="shared" si="60"/>
        <v>0</v>
      </c>
      <c r="AC305" s="7">
        <f t="shared" si="65"/>
        <v>0</v>
      </c>
    </row>
    <row r="306" spans="2:30">
      <c r="B306" s="19">
        <v>46021</v>
      </c>
      <c r="C306" s="19"/>
      <c r="D306" s="13">
        <f t="shared" si="61"/>
        <v>1</v>
      </c>
      <c r="E306" s="16">
        <v>0</v>
      </c>
      <c r="F306" s="16">
        <v>0</v>
      </c>
      <c r="G306" s="7">
        <f t="shared" si="56"/>
        <v>156579.67100000003</v>
      </c>
      <c r="H306" s="14"/>
      <c r="I306" s="16">
        <v>0</v>
      </c>
      <c r="J306" s="16">
        <f t="shared" si="62"/>
        <v>42.9</v>
      </c>
      <c r="K306" s="16">
        <f t="shared" si="66"/>
        <v>1313.46</v>
      </c>
      <c r="L306" s="14"/>
      <c r="M306" s="16">
        <f t="shared" si="67"/>
        <v>0</v>
      </c>
      <c r="N306" s="16">
        <f t="shared" si="67"/>
        <v>0</v>
      </c>
      <c r="O306" s="7">
        <f t="shared" si="63"/>
        <v>2191.2997999999998</v>
      </c>
      <c r="P306" s="16">
        <v>0</v>
      </c>
      <c r="Q306" s="16">
        <v>0</v>
      </c>
      <c r="R306" s="7">
        <f t="shared" si="68"/>
        <v>0</v>
      </c>
      <c r="S306" s="16">
        <v>0</v>
      </c>
      <c r="T306" s="16">
        <v>0</v>
      </c>
      <c r="U306" s="7">
        <f t="shared" si="69"/>
        <v>2191.2997999999998</v>
      </c>
      <c r="V306" s="14"/>
      <c r="W306" s="16">
        <v>0</v>
      </c>
      <c r="X306" s="16">
        <f t="shared" si="64"/>
        <v>0.06</v>
      </c>
      <c r="Y306" s="16">
        <f t="shared" si="59"/>
        <v>1.83</v>
      </c>
      <c r="Z306" s="14"/>
      <c r="AA306" s="16">
        <v>0</v>
      </c>
      <c r="AB306" s="16">
        <f t="shared" si="60"/>
        <v>0</v>
      </c>
      <c r="AC306" s="7">
        <f t="shared" si="65"/>
        <v>0</v>
      </c>
    </row>
    <row r="307" spans="2:30" ht="68">
      <c r="B307" s="19">
        <v>46022</v>
      </c>
      <c r="C307" s="19"/>
      <c r="D307" s="13">
        <f t="shared" si="61"/>
        <v>1</v>
      </c>
      <c r="E307" s="52">
        <v>20000</v>
      </c>
      <c r="F307" s="16">
        <v>0</v>
      </c>
      <c r="G307" s="7">
        <f t="shared" si="56"/>
        <v>136579.67100000003</v>
      </c>
      <c r="H307" s="14"/>
      <c r="I307" s="21">
        <f>K306</f>
        <v>1313.46</v>
      </c>
      <c r="J307" s="16">
        <f t="shared" si="62"/>
        <v>37.42</v>
      </c>
      <c r="K307" s="16">
        <f t="shared" si="66"/>
        <v>37.42</v>
      </c>
      <c r="L307" s="14"/>
      <c r="M307" s="16">
        <f>P307+S307</f>
        <v>0</v>
      </c>
      <c r="N307" s="21">
        <f>Q307+T307</f>
        <v>21236.372599999999</v>
      </c>
      <c r="O307" s="10">
        <f>O306+N307-M307</f>
        <v>23427.672399999999</v>
      </c>
      <c r="P307" s="16">
        <v>0</v>
      </c>
      <c r="Q307" s="52">
        <f>E307</f>
        <v>20000</v>
      </c>
      <c r="R307" s="7">
        <f t="shared" si="68"/>
        <v>20000</v>
      </c>
      <c r="S307" s="16">
        <v>0</v>
      </c>
      <c r="T307" s="21">
        <f>(I307+W307)-AB307</f>
        <v>1236.3725999999999</v>
      </c>
      <c r="U307" s="7">
        <f t="shared" si="69"/>
        <v>3427.6723999999995</v>
      </c>
      <c r="V307" s="14"/>
      <c r="W307" s="21">
        <f>Y306</f>
        <v>1.83</v>
      </c>
      <c r="X307" s="16">
        <f>ROUND((O307-N307)*$M$3/$N$3*D307,2)</f>
        <v>0.06</v>
      </c>
      <c r="Y307" s="16">
        <f t="shared" si="59"/>
        <v>0.06</v>
      </c>
      <c r="Z307" s="14"/>
      <c r="AA307" s="16">
        <v>0</v>
      </c>
      <c r="AB307" s="22">
        <f t="shared" si="60"/>
        <v>78.917400000000001</v>
      </c>
      <c r="AC307" s="69">
        <f t="shared" si="65"/>
        <v>78.92</v>
      </c>
      <c r="AD307" s="18" t="s">
        <v>18</v>
      </c>
    </row>
    <row r="308" spans="2:30" ht="102">
      <c r="B308" s="19">
        <v>46023</v>
      </c>
      <c r="C308" s="19"/>
      <c r="D308" s="13">
        <f t="shared" si="61"/>
        <v>1</v>
      </c>
      <c r="E308" s="16">
        <v>0</v>
      </c>
      <c r="F308" s="24">
        <f>S308</f>
        <v>3427.6723999999995</v>
      </c>
      <c r="G308" s="7">
        <f t="shared" si="56"/>
        <v>140007.34340000004</v>
      </c>
      <c r="H308" s="14"/>
      <c r="I308" s="16">
        <v>0</v>
      </c>
      <c r="J308" s="16">
        <f t="shared" si="62"/>
        <v>37.42</v>
      </c>
      <c r="K308" s="16">
        <f t="shared" si="66"/>
        <v>74.84</v>
      </c>
      <c r="L308" s="14"/>
      <c r="M308" s="16">
        <f>P308+S308</f>
        <v>23427.672399999999</v>
      </c>
      <c r="N308" s="16">
        <f t="shared" ref="N308" si="70">Q308+T308</f>
        <v>0</v>
      </c>
      <c r="O308" s="7">
        <f>O307+N308-M308</f>
        <v>0</v>
      </c>
      <c r="P308" s="52">
        <v>20000</v>
      </c>
      <c r="Q308" s="16">
        <v>0</v>
      </c>
      <c r="R308" s="7">
        <f t="shared" si="68"/>
        <v>0</v>
      </c>
      <c r="S308" s="24">
        <f>U307</f>
        <v>3427.6723999999995</v>
      </c>
      <c r="T308" s="16">
        <v>0</v>
      </c>
      <c r="U308" s="7">
        <f t="shared" si="69"/>
        <v>0</v>
      </c>
      <c r="V308" s="14"/>
      <c r="W308" s="16">
        <v>0</v>
      </c>
      <c r="X308" s="16">
        <f>ROUND((O308-N308)*$M$3/$N$3*D308,2)</f>
        <v>0</v>
      </c>
      <c r="Y308" s="16">
        <f t="shared" si="59"/>
        <v>0.06</v>
      </c>
      <c r="Z308" s="14"/>
      <c r="AA308" s="16">
        <v>0</v>
      </c>
      <c r="AB308" s="16">
        <f t="shared" si="60"/>
        <v>0</v>
      </c>
      <c r="AC308" s="7">
        <f t="shared" si="65"/>
        <v>78.92</v>
      </c>
      <c r="AD308" s="18" t="s">
        <v>19</v>
      </c>
    </row>
    <row r="309" spans="2:30">
      <c r="B309" s="19">
        <v>46024</v>
      </c>
      <c r="C309" s="19"/>
      <c r="D309" s="13">
        <f t="shared" si="61"/>
        <v>1</v>
      </c>
      <c r="E309" s="16">
        <v>0</v>
      </c>
      <c r="F309" s="16">
        <v>0</v>
      </c>
      <c r="G309" s="7">
        <f t="shared" si="56"/>
        <v>140007.34340000004</v>
      </c>
      <c r="H309" s="14"/>
      <c r="I309" s="16">
        <v>0</v>
      </c>
      <c r="J309" s="16">
        <f t="shared" si="62"/>
        <v>38.36</v>
      </c>
      <c r="K309" s="16">
        <f t="shared" si="66"/>
        <v>113.2</v>
      </c>
      <c r="L309" s="14"/>
      <c r="M309" s="16">
        <f t="shared" si="67"/>
        <v>0</v>
      </c>
      <c r="N309" s="16">
        <f t="shared" si="67"/>
        <v>0</v>
      </c>
      <c r="O309" s="7">
        <f t="shared" si="63"/>
        <v>0</v>
      </c>
      <c r="P309" s="16">
        <v>0</v>
      </c>
      <c r="Q309" s="16">
        <v>0</v>
      </c>
      <c r="R309" s="7">
        <f t="shared" si="68"/>
        <v>0</v>
      </c>
      <c r="S309" s="16">
        <v>0</v>
      </c>
      <c r="T309" s="16">
        <v>0</v>
      </c>
      <c r="U309" s="7">
        <f t="shared" si="69"/>
        <v>0</v>
      </c>
      <c r="V309" s="14"/>
      <c r="W309" s="16">
        <v>0</v>
      </c>
      <c r="X309" s="16">
        <f t="shared" si="64"/>
        <v>0</v>
      </c>
      <c r="Y309" s="16">
        <f t="shared" si="59"/>
        <v>0.06</v>
      </c>
      <c r="Z309" s="14"/>
      <c r="AA309" s="16">
        <v>0</v>
      </c>
      <c r="AB309" s="16">
        <f t="shared" si="60"/>
        <v>0</v>
      </c>
      <c r="AC309" s="7">
        <f t="shared" si="65"/>
        <v>78.92</v>
      </c>
    </row>
    <row r="310" spans="2:30">
      <c r="B310" s="19">
        <v>46025</v>
      </c>
      <c r="C310" s="19"/>
      <c r="D310" s="13">
        <f t="shared" si="61"/>
        <v>1</v>
      </c>
      <c r="E310" s="16">
        <v>0</v>
      </c>
      <c r="F310" s="16">
        <v>0</v>
      </c>
      <c r="G310" s="7">
        <f t="shared" si="56"/>
        <v>140007.34340000004</v>
      </c>
      <c r="H310" s="14"/>
      <c r="I310" s="16">
        <v>0</v>
      </c>
      <c r="J310" s="16">
        <f t="shared" si="62"/>
        <v>38.36</v>
      </c>
      <c r="K310" s="16">
        <f t="shared" si="66"/>
        <v>151.56</v>
      </c>
      <c r="L310" s="14"/>
      <c r="M310" s="16">
        <f t="shared" si="67"/>
        <v>0</v>
      </c>
      <c r="N310" s="16">
        <f t="shared" si="67"/>
        <v>0</v>
      </c>
      <c r="O310" s="7">
        <f t="shared" si="63"/>
        <v>0</v>
      </c>
      <c r="P310" s="16">
        <v>0</v>
      </c>
      <c r="Q310" s="16">
        <v>0</v>
      </c>
      <c r="R310" s="7">
        <f t="shared" si="68"/>
        <v>0</v>
      </c>
      <c r="S310" s="16">
        <v>0</v>
      </c>
      <c r="T310" s="16">
        <v>0</v>
      </c>
      <c r="U310" s="7">
        <f t="shared" si="69"/>
        <v>0</v>
      </c>
      <c r="V310" s="14"/>
      <c r="W310" s="16">
        <v>0</v>
      </c>
      <c r="X310" s="16">
        <f t="shared" si="64"/>
        <v>0</v>
      </c>
      <c r="Y310" s="16">
        <f t="shared" si="59"/>
        <v>0.06</v>
      </c>
      <c r="Z310" s="14"/>
      <c r="AA310" s="16">
        <v>0</v>
      </c>
      <c r="AB310" s="16">
        <f t="shared" si="60"/>
        <v>0</v>
      </c>
      <c r="AC310" s="7">
        <f t="shared" si="65"/>
        <v>78.92</v>
      </c>
    </row>
    <row r="311" spans="2:30">
      <c r="B311" s="19">
        <v>46026</v>
      </c>
      <c r="C311" s="19"/>
      <c r="D311" s="13">
        <f t="shared" si="61"/>
        <v>1</v>
      </c>
      <c r="E311" s="16">
        <v>0</v>
      </c>
      <c r="F311" s="16">
        <v>0</v>
      </c>
      <c r="G311" s="7">
        <f t="shared" si="56"/>
        <v>140007.34340000004</v>
      </c>
      <c r="H311" s="14"/>
      <c r="I311" s="16">
        <v>0</v>
      </c>
      <c r="J311" s="16">
        <f t="shared" si="62"/>
        <v>38.36</v>
      </c>
      <c r="K311" s="16">
        <f t="shared" si="66"/>
        <v>189.92</v>
      </c>
      <c r="L311" s="14"/>
      <c r="M311" s="16">
        <f t="shared" si="67"/>
        <v>0</v>
      </c>
      <c r="N311" s="16">
        <f t="shared" si="67"/>
        <v>0</v>
      </c>
      <c r="O311" s="7">
        <f t="shared" si="63"/>
        <v>0</v>
      </c>
      <c r="P311" s="16">
        <v>0</v>
      </c>
      <c r="Q311" s="16">
        <v>0</v>
      </c>
      <c r="R311" s="7">
        <f t="shared" si="68"/>
        <v>0</v>
      </c>
      <c r="S311" s="16">
        <v>0</v>
      </c>
      <c r="T311" s="16">
        <v>0</v>
      </c>
      <c r="U311" s="7">
        <f t="shared" si="69"/>
        <v>0</v>
      </c>
      <c r="V311" s="14"/>
      <c r="W311" s="16">
        <v>0</v>
      </c>
      <c r="X311" s="16">
        <f t="shared" si="64"/>
        <v>0</v>
      </c>
      <c r="Y311" s="16">
        <f t="shared" si="59"/>
        <v>0.06</v>
      </c>
      <c r="Z311" s="14"/>
      <c r="AA311" s="16">
        <v>0</v>
      </c>
      <c r="AB311" s="16">
        <f t="shared" si="60"/>
        <v>0</v>
      </c>
      <c r="AC311" s="7">
        <f t="shared" si="65"/>
        <v>78.92</v>
      </c>
    </row>
    <row r="312" spans="2:30" ht="34">
      <c r="B312" s="19">
        <v>46027</v>
      </c>
      <c r="C312" s="19"/>
      <c r="D312" s="13">
        <f t="shared" si="61"/>
        <v>1</v>
      </c>
      <c r="E312" s="16">
        <v>0</v>
      </c>
      <c r="F312" s="14">
        <v>10000</v>
      </c>
      <c r="G312" s="7">
        <f t="shared" si="56"/>
        <v>150007.34340000004</v>
      </c>
      <c r="H312" s="14"/>
      <c r="I312" s="16">
        <v>0</v>
      </c>
      <c r="J312" s="16">
        <f t="shared" si="62"/>
        <v>38.36</v>
      </c>
      <c r="K312" s="16">
        <f t="shared" si="66"/>
        <v>228.28</v>
      </c>
      <c r="L312" s="14"/>
      <c r="M312" s="16">
        <f t="shared" si="67"/>
        <v>0</v>
      </c>
      <c r="N312" s="16">
        <f t="shared" si="67"/>
        <v>0</v>
      </c>
      <c r="O312" s="7">
        <f t="shared" si="63"/>
        <v>0</v>
      </c>
      <c r="P312" s="16">
        <v>0</v>
      </c>
      <c r="Q312" s="16">
        <v>0</v>
      </c>
      <c r="R312" s="7">
        <f t="shared" si="68"/>
        <v>0</v>
      </c>
      <c r="S312" s="16">
        <v>0</v>
      </c>
      <c r="T312" s="16">
        <v>0</v>
      </c>
      <c r="U312" s="7">
        <f t="shared" si="69"/>
        <v>0</v>
      </c>
      <c r="V312" s="14"/>
      <c r="W312" s="16">
        <v>0</v>
      </c>
      <c r="X312" s="16">
        <f t="shared" si="64"/>
        <v>0</v>
      </c>
      <c r="Y312" s="16">
        <f t="shared" si="59"/>
        <v>0.06</v>
      </c>
      <c r="Z312" s="14"/>
      <c r="AA312" s="16">
        <v>0</v>
      </c>
      <c r="AB312" s="16">
        <f t="shared" si="60"/>
        <v>0</v>
      </c>
      <c r="AC312" s="7">
        <f t="shared" si="65"/>
        <v>78.92</v>
      </c>
      <c r="AD312" s="65" t="s">
        <v>15</v>
      </c>
    </row>
    <row r="313" spans="2:30">
      <c r="B313" s="19">
        <v>46028</v>
      </c>
      <c r="C313" s="19"/>
      <c r="D313" s="13">
        <f t="shared" si="61"/>
        <v>1</v>
      </c>
      <c r="E313" s="16">
        <v>0</v>
      </c>
      <c r="F313" s="16">
        <v>0</v>
      </c>
      <c r="G313" s="7">
        <f t="shared" si="56"/>
        <v>150007.34340000004</v>
      </c>
      <c r="H313" s="14"/>
      <c r="I313" s="16">
        <v>0</v>
      </c>
      <c r="J313" s="16">
        <f t="shared" si="62"/>
        <v>41.1</v>
      </c>
      <c r="K313" s="16">
        <f t="shared" si="66"/>
        <v>269.38</v>
      </c>
      <c r="L313" s="14"/>
      <c r="M313" s="16">
        <f t="shared" si="67"/>
        <v>0</v>
      </c>
      <c r="N313" s="16">
        <f t="shared" si="67"/>
        <v>0</v>
      </c>
      <c r="O313" s="7">
        <f t="shared" si="63"/>
        <v>0</v>
      </c>
      <c r="P313" s="16">
        <v>0</v>
      </c>
      <c r="Q313" s="16">
        <v>0</v>
      </c>
      <c r="R313" s="7">
        <f t="shared" si="68"/>
        <v>0</v>
      </c>
      <c r="S313" s="16">
        <v>0</v>
      </c>
      <c r="T313" s="16">
        <v>0</v>
      </c>
      <c r="U313" s="7">
        <f t="shared" si="69"/>
        <v>0</v>
      </c>
      <c r="V313" s="14"/>
      <c r="W313" s="16">
        <v>0</v>
      </c>
      <c r="X313" s="16">
        <f t="shared" si="64"/>
        <v>0</v>
      </c>
      <c r="Y313" s="16">
        <f t="shared" si="59"/>
        <v>0.06</v>
      </c>
      <c r="Z313" s="14"/>
      <c r="AA313" s="16">
        <v>0</v>
      </c>
      <c r="AB313" s="16">
        <f t="shared" si="60"/>
        <v>0</v>
      </c>
      <c r="AC313" s="7">
        <f t="shared" si="65"/>
        <v>78.92</v>
      </c>
    </row>
    <row r="314" spans="2:30">
      <c r="B314" s="19">
        <v>46029</v>
      </c>
      <c r="C314" s="19"/>
      <c r="D314" s="13">
        <f t="shared" si="61"/>
        <v>1</v>
      </c>
      <c r="E314" s="16">
        <v>0</v>
      </c>
      <c r="F314" s="16">
        <v>0</v>
      </c>
      <c r="G314" s="7">
        <f t="shared" si="56"/>
        <v>150007.34340000004</v>
      </c>
      <c r="H314" s="14"/>
      <c r="I314" s="16">
        <v>0</v>
      </c>
      <c r="J314" s="16">
        <f t="shared" si="62"/>
        <v>41.1</v>
      </c>
      <c r="K314" s="16">
        <f t="shared" si="66"/>
        <v>310.48</v>
      </c>
      <c r="L314" s="14"/>
      <c r="M314" s="16">
        <f t="shared" si="67"/>
        <v>0</v>
      </c>
      <c r="N314" s="16">
        <f t="shared" si="67"/>
        <v>0</v>
      </c>
      <c r="O314" s="7">
        <f t="shared" si="63"/>
        <v>0</v>
      </c>
      <c r="P314" s="16">
        <v>0</v>
      </c>
      <c r="Q314" s="16">
        <v>0</v>
      </c>
      <c r="R314" s="7">
        <f t="shared" si="68"/>
        <v>0</v>
      </c>
      <c r="S314" s="16">
        <v>0</v>
      </c>
      <c r="T314" s="16">
        <v>0</v>
      </c>
      <c r="U314" s="7">
        <f t="shared" si="69"/>
        <v>0</v>
      </c>
      <c r="V314" s="14"/>
      <c r="W314" s="16">
        <v>0</v>
      </c>
      <c r="X314" s="16">
        <f t="shared" si="64"/>
        <v>0</v>
      </c>
      <c r="Y314" s="16">
        <f t="shared" si="59"/>
        <v>0.06</v>
      </c>
      <c r="Z314" s="14"/>
      <c r="AA314" s="16">
        <v>0</v>
      </c>
      <c r="AB314" s="16">
        <f t="shared" si="60"/>
        <v>0</v>
      </c>
      <c r="AC314" s="7">
        <f t="shared" si="65"/>
        <v>78.92</v>
      </c>
    </row>
    <row r="315" spans="2:30">
      <c r="B315" s="19">
        <v>46030</v>
      </c>
      <c r="C315" s="19"/>
      <c r="D315" s="13">
        <f t="shared" si="61"/>
        <v>1</v>
      </c>
      <c r="E315" s="16">
        <v>0</v>
      </c>
      <c r="F315" s="16">
        <v>0</v>
      </c>
      <c r="G315" s="7">
        <f t="shared" si="56"/>
        <v>150007.34340000004</v>
      </c>
      <c r="H315" s="14"/>
      <c r="I315" s="16">
        <v>0</v>
      </c>
      <c r="J315" s="16">
        <f t="shared" si="62"/>
        <v>41.1</v>
      </c>
      <c r="K315" s="16">
        <f t="shared" si="66"/>
        <v>351.58</v>
      </c>
      <c r="L315" s="14"/>
      <c r="M315" s="16">
        <f t="shared" si="67"/>
        <v>0</v>
      </c>
      <c r="N315" s="16">
        <f t="shared" si="67"/>
        <v>0</v>
      </c>
      <c r="O315" s="7">
        <f t="shared" si="63"/>
        <v>0</v>
      </c>
      <c r="P315" s="16">
        <v>0</v>
      </c>
      <c r="Q315" s="16">
        <v>0</v>
      </c>
      <c r="R315" s="7">
        <f t="shared" si="68"/>
        <v>0</v>
      </c>
      <c r="S315" s="16">
        <v>0</v>
      </c>
      <c r="T315" s="16">
        <v>0</v>
      </c>
      <c r="U315" s="7">
        <f t="shared" si="69"/>
        <v>0</v>
      </c>
      <c r="V315" s="14"/>
      <c r="W315" s="16">
        <v>0</v>
      </c>
      <c r="X315" s="16">
        <f t="shared" si="64"/>
        <v>0</v>
      </c>
      <c r="Y315" s="16">
        <f t="shared" si="59"/>
        <v>0.06</v>
      </c>
      <c r="Z315" s="14"/>
      <c r="AA315" s="16">
        <v>0</v>
      </c>
      <c r="AB315" s="16">
        <f t="shared" si="60"/>
        <v>0</v>
      </c>
      <c r="AC315" s="7">
        <f t="shared" si="65"/>
        <v>78.92</v>
      </c>
    </row>
    <row r="316" spans="2:30">
      <c r="B316" s="19">
        <v>46031</v>
      </c>
      <c r="C316" s="19"/>
      <c r="D316" s="13">
        <f t="shared" si="61"/>
        <v>1</v>
      </c>
      <c r="E316" s="16">
        <v>0</v>
      </c>
      <c r="F316" s="16">
        <v>0</v>
      </c>
      <c r="G316" s="7">
        <f t="shared" si="56"/>
        <v>150007.34340000004</v>
      </c>
      <c r="H316" s="14"/>
      <c r="I316" s="16">
        <v>0</v>
      </c>
      <c r="J316" s="16">
        <f t="shared" si="62"/>
        <v>41.1</v>
      </c>
      <c r="K316" s="16">
        <f t="shared" si="66"/>
        <v>392.68</v>
      </c>
      <c r="L316" s="14"/>
      <c r="M316" s="16">
        <f t="shared" si="67"/>
        <v>0</v>
      </c>
      <c r="N316" s="16">
        <f t="shared" si="67"/>
        <v>0</v>
      </c>
      <c r="O316" s="7">
        <f t="shared" si="63"/>
        <v>0</v>
      </c>
      <c r="P316" s="16">
        <v>0</v>
      </c>
      <c r="Q316" s="16">
        <v>0</v>
      </c>
      <c r="R316" s="7">
        <f t="shared" si="68"/>
        <v>0</v>
      </c>
      <c r="S316" s="16">
        <v>0</v>
      </c>
      <c r="T316" s="16">
        <v>0</v>
      </c>
      <c r="U316" s="7">
        <f t="shared" si="69"/>
        <v>0</v>
      </c>
      <c r="V316" s="14"/>
      <c r="W316" s="16">
        <v>0</v>
      </c>
      <c r="X316" s="16">
        <f t="shared" si="64"/>
        <v>0</v>
      </c>
      <c r="Y316" s="16">
        <f t="shared" si="59"/>
        <v>0.06</v>
      </c>
      <c r="Z316" s="14"/>
      <c r="AA316" s="16">
        <v>0</v>
      </c>
      <c r="AB316" s="16">
        <f t="shared" si="60"/>
        <v>0</v>
      </c>
      <c r="AC316" s="7">
        <f t="shared" si="65"/>
        <v>78.92</v>
      </c>
    </row>
    <row r="317" spans="2:30">
      <c r="B317" s="19">
        <v>46032</v>
      </c>
      <c r="C317" s="19"/>
      <c r="D317" s="13">
        <f t="shared" si="61"/>
        <v>1</v>
      </c>
      <c r="E317" s="16">
        <v>0</v>
      </c>
      <c r="F317" s="16">
        <v>0</v>
      </c>
      <c r="G317" s="7">
        <f t="shared" si="56"/>
        <v>150007.34340000004</v>
      </c>
      <c r="H317" s="14"/>
      <c r="I317" s="16">
        <v>0</v>
      </c>
      <c r="J317" s="16">
        <f t="shared" si="62"/>
        <v>41.1</v>
      </c>
      <c r="K317" s="16">
        <f t="shared" si="66"/>
        <v>433.78</v>
      </c>
      <c r="L317" s="14"/>
      <c r="M317" s="16">
        <f t="shared" si="67"/>
        <v>0</v>
      </c>
      <c r="N317" s="16">
        <f t="shared" si="67"/>
        <v>0</v>
      </c>
      <c r="O317" s="7">
        <f t="shared" si="63"/>
        <v>0</v>
      </c>
      <c r="P317" s="16">
        <v>0</v>
      </c>
      <c r="Q317" s="16">
        <v>0</v>
      </c>
      <c r="R317" s="7">
        <f t="shared" si="68"/>
        <v>0</v>
      </c>
      <c r="S317" s="16">
        <v>0</v>
      </c>
      <c r="T317" s="16">
        <v>0</v>
      </c>
      <c r="U317" s="7">
        <f t="shared" si="69"/>
        <v>0</v>
      </c>
      <c r="V317" s="14"/>
      <c r="W317" s="16">
        <v>0</v>
      </c>
      <c r="X317" s="16">
        <f t="shared" si="64"/>
        <v>0</v>
      </c>
      <c r="Y317" s="16">
        <f t="shared" si="59"/>
        <v>0.06</v>
      </c>
      <c r="Z317" s="14"/>
      <c r="AA317" s="16">
        <v>0</v>
      </c>
      <c r="AB317" s="16">
        <f t="shared" si="60"/>
        <v>0</v>
      </c>
      <c r="AC317" s="7">
        <f t="shared" si="65"/>
        <v>78.92</v>
      </c>
    </row>
    <row r="318" spans="2:30">
      <c r="B318" s="19">
        <v>46033</v>
      </c>
      <c r="C318" s="19"/>
      <c r="D318" s="13">
        <f t="shared" si="61"/>
        <v>1</v>
      </c>
      <c r="E318" s="16">
        <v>0</v>
      </c>
      <c r="F318" s="16">
        <v>0</v>
      </c>
      <c r="G318" s="7">
        <f t="shared" si="56"/>
        <v>150007.34340000004</v>
      </c>
      <c r="H318" s="14"/>
      <c r="I318" s="16">
        <v>0</v>
      </c>
      <c r="J318" s="16">
        <f t="shared" si="62"/>
        <v>41.1</v>
      </c>
      <c r="K318" s="16">
        <f t="shared" si="66"/>
        <v>474.88</v>
      </c>
      <c r="L318" s="14"/>
      <c r="M318" s="16">
        <f t="shared" si="67"/>
        <v>0</v>
      </c>
      <c r="N318" s="16">
        <f t="shared" si="67"/>
        <v>0</v>
      </c>
      <c r="O318" s="7">
        <f t="shared" si="63"/>
        <v>0</v>
      </c>
      <c r="P318" s="16">
        <v>0</v>
      </c>
      <c r="Q318" s="16">
        <v>0</v>
      </c>
      <c r="R318" s="7">
        <f t="shared" si="68"/>
        <v>0</v>
      </c>
      <c r="S318" s="16">
        <v>0</v>
      </c>
      <c r="T318" s="16">
        <v>0</v>
      </c>
      <c r="U318" s="7">
        <f t="shared" si="69"/>
        <v>0</v>
      </c>
      <c r="V318" s="14"/>
      <c r="W318" s="16">
        <v>0</v>
      </c>
      <c r="X318" s="16">
        <f t="shared" si="64"/>
        <v>0</v>
      </c>
      <c r="Y318" s="16">
        <f t="shared" si="59"/>
        <v>0.06</v>
      </c>
      <c r="Z318" s="14"/>
      <c r="AA318" s="16">
        <v>0</v>
      </c>
      <c r="AB318" s="16">
        <f t="shared" si="60"/>
        <v>0</v>
      </c>
      <c r="AC318" s="7">
        <f t="shared" si="65"/>
        <v>78.92</v>
      </c>
    </row>
    <row r="319" spans="2:30">
      <c r="B319" s="19">
        <v>46034</v>
      </c>
      <c r="C319" s="19"/>
      <c r="D319" s="13">
        <f t="shared" si="61"/>
        <v>1</v>
      </c>
      <c r="E319" s="16">
        <v>0</v>
      </c>
      <c r="F319" s="16">
        <v>0</v>
      </c>
      <c r="G319" s="7">
        <f t="shared" ref="G319:G369" si="71">G318+F319-E319</f>
        <v>150007.34340000004</v>
      </c>
      <c r="H319" s="14"/>
      <c r="I319" s="16">
        <v>0</v>
      </c>
      <c r="J319" s="16">
        <f t="shared" si="62"/>
        <v>41.1</v>
      </c>
      <c r="K319" s="16">
        <f t="shared" si="66"/>
        <v>515.98</v>
      </c>
      <c r="L319" s="14"/>
      <c r="M319" s="16">
        <f t="shared" si="67"/>
        <v>0</v>
      </c>
      <c r="N319" s="16">
        <f t="shared" si="67"/>
        <v>0</v>
      </c>
      <c r="O319" s="7">
        <f t="shared" si="63"/>
        <v>0</v>
      </c>
      <c r="P319" s="16">
        <v>0</v>
      </c>
      <c r="Q319" s="16">
        <v>0</v>
      </c>
      <c r="R319" s="7">
        <f t="shared" si="68"/>
        <v>0</v>
      </c>
      <c r="S319" s="16">
        <v>0</v>
      </c>
      <c r="T319" s="16">
        <v>0</v>
      </c>
      <c r="U319" s="7">
        <f t="shared" si="69"/>
        <v>0</v>
      </c>
      <c r="V319" s="14"/>
      <c r="W319" s="16">
        <v>0</v>
      </c>
      <c r="X319" s="16">
        <f t="shared" si="64"/>
        <v>0</v>
      </c>
      <c r="Y319" s="16">
        <f t="shared" si="59"/>
        <v>0.06</v>
      </c>
      <c r="Z319" s="14"/>
      <c r="AA319" s="16">
        <v>0</v>
      </c>
      <c r="AB319" s="16">
        <f t="shared" si="60"/>
        <v>0</v>
      </c>
      <c r="AC319" s="7">
        <f t="shared" si="65"/>
        <v>78.92</v>
      </c>
    </row>
    <row r="320" spans="2:30">
      <c r="B320" s="19">
        <v>46035</v>
      </c>
      <c r="C320" s="19"/>
      <c r="D320" s="13">
        <f t="shared" si="61"/>
        <v>1</v>
      </c>
      <c r="E320" s="16">
        <v>0</v>
      </c>
      <c r="F320" s="16">
        <v>0</v>
      </c>
      <c r="G320" s="7">
        <f t="shared" si="71"/>
        <v>150007.34340000004</v>
      </c>
      <c r="H320" s="14"/>
      <c r="I320" s="16">
        <v>0</v>
      </c>
      <c r="J320" s="16">
        <f t="shared" si="62"/>
        <v>41.1</v>
      </c>
      <c r="K320" s="16">
        <f t="shared" si="66"/>
        <v>557.08000000000004</v>
      </c>
      <c r="L320" s="14"/>
      <c r="M320" s="16">
        <f t="shared" si="67"/>
        <v>0</v>
      </c>
      <c r="N320" s="16">
        <f t="shared" si="67"/>
        <v>0</v>
      </c>
      <c r="O320" s="7">
        <f t="shared" si="63"/>
        <v>0</v>
      </c>
      <c r="P320" s="16">
        <v>0</v>
      </c>
      <c r="Q320" s="16">
        <v>0</v>
      </c>
      <c r="R320" s="7">
        <f t="shared" si="68"/>
        <v>0</v>
      </c>
      <c r="S320" s="16">
        <v>0</v>
      </c>
      <c r="T320" s="16">
        <v>0</v>
      </c>
      <c r="U320" s="7">
        <f t="shared" si="69"/>
        <v>0</v>
      </c>
      <c r="V320" s="14"/>
      <c r="W320" s="16">
        <v>0</v>
      </c>
      <c r="X320" s="16">
        <f t="shared" si="64"/>
        <v>0</v>
      </c>
      <c r="Y320" s="16">
        <f t="shared" si="59"/>
        <v>0.06</v>
      </c>
      <c r="Z320" s="14"/>
      <c r="AA320" s="16">
        <v>0</v>
      </c>
      <c r="AB320" s="16">
        <f t="shared" si="60"/>
        <v>0</v>
      </c>
      <c r="AC320" s="7">
        <f t="shared" si="65"/>
        <v>78.92</v>
      </c>
    </row>
    <row r="321" spans="2:30" ht="17">
      <c r="B321" s="19">
        <v>46036</v>
      </c>
      <c r="C321" s="19"/>
      <c r="D321" s="13">
        <f t="shared" si="61"/>
        <v>1</v>
      </c>
      <c r="E321" s="16">
        <v>0</v>
      </c>
      <c r="F321" s="16">
        <v>0</v>
      </c>
      <c r="G321" s="7">
        <f t="shared" si="71"/>
        <v>150007.34340000004</v>
      </c>
      <c r="H321" s="14"/>
      <c r="I321" s="16">
        <v>0</v>
      </c>
      <c r="J321" s="16">
        <f t="shared" si="62"/>
        <v>41.1</v>
      </c>
      <c r="K321" s="16">
        <f t="shared" si="66"/>
        <v>598.17999999999995</v>
      </c>
      <c r="L321" s="14"/>
      <c r="M321" s="16">
        <f t="shared" si="67"/>
        <v>0</v>
      </c>
      <c r="N321" s="16">
        <f t="shared" si="67"/>
        <v>0</v>
      </c>
      <c r="O321" s="7">
        <f t="shared" si="63"/>
        <v>0</v>
      </c>
      <c r="P321" s="16">
        <v>0</v>
      </c>
      <c r="Q321" s="16">
        <v>0</v>
      </c>
      <c r="R321" s="7">
        <f t="shared" si="68"/>
        <v>0</v>
      </c>
      <c r="S321" s="16">
        <v>0</v>
      </c>
      <c r="T321" s="16">
        <v>0</v>
      </c>
      <c r="U321" s="7">
        <f t="shared" si="69"/>
        <v>0</v>
      </c>
      <c r="V321" s="14"/>
      <c r="W321" s="16">
        <v>0</v>
      </c>
      <c r="X321" s="16">
        <f t="shared" si="64"/>
        <v>0</v>
      </c>
      <c r="Y321" s="16">
        <f t="shared" si="59"/>
        <v>0.06</v>
      </c>
      <c r="Z321" s="14"/>
      <c r="AA321" s="22">
        <f>AC320</f>
        <v>78.92</v>
      </c>
      <c r="AB321" s="16">
        <f t="shared" si="60"/>
        <v>0</v>
      </c>
      <c r="AC321" s="69">
        <f t="shared" si="65"/>
        <v>0</v>
      </c>
      <c r="AD321" s="71" t="s">
        <v>48</v>
      </c>
    </row>
    <row r="322" spans="2:30">
      <c r="B322" s="19">
        <v>46037</v>
      </c>
      <c r="C322" s="19"/>
      <c r="D322" s="13">
        <f t="shared" si="61"/>
        <v>1</v>
      </c>
      <c r="E322" s="16">
        <v>0</v>
      </c>
      <c r="F322" s="16">
        <v>0</v>
      </c>
      <c r="G322" s="7">
        <f t="shared" si="71"/>
        <v>150007.34340000004</v>
      </c>
      <c r="H322" s="14"/>
      <c r="I322" s="16">
        <v>0</v>
      </c>
      <c r="J322" s="16">
        <f t="shared" si="62"/>
        <v>41.1</v>
      </c>
      <c r="K322" s="16">
        <f t="shared" si="66"/>
        <v>639.28</v>
      </c>
      <c r="L322" s="14"/>
      <c r="M322" s="16">
        <f t="shared" si="67"/>
        <v>0</v>
      </c>
      <c r="N322" s="16">
        <f t="shared" si="67"/>
        <v>0</v>
      </c>
      <c r="O322" s="7">
        <f t="shared" si="63"/>
        <v>0</v>
      </c>
      <c r="P322" s="16">
        <v>0</v>
      </c>
      <c r="Q322" s="16">
        <v>0</v>
      </c>
      <c r="R322" s="7">
        <f t="shared" si="68"/>
        <v>0</v>
      </c>
      <c r="S322" s="16">
        <v>0</v>
      </c>
      <c r="T322" s="16">
        <v>0</v>
      </c>
      <c r="U322" s="7">
        <f t="shared" si="69"/>
        <v>0</v>
      </c>
      <c r="V322" s="14"/>
      <c r="W322" s="16">
        <v>0</v>
      </c>
      <c r="X322" s="16">
        <f t="shared" si="64"/>
        <v>0</v>
      </c>
      <c r="Y322" s="16">
        <f t="shared" si="59"/>
        <v>0.06</v>
      </c>
      <c r="Z322" s="14"/>
      <c r="AA322" s="16">
        <v>0</v>
      </c>
      <c r="AB322" s="16">
        <f t="shared" si="60"/>
        <v>0</v>
      </c>
      <c r="AC322" s="7">
        <f t="shared" si="65"/>
        <v>0</v>
      </c>
    </row>
    <row r="323" spans="2:30">
      <c r="B323" s="19">
        <v>46038</v>
      </c>
      <c r="C323" s="19"/>
      <c r="D323" s="13">
        <f t="shared" si="61"/>
        <v>1</v>
      </c>
      <c r="E323" s="16">
        <v>0</v>
      </c>
      <c r="F323" s="16">
        <v>0</v>
      </c>
      <c r="G323" s="7">
        <f t="shared" si="71"/>
        <v>150007.34340000004</v>
      </c>
      <c r="H323" s="14"/>
      <c r="I323" s="16">
        <v>0</v>
      </c>
      <c r="J323" s="16">
        <f t="shared" si="62"/>
        <v>41.1</v>
      </c>
      <c r="K323" s="16">
        <f t="shared" si="66"/>
        <v>680.38</v>
      </c>
      <c r="L323" s="14"/>
      <c r="M323" s="16">
        <f t="shared" si="67"/>
        <v>0</v>
      </c>
      <c r="N323" s="16">
        <f t="shared" si="67"/>
        <v>0</v>
      </c>
      <c r="O323" s="7">
        <f t="shared" si="63"/>
        <v>0</v>
      </c>
      <c r="P323" s="16">
        <v>0</v>
      </c>
      <c r="Q323" s="16">
        <v>0</v>
      </c>
      <c r="R323" s="7">
        <f t="shared" si="68"/>
        <v>0</v>
      </c>
      <c r="S323" s="16">
        <v>0</v>
      </c>
      <c r="T323" s="16">
        <v>0</v>
      </c>
      <c r="U323" s="7">
        <f t="shared" si="69"/>
        <v>0</v>
      </c>
      <c r="V323" s="14"/>
      <c r="W323" s="16">
        <v>0</v>
      </c>
      <c r="X323" s="16">
        <f t="shared" si="64"/>
        <v>0</v>
      </c>
      <c r="Y323" s="16">
        <f t="shared" si="59"/>
        <v>0.06</v>
      </c>
      <c r="Z323" s="14"/>
      <c r="AA323" s="16">
        <v>0</v>
      </c>
      <c r="AB323" s="16">
        <f t="shared" si="60"/>
        <v>0</v>
      </c>
      <c r="AC323" s="7">
        <f t="shared" si="65"/>
        <v>0</v>
      </c>
    </row>
    <row r="324" spans="2:30">
      <c r="B324" s="19">
        <v>46039</v>
      </c>
      <c r="C324" s="19"/>
      <c r="D324" s="13">
        <f t="shared" si="61"/>
        <v>1</v>
      </c>
      <c r="E324" s="16">
        <v>0</v>
      </c>
      <c r="F324" s="16">
        <v>0</v>
      </c>
      <c r="G324" s="7">
        <f t="shared" si="71"/>
        <v>150007.34340000004</v>
      </c>
      <c r="H324" s="14"/>
      <c r="I324" s="16">
        <v>0</v>
      </c>
      <c r="J324" s="16">
        <f t="shared" si="62"/>
        <v>41.1</v>
      </c>
      <c r="K324" s="16">
        <f t="shared" si="66"/>
        <v>721.48</v>
      </c>
      <c r="L324" s="14"/>
      <c r="M324" s="16">
        <f t="shared" si="67"/>
        <v>0</v>
      </c>
      <c r="N324" s="16">
        <f t="shared" si="67"/>
        <v>0</v>
      </c>
      <c r="O324" s="7">
        <f t="shared" si="63"/>
        <v>0</v>
      </c>
      <c r="P324" s="16">
        <v>0</v>
      </c>
      <c r="Q324" s="16">
        <v>0</v>
      </c>
      <c r="R324" s="7">
        <f t="shared" si="68"/>
        <v>0</v>
      </c>
      <c r="S324" s="16">
        <v>0</v>
      </c>
      <c r="T324" s="16">
        <v>0</v>
      </c>
      <c r="U324" s="7">
        <f t="shared" si="69"/>
        <v>0</v>
      </c>
      <c r="V324" s="14"/>
      <c r="W324" s="16">
        <v>0</v>
      </c>
      <c r="X324" s="16">
        <f t="shared" si="64"/>
        <v>0</v>
      </c>
      <c r="Y324" s="16">
        <f t="shared" si="59"/>
        <v>0.06</v>
      </c>
      <c r="Z324" s="14"/>
      <c r="AA324" s="16">
        <v>0</v>
      </c>
      <c r="AB324" s="16">
        <f t="shared" si="60"/>
        <v>0</v>
      </c>
      <c r="AC324" s="7">
        <f t="shared" si="65"/>
        <v>0</v>
      </c>
    </row>
    <row r="325" spans="2:30">
      <c r="B325" s="19">
        <v>46040</v>
      </c>
      <c r="C325" s="19"/>
      <c r="D325" s="13">
        <f t="shared" si="61"/>
        <v>1</v>
      </c>
      <c r="E325" s="16">
        <v>0</v>
      </c>
      <c r="F325" s="16">
        <v>0</v>
      </c>
      <c r="G325" s="7">
        <f t="shared" si="71"/>
        <v>150007.34340000004</v>
      </c>
      <c r="H325" s="14"/>
      <c r="I325" s="16">
        <v>0</v>
      </c>
      <c r="J325" s="16">
        <f t="shared" si="62"/>
        <v>41.1</v>
      </c>
      <c r="K325" s="16">
        <f t="shared" si="66"/>
        <v>762.58</v>
      </c>
      <c r="L325" s="14"/>
      <c r="M325" s="16">
        <f t="shared" si="67"/>
        <v>0</v>
      </c>
      <c r="N325" s="16">
        <f t="shared" si="67"/>
        <v>0</v>
      </c>
      <c r="O325" s="7">
        <f t="shared" si="63"/>
        <v>0</v>
      </c>
      <c r="P325" s="16">
        <v>0</v>
      </c>
      <c r="Q325" s="16">
        <v>0</v>
      </c>
      <c r="R325" s="7">
        <f t="shared" si="68"/>
        <v>0</v>
      </c>
      <c r="S325" s="16">
        <v>0</v>
      </c>
      <c r="T325" s="16">
        <v>0</v>
      </c>
      <c r="U325" s="7">
        <f t="shared" si="69"/>
        <v>0</v>
      </c>
      <c r="V325" s="14"/>
      <c r="W325" s="16">
        <v>0</v>
      </c>
      <c r="X325" s="16">
        <f t="shared" si="64"/>
        <v>0</v>
      </c>
      <c r="Y325" s="16">
        <f t="shared" ref="Y325:Y370" si="72">ROUND(Y324+X325-W325,2)</f>
        <v>0.06</v>
      </c>
      <c r="Z325" s="14"/>
      <c r="AA325" s="16">
        <v>0</v>
      </c>
      <c r="AB325" s="16">
        <f t="shared" ref="AB325:AB372" si="73">(I325+W325)*$AB$3</f>
        <v>0</v>
      </c>
      <c r="AC325" s="7">
        <f t="shared" si="65"/>
        <v>0</v>
      </c>
    </row>
    <row r="326" spans="2:30">
      <c r="B326" s="19">
        <v>46041</v>
      </c>
      <c r="C326" s="19"/>
      <c r="D326" s="13">
        <f t="shared" ref="D326:D370" si="74">B326-B325</f>
        <v>1</v>
      </c>
      <c r="E326" s="16">
        <v>0</v>
      </c>
      <c r="F326" s="16">
        <v>0</v>
      </c>
      <c r="G326" s="7">
        <f t="shared" si="71"/>
        <v>150007.34340000004</v>
      </c>
      <c r="H326" s="14"/>
      <c r="I326" s="16">
        <v>0</v>
      </c>
      <c r="J326" s="16">
        <f t="shared" ref="J326:J370" si="75">ROUND((G326-F326)*$B$3/$D$3*D326,2)</f>
        <v>41.1</v>
      </c>
      <c r="K326" s="16">
        <f t="shared" si="66"/>
        <v>803.68</v>
      </c>
      <c r="L326" s="14"/>
      <c r="M326" s="16">
        <f t="shared" si="67"/>
        <v>0</v>
      </c>
      <c r="N326" s="16">
        <f t="shared" si="67"/>
        <v>0</v>
      </c>
      <c r="O326" s="7">
        <f t="shared" ref="O326:O369" si="76">O325+N326-M326</f>
        <v>0</v>
      </c>
      <c r="P326" s="16">
        <v>0</v>
      </c>
      <c r="Q326" s="16">
        <v>0</v>
      </c>
      <c r="R326" s="7">
        <f t="shared" si="68"/>
        <v>0</v>
      </c>
      <c r="S326" s="16">
        <v>0</v>
      </c>
      <c r="T326" s="16">
        <v>0</v>
      </c>
      <c r="U326" s="7">
        <f t="shared" si="69"/>
        <v>0</v>
      </c>
      <c r="V326" s="14"/>
      <c r="W326" s="16">
        <v>0</v>
      </c>
      <c r="X326" s="16">
        <f t="shared" ref="X326:X369" si="77">ROUND((O326-N326)*$M$3/$N$3*D326,2)</f>
        <v>0</v>
      </c>
      <c r="Y326" s="16">
        <f t="shared" si="72"/>
        <v>0.06</v>
      </c>
      <c r="Z326" s="14"/>
      <c r="AA326" s="16">
        <v>0</v>
      </c>
      <c r="AB326" s="16">
        <f t="shared" si="73"/>
        <v>0</v>
      </c>
      <c r="AC326" s="7">
        <f t="shared" ref="AC326:AC370" si="78">ROUND(AC325+AB326-AA326,2)</f>
        <v>0</v>
      </c>
    </row>
    <row r="327" spans="2:30">
      <c r="B327" s="19">
        <v>46042</v>
      </c>
      <c r="C327" s="19"/>
      <c r="D327" s="13">
        <f t="shared" si="74"/>
        <v>1</v>
      </c>
      <c r="E327" s="16">
        <v>0</v>
      </c>
      <c r="F327" s="16">
        <v>0</v>
      </c>
      <c r="G327" s="7">
        <f t="shared" si="71"/>
        <v>150007.34340000004</v>
      </c>
      <c r="H327" s="14"/>
      <c r="I327" s="16">
        <v>0</v>
      </c>
      <c r="J327" s="16">
        <f t="shared" si="75"/>
        <v>41.1</v>
      </c>
      <c r="K327" s="16">
        <f t="shared" ref="K327:K370" si="79">ROUND(K326+J327-I327,2)</f>
        <v>844.78</v>
      </c>
      <c r="L327" s="14"/>
      <c r="M327" s="16">
        <f t="shared" si="67"/>
        <v>0</v>
      </c>
      <c r="N327" s="16">
        <f t="shared" si="67"/>
        <v>0</v>
      </c>
      <c r="O327" s="7">
        <f t="shared" si="76"/>
        <v>0</v>
      </c>
      <c r="P327" s="16">
        <v>0</v>
      </c>
      <c r="Q327" s="16">
        <v>0</v>
      </c>
      <c r="R327" s="7">
        <f t="shared" si="68"/>
        <v>0</v>
      </c>
      <c r="S327" s="16">
        <v>0</v>
      </c>
      <c r="T327" s="16">
        <v>0</v>
      </c>
      <c r="U327" s="7">
        <f t="shared" si="69"/>
        <v>0</v>
      </c>
      <c r="V327" s="14"/>
      <c r="W327" s="16">
        <v>0</v>
      </c>
      <c r="X327" s="16">
        <f t="shared" si="77"/>
        <v>0</v>
      </c>
      <c r="Y327" s="16">
        <f t="shared" si="72"/>
        <v>0.06</v>
      </c>
      <c r="Z327" s="14"/>
      <c r="AA327" s="16">
        <v>0</v>
      </c>
      <c r="AB327" s="16">
        <f t="shared" si="73"/>
        <v>0</v>
      </c>
      <c r="AC327" s="7">
        <f t="shared" si="78"/>
        <v>0</v>
      </c>
    </row>
    <row r="328" spans="2:30">
      <c r="B328" s="19">
        <v>46043</v>
      </c>
      <c r="C328" s="19"/>
      <c r="D328" s="13">
        <f t="shared" si="74"/>
        <v>1</v>
      </c>
      <c r="E328" s="16">
        <v>0</v>
      </c>
      <c r="F328" s="16">
        <v>0</v>
      </c>
      <c r="G328" s="7">
        <f t="shared" si="71"/>
        <v>150007.34340000004</v>
      </c>
      <c r="H328" s="14"/>
      <c r="I328" s="16">
        <v>0</v>
      </c>
      <c r="J328" s="16">
        <f t="shared" si="75"/>
        <v>41.1</v>
      </c>
      <c r="K328" s="16">
        <f t="shared" si="79"/>
        <v>885.88</v>
      </c>
      <c r="L328" s="14"/>
      <c r="M328" s="16">
        <f t="shared" si="67"/>
        <v>0</v>
      </c>
      <c r="N328" s="16">
        <f t="shared" si="67"/>
        <v>0</v>
      </c>
      <c r="O328" s="7">
        <f t="shared" si="76"/>
        <v>0</v>
      </c>
      <c r="P328" s="16">
        <v>0</v>
      </c>
      <c r="Q328" s="16">
        <v>0</v>
      </c>
      <c r="R328" s="7">
        <f t="shared" si="68"/>
        <v>0</v>
      </c>
      <c r="S328" s="16">
        <v>0</v>
      </c>
      <c r="T328" s="16">
        <v>0</v>
      </c>
      <c r="U328" s="7">
        <f t="shared" si="69"/>
        <v>0</v>
      </c>
      <c r="V328" s="14"/>
      <c r="W328" s="16">
        <v>0</v>
      </c>
      <c r="X328" s="16">
        <f t="shared" si="77"/>
        <v>0</v>
      </c>
      <c r="Y328" s="16">
        <f t="shared" si="72"/>
        <v>0.06</v>
      </c>
      <c r="Z328" s="14"/>
      <c r="AA328" s="16">
        <v>0</v>
      </c>
      <c r="AB328" s="16">
        <f t="shared" si="73"/>
        <v>0</v>
      </c>
      <c r="AC328" s="7">
        <f t="shared" si="78"/>
        <v>0</v>
      </c>
    </row>
    <row r="329" spans="2:30">
      <c r="B329" s="19">
        <v>46044</v>
      </c>
      <c r="C329" s="19"/>
      <c r="D329" s="13">
        <f t="shared" si="74"/>
        <v>1</v>
      </c>
      <c r="E329" s="16">
        <v>0</v>
      </c>
      <c r="F329" s="16">
        <v>0</v>
      </c>
      <c r="G329" s="7">
        <f t="shared" si="71"/>
        <v>150007.34340000004</v>
      </c>
      <c r="H329" s="14"/>
      <c r="I329" s="16">
        <v>0</v>
      </c>
      <c r="J329" s="16">
        <f t="shared" si="75"/>
        <v>41.1</v>
      </c>
      <c r="K329" s="16">
        <f t="shared" si="79"/>
        <v>926.98</v>
      </c>
      <c r="L329" s="14"/>
      <c r="M329" s="16">
        <f t="shared" si="67"/>
        <v>0</v>
      </c>
      <c r="N329" s="16">
        <f t="shared" si="67"/>
        <v>0</v>
      </c>
      <c r="O329" s="7">
        <f t="shared" si="76"/>
        <v>0</v>
      </c>
      <c r="P329" s="16">
        <v>0</v>
      </c>
      <c r="Q329" s="16">
        <v>0</v>
      </c>
      <c r="R329" s="7">
        <f t="shared" si="68"/>
        <v>0</v>
      </c>
      <c r="S329" s="16">
        <v>0</v>
      </c>
      <c r="T329" s="16">
        <v>0</v>
      </c>
      <c r="U329" s="7">
        <f t="shared" si="69"/>
        <v>0</v>
      </c>
      <c r="V329" s="14"/>
      <c r="W329" s="16">
        <v>0</v>
      </c>
      <c r="X329" s="16">
        <f t="shared" si="77"/>
        <v>0</v>
      </c>
      <c r="Y329" s="16">
        <f t="shared" si="72"/>
        <v>0.06</v>
      </c>
      <c r="Z329" s="14"/>
      <c r="AA329" s="16">
        <v>0</v>
      </c>
      <c r="AB329" s="16">
        <f t="shared" si="73"/>
        <v>0</v>
      </c>
      <c r="AC329" s="7">
        <f t="shared" si="78"/>
        <v>0</v>
      </c>
    </row>
    <row r="330" spans="2:30">
      <c r="B330" s="19">
        <v>46045</v>
      </c>
      <c r="C330" s="19"/>
      <c r="D330" s="13">
        <f t="shared" si="74"/>
        <v>1</v>
      </c>
      <c r="E330" s="16">
        <v>0</v>
      </c>
      <c r="F330" s="16">
        <v>0</v>
      </c>
      <c r="G330" s="7">
        <f t="shared" si="71"/>
        <v>150007.34340000004</v>
      </c>
      <c r="H330" s="14"/>
      <c r="I330" s="16">
        <v>0</v>
      </c>
      <c r="J330" s="16">
        <f t="shared" si="75"/>
        <v>41.1</v>
      </c>
      <c r="K330" s="16">
        <f t="shared" si="79"/>
        <v>968.08</v>
      </c>
      <c r="L330" s="14"/>
      <c r="M330" s="16">
        <f t="shared" si="67"/>
        <v>0</v>
      </c>
      <c r="N330" s="16">
        <f t="shared" si="67"/>
        <v>0</v>
      </c>
      <c r="O330" s="7">
        <f t="shared" si="76"/>
        <v>0</v>
      </c>
      <c r="P330" s="16">
        <v>0</v>
      </c>
      <c r="Q330" s="16">
        <v>0</v>
      </c>
      <c r="R330" s="7">
        <f t="shared" si="68"/>
        <v>0</v>
      </c>
      <c r="S330" s="16">
        <v>0</v>
      </c>
      <c r="T330" s="16">
        <v>0</v>
      </c>
      <c r="U330" s="7">
        <f t="shared" si="69"/>
        <v>0</v>
      </c>
      <c r="V330" s="14"/>
      <c r="W330" s="16">
        <v>0</v>
      </c>
      <c r="X330" s="16">
        <f t="shared" si="77"/>
        <v>0</v>
      </c>
      <c r="Y330" s="16">
        <f t="shared" si="72"/>
        <v>0.06</v>
      </c>
      <c r="Z330" s="14"/>
      <c r="AA330" s="16">
        <v>0</v>
      </c>
      <c r="AB330" s="16">
        <f t="shared" si="73"/>
        <v>0</v>
      </c>
      <c r="AC330" s="7">
        <f t="shared" si="78"/>
        <v>0</v>
      </c>
    </row>
    <row r="331" spans="2:30">
      <c r="B331" s="19">
        <v>46046</v>
      </c>
      <c r="C331" s="19"/>
      <c r="D331" s="13">
        <f t="shared" si="74"/>
        <v>1</v>
      </c>
      <c r="E331" s="16">
        <v>0</v>
      </c>
      <c r="F331" s="16">
        <v>0</v>
      </c>
      <c r="G331" s="7">
        <f t="shared" si="71"/>
        <v>150007.34340000004</v>
      </c>
      <c r="H331" s="14"/>
      <c r="I331" s="16">
        <v>0</v>
      </c>
      <c r="J331" s="16">
        <f t="shared" si="75"/>
        <v>41.1</v>
      </c>
      <c r="K331" s="16">
        <f t="shared" si="79"/>
        <v>1009.18</v>
      </c>
      <c r="L331" s="14"/>
      <c r="M331" s="16">
        <f t="shared" si="67"/>
        <v>0</v>
      </c>
      <c r="N331" s="16">
        <f t="shared" si="67"/>
        <v>0</v>
      </c>
      <c r="O331" s="7">
        <f t="shared" si="76"/>
        <v>0</v>
      </c>
      <c r="P331" s="16">
        <v>0</v>
      </c>
      <c r="Q331" s="16">
        <v>0</v>
      </c>
      <c r="R331" s="7">
        <f t="shared" si="68"/>
        <v>0</v>
      </c>
      <c r="S331" s="16">
        <v>0</v>
      </c>
      <c r="T331" s="16">
        <v>0</v>
      </c>
      <c r="U331" s="7">
        <f t="shared" si="69"/>
        <v>0</v>
      </c>
      <c r="V331" s="14"/>
      <c r="W331" s="16">
        <v>0</v>
      </c>
      <c r="X331" s="16">
        <f t="shared" si="77"/>
        <v>0</v>
      </c>
      <c r="Y331" s="16">
        <f t="shared" si="72"/>
        <v>0.06</v>
      </c>
      <c r="Z331" s="14"/>
      <c r="AA331" s="16">
        <v>0</v>
      </c>
      <c r="AB331" s="16">
        <f t="shared" si="73"/>
        <v>0</v>
      </c>
      <c r="AC331" s="7">
        <f t="shared" si="78"/>
        <v>0</v>
      </c>
    </row>
    <row r="332" spans="2:30">
      <c r="B332" s="19">
        <v>46047</v>
      </c>
      <c r="C332" s="19"/>
      <c r="D332" s="13">
        <f t="shared" si="74"/>
        <v>1</v>
      </c>
      <c r="E332" s="16">
        <v>0</v>
      </c>
      <c r="F332" s="16">
        <v>0</v>
      </c>
      <c r="G332" s="7">
        <f t="shared" si="71"/>
        <v>150007.34340000004</v>
      </c>
      <c r="H332" s="14"/>
      <c r="I332" s="16">
        <v>0</v>
      </c>
      <c r="J332" s="16">
        <f t="shared" si="75"/>
        <v>41.1</v>
      </c>
      <c r="K332" s="16">
        <f t="shared" si="79"/>
        <v>1050.28</v>
      </c>
      <c r="L332" s="14"/>
      <c r="M332" s="16">
        <f t="shared" si="67"/>
        <v>0</v>
      </c>
      <c r="N332" s="16">
        <f t="shared" si="67"/>
        <v>0</v>
      </c>
      <c r="O332" s="7">
        <f t="shared" si="76"/>
        <v>0</v>
      </c>
      <c r="P332" s="16">
        <v>0</v>
      </c>
      <c r="Q332" s="16">
        <v>0</v>
      </c>
      <c r="R332" s="7">
        <f t="shared" si="68"/>
        <v>0</v>
      </c>
      <c r="S332" s="16">
        <v>0</v>
      </c>
      <c r="T332" s="16">
        <v>0</v>
      </c>
      <c r="U332" s="7">
        <f t="shared" si="69"/>
        <v>0</v>
      </c>
      <c r="V332" s="14"/>
      <c r="W332" s="16">
        <v>0</v>
      </c>
      <c r="X332" s="16">
        <f t="shared" si="77"/>
        <v>0</v>
      </c>
      <c r="Y332" s="16">
        <f t="shared" si="72"/>
        <v>0.06</v>
      </c>
      <c r="Z332" s="14"/>
      <c r="AA332" s="16">
        <v>0</v>
      </c>
      <c r="AB332" s="16">
        <f t="shared" si="73"/>
        <v>0</v>
      </c>
      <c r="AC332" s="7">
        <f t="shared" si="78"/>
        <v>0</v>
      </c>
    </row>
    <row r="333" spans="2:30">
      <c r="B333" s="19">
        <v>46048</v>
      </c>
      <c r="C333" s="19"/>
      <c r="D333" s="13">
        <f t="shared" si="74"/>
        <v>1</v>
      </c>
      <c r="E333" s="16">
        <v>0</v>
      </c>
      <c r="F333" s="16">
        <v>0</v>
      </c>
      <c r="G333" s="7">
        <f t="shared" si="71"/>
        <v>150007.34340000004</v>
      </c>
      <c r="H333" s="14"/>
      <c r="I333" s="16">
        <v>0</v>
      </c>
      <c r="J333" s="16">
        <f t="shared" si="75"/>
        <v>41.1</v>
      </c>
      <c r="K333" s="16">
        <f t="shared" si="79"/>
        <v>1091.3800000000001</v>
      </c>
      <c r="L333" s="14"/>
      <c r="M333" s="16">
        <f t="shared" si="67"/>
        <v>0</v>
      </c>
      <c r="N333" s="16">
        <f t="shared" si="67"/>
        <v>0</v>
      </c>
      <c r="O333" s="7">
        <f t="shared" si="76"/>
        <v>0</v>
      </c>
      <c r="P333" s="16">
        <v>0</v>
      </c>
      <c r="Q333" s="16">
        <v>0</v>
      </c>
      <c r="R333" s="7">
        <f t="shared" si="68"/>
        <v>0</v>
      </c>
      <c r="S333" s="16">
        <v>0</v>
      </c>
      <c r="T333" s="16">
        <v>0</v>
      </c>
      <c r="U333" s="7">
        <f t="shared" si="69"/>
        <v>0</v>
      </c>
      <c r="V333" s="14"/>
      <c r="W333" s="16">
        <v>0</v>
      </c>
      <c r="X333" s="16">
        <f t="shared" si="77"/>
        <v>0</v>
      </c>
      <c r="Y333" s="16">
        <f t="shared" si="72"/>
        <v>0.06</v>
      </c>
      <c r="Z333" s="14"/>
      <c r="AA333" s="16">
        <v>0</v>
      </c>
      <c r="AB333" s="16">
        <f t="shared" si="73"/>
        <v>0</v>
      </c>
      <c r="AC333" s="7">
        <f t="shared" si="78"/>
        <v>0</v>
      </c>
    </row>
    <row r="334" spans="2:30">
      <c r="B334" s="19">
        <v>46049</v>
      </c>
      <c r="C334" s="19"/>
      <c r="D334" s="13">
        <f t="shared" si="74"/>
        <v>1</v>
      </c>
      <c r="E334" s="16">
        <v>0</v>
      </c>
      <c r="F334" s="16">
        <v>0</v>
      </c>
      <c r="G334" s="7">
        <f t="shared" si="71"/>
        <v>150007.34340000004</v>
      </c>
      <c r="H334" s="14"/>
      <c r="I334" s="16">
        <v>0</v>
      </c>
      <c r="J334" s="16">
        <f t="shared" si="75"/>
        <v>41.1</v>
      </c>
      <c r="K334" s="16">
        <f t="shared" si="79"/>
        <v>1132.48</v>
      </c>
      <c r="L334" s="14"/>
      <c r="M334" s="16">
        <f t="shared" si="67"/>
        <v>0</v>
      </c>
      <c r="N334" s="16">
        <f t="shared" si="67"/>
        <v>0</v>
      </c>
      <c r="O334" s="7">
        <f t="shared" si="76"/>
        <v>0</v>
      </c>
      <c r="P334" s="16">
        <v>0</v>
      </c>
      <c r="Q334" s="16">
        <v>0</v>
      </c>
      <c r="R334" s="7">
        <f t="shared" si="68"/>
        <v>0</v>
      </c>
      <c r="S334" s="16">
        <v>0</v>
      </c>
      <c r="T334" s="16">
        <v>0</v>
      </c>
      <c r="U334" s="7">
        <f t="shared" si="69"/>
        <v>0</v>
      </c>
      <c r="V334" s="14"/>
      <c r="W334" s="16">
        <v>0</v>
      </c>
      <c r="X334" s="16">
        <f t="shared" si="77"/>
        <v>0</v>
      </c>
      <c r="Y334" s="16">
        <f t="shared" si="72"/>
        <v>0.06</v>
      </c>
      <c r="Z334" s="14"/>
      <c r="AA334" s="16">
        <v>0</v>
      </c>
      <c r="AB334" s="16">
        <f t="shared" si="73"/>
        <v>0</v>
      </c>
      <c r="AC334" s="7">
        <f t="shared" si="78"/>
        <v>0</v>
      </c>
    </row>
    <row r="335" spans="2:30">
      <c r="B335" s="19">
        <v>46050</v>
      </c>
      <c r="C335" s="19"/>
      <c r="D335" s="13">
        <f t="shared" si="74"/>
        <v>1</v>
      </c>
      <c r="E335" s="16">
        <v>0</v>
      </c>
      <c r="F335" s="16">
        <v>0</v>
      </c>
      <c r="G335" s="7">
        <f t="shared" si="71"/>
        <v>150007.34340000004</v>
      </c>
      <c r="H335" s="14"/>
      <c r="I335" s="16">
        <v>0</v>
      </c>
      <c r="J335" s="16">
        <f t="shared" si="75"/>
        <v>41.1</v>
      </c>
      <c r="K335" s="16">
        <f t="shared" si="79"/>
        <v>1173.58</v>
      </c>
      <c r="L335" s="14"/>
      <c r="M335" s="16">
        <f t="shared" si="67"/>
        <v>0</v>
      </c>
      <c r="N335" s="16">
        <f t="shared" si="67"/>
        <v>0</v>
      </c>
      <c r="O335" s="7">
        <f t="shared" si="76"/>
        <v>0</v>
      </c>
      <c r="P335" s="16">
        <v>0</v>
      </c>
      <c r="Q335" s="16">
        <v>0</v>
      </c>
      <c r="R335" s="7">
        <f t="shared" si="68"/>
        <v>0</v>
      </c>
      <c r="S335" s="16">
        <v>0</v>
      </c>
      <c r="T335" s="16">
        <v>0</v>
      </c>
      <c r="U335" s="7">
        <f t="shared" si="69"/>
        <v>0</v>
      </c>
      <c r="V335" s="14"/>
      <c r="W335" s="16">
        <v>0</v>
      </c>
      <c r="X335" s="16">
        <f t="shared" si="77"/>
        <v>0</v>
      </c>
      <c r="Y335" s="16">
        <f t="shared" si="72"/>
        <v>0.06</v>
      </c>
      <c r="Z335" s="14"/>
      <c r="AA335" s="16">
        <v>0</v>
      </c>
      <c r="AB335" s="16">
        <f t="shared" si="73"/>
        <v>0</v>
      </c>
      <c r="AC335" s="7">
        <f t="shared" si="78"/>
        <v>0</v>
      </c>
    </row>
    <row r="336" spans="2:30">
      <c r="B336" s="19">
        <v>46051</v>
      </c>
      <c r="C336" s="19"/>
      <c r="D336" s="13">
        <f t="shared" si="74"/>
        <v>1</v>
      </c>
      <c r="E336" s="16">
        <v>0</v>
      </c>
      <c r="F336" s="16">
        <v>0</v>
      </c>
      <c r="G336" s="7">
        <f t="shared" si="71"/>
        <v>150007.34340000004</v>
      </c>
      <c r="H336" s="14"/>
      <c r="I336" s="16">
        <v>0</v>
      </c>
      <c r="J336" s="16">
        <f t="shared" si="75"/>
        <v>41.1</v>
      </c>
      <c r="K336" s="16">
        <f t="shared" si="79"/>
        <v>1214.68</v>
      </c>
      <c r="L336" s="14"/>
      <c r="M336" s="16">
        <f t="shared" si="67"/>
        <v>0</v>
      </c>
      <c r="N336" s="16">
        <f t="shared" si="67"/>
        <v>0</v>
      </c>
      <c r="O336" s="7">
        <f t="shared" si="76"/>
        <v>0</v>
      </c>
      <c r="P336" s="16">
        <v>0</v>
      </c>
      <c r="Q336" s="16">
        <v>0</v>
      </c>
      <c r="R336" s="7">
        <f t="shared" si="68"/>
        <v>0</v>
      </c>
      <c r="S336" s="16">
        <v>0</v>
      </c>
      <c r="T336" s="16">
        <v>0</v>
      </c>
      <c r="U336" s="7">
        <f t="shared" si="69"/>
        <v>0</v>
      </c>
      <c r="V336" s="14"/>
      <c r="W336" s="16">
        <v>0</v>
      </c>
      <c r="X336" s="16">
        <f t="shared" si="77"/>
        <v>0</v>
      </c>
      <c r="Y336" s="16">
        <f t="shared" si="72"/>
        <v>0.06</v>
      </c>
      <c r="Z336" s="14"/>
      <c r="AA336" s="16">
        <v>0</v>
      </c>
      <c r="AB336" s="16">
        <f t="shared" si="73"/>
        <v>0</v>
      </c>
      <c r="AC336" s="7">
        <f t="shared" si="78"/>
        <v>0</v>
      </c>
    </row>
    <row r="337" spans="2:30">
      <c r="B337" s="19">
        <v>46052</v>
      </c>
      <c r="C337" s="19"/>
      <c r="D337" s="13">
        <f t="shared" si="74"/>
        <v>1</v>
      </c>
      <c r="E337" s="16">
        <v>0</v>
      </c>
      <c r="F337" s="16">
        <v>0</v>
      </c>
      <c r="G337" s="7">
        <f t="shared" si="71"/>
        <v>150007.34340000004</v>
      </c>
      <c r="H337" s="14"/>
      <c r="I337" s="16">
        <v>0</v>
      </c>
      <c r="J337" s="16">
        <f t="shared" si="75"/>
        <v>41.1</v>
      </c>
      <c r="K337" s="16">
        <f t="shared" si="79"/>
        <v>1255.78</v>
      </c>
      <c r="L337" s="14"/>
      <c r="M337" s="16">
        <f t="shared" si="67"/>
        <v>0</v>
      </c>
      <c r="N337" s="16">
        <f t="shared" si="67"/>
        <v>0</v>
      </c>
      <c r="O337" s="7">
        <f t="shared" si="76"/>
        <v>0</v>
      </c>
      <c r="P337" s="16">
        <v>0</v>
      </c>
      <c r="Q337" s="16">
        <v>0</v>
      </c>
      <c r="R337" s="7">
        <f t="shared" si="68"/>
        <v>0</v>
      </c>
      <c r="S337" s="16">
        <v>0</v>
      </c>
      <c r="T337" s="16">
        <v>0</v>
      </c>
      <c r="U337" s="7">
        <f t="shared" si="69"/>
        <v>0</v>
      </c>
      <c r="V337" s="14"/>
      <c r="W337" s="16">
        <v>0</v>
      </c>
      <c r="X337" s="16">
        <f t="shared" si="77"/>
        <v>0</v>
      </c>
      <c r="Y337" s="16">
        <f t="shared" si="72"/>
        <v>0.06</v>
      </c>
      <c r="Z337" s="14"/>
      <c r="AA337" s="16">
        <v>0</v>
      </c>
      <c r="AB337" s="16">
        <f t="shared" si="73"/>
        <v>0</v>
      </c>
      <c r="AC337" s="7">
        <f t="shared" si="78"/>
        <v>0</v>
      </c>
    </row>
    <row r="338" spans="2:30" ht="136">
      <c r="B338" s="19">
        <v>46053</v>
      </c>
      <c r="C338" s="19"/>
      <c r="D338" s="13">
        <f t="shared" si="74"/>
        <v>1</v>
      </c>
      <c r="E338" s="16">
        <v>0</v>
      </c>
      <c r="F338" s="16">
        <v>0</v>
      </c>
      <c r="G338" s="7">
        <f>G337+F338-E338</f>
        <v>150007.34340000004</v>
      </c>
      <c r="H338" s="14"/>
      <c r="I338" s="21">
        <f>K337</f>
        <v>1255.78</v>
      </c>
      <c r="J338" s="16">
        <f>ROUND((G338-F338)*$B$3/$D$3*D338,2)</f>
        <v>41.1</v>
      </c>
      <c r="K338" s="16">
        <f t="shared" si="79"/>
        <v>41.1</v>
      </c>
      <c r="L338" s="14"/>
      <c r="M338" s="16">
        <f>P338+S338</f>
        <v>0</v>
      </c>
      <c r="N338" s="21">
        <f>Q338+T338</f>
        <v>1180.4895999999999</v>
      </c>
      <c r="O338" s="10">
        <f>O337+N338-M338</f>
        <v>1180.4895999999999</v>
      </c>
      <c r="P338" s="16">
        <v>0</v>
      </c>
      <c r="Q338" s="16">
        <v>0</v>
      </c>
      <c r="R338" s="7">
        <f t="shared" si="68"/>
        <v>0</v>
      </c>
      <c r="S338" s="16">
        <v>0</v>
      </c>
      <c r="T338" s="21">
        <f>(I338+W338)-AB338</f>
        <v>1180.4895999999999</v>
      </c>
      <c r="U338" s="7">
        <f t="shared" si="69"/>
        <v>1180.4895999999999</v>
      </c>
      <c r="V338" s="14"/>
      <c r="W338" s="21">
        <f>Y337</f>
        <v>0.06</v>
      </c>
      <c r="X338" s="16">
        <f>ROUND((O338-N338)*$M$3/$N$3*D338,2)</f>
        <v>0</v>
      </c>
      <c r="Y338" s="16">
        <f t="shared" si="72"/>
        <v>0</v>
      </c>
      <c r="Z338" s="14"/>
      <c r="AA338" s="16">
        <v>0</v>
      </c>
      <c r="AB338" s="22">
        <f t="shared" si="73"/>
        <v>75.350399999999993</v>
      </c>
      <c r="AC338" s="69">
        <f t="shared" si="78"/>
        <v>75.349999999999994</v>
      </c>
      <c r="AD338" s="23" t="s">
        <v>17</v>
      </c>
    </row>
    <row r="339" spans="2:30">
      <c r="B339" s="19">
        <v>46054</v>
      </c>
      <c r="C339" s="19"/>
      <c r="D339" s="13">
        <f t="shared" si="74"/>
        <v>1</v>
      </c>
      <c r="E339" s="16">
        <v>0</v>
      </c>
      <c r="F339" s="16">
        <v>0</v>
      </c>
      <c r="G339" s="7">
        <f t="shared" si="71"/>
        <v>150007.34340000004</v>
      </c>
      <c r="H339" s="14"/>
      <c r="I339" s="16">
        <v>0</v>
      </c>
      <c r="J339" s="16">
        <f t="shared" si="75"/>
        <v>41.1</v>
      </c>
      <c r="K339" s="16">
        <f t="shared" si="79"/>
        <v>82.2</v>
      </c>
      <c r="L339" s="14"/>
      <c r="M339" s="16">
        <f t="shared" si="67"/>
        <v>0</v>
      </c>
      <c r="N339" s="16">
        <f t="shared" si="67"/>
        <v>0</v>
      </c>
      <c r="O339" s="7">
        <f t="shared" si="76"/>
        <v>1180.4895999999999</v>
      </c>
      <c r="P339" s="16">
        <v>0</v>
      </c>
      <c r="Q339" s="16">
        <v>0</v>
      </c>
      <c r="R339" s="7">
        <f t="shared" si="68"/>
        <v>0</v>
      </c>
      <c r="S339" s="16">
        <v>0</v>
      </c>
      <c r="T339" s="16">
        <v>0</v>
      </c>
      <c r="U339" s="7">
        <f t="shared" si="69"/>
        <v>1180.4895999999999</v>
      </c>
      <c r="V339" s="14"/>
      <c r="W339" s="16">
        <v>0</v>
      </c>
      <c r="X339" s="16">
        <f t="shared" si="77"/>
        <v>0.03</v>
      </c>
      <c r="Y339" s="16">
        <f t="shared" si="72"/>
        <v>0.03</v>
      </c>
      <c r="Z339" s="14"/>
      <c r="AA339" s="16">
        <v>0</v>
      </c>
      <c r="AB339" s="16">
        <f t="shared" si="73"/>
        <v>0</v>
      </c>
      <c r="AC339" s="7">
        <f t="shared" si="78"/>
        <v>75.349999999999994</v>
      </c>
    </row>
    <row r="340" spans="2:30">
      <c r="B340" s="19">
        <v>46055</v>
      </c>
      <c r="C340" s="19"/>
      <c r="D340" s="13">
        <f t="shared" si="74"/>
        <v>1</v>
      </c>
      <c r="E340" s="16">
        <v>0</v>
      </c>
      <c r="F340" s="16">
        <v>0</v>
      </c>
      <c r="G340" s="7">
        <f t="shared" si="71"/>
        <v>150007.34340000004</v>
      </c>
      <c r="H340" s="14"/>
      <c r="I340" s="16">
        <v>0</v>
      </c>
      <c r="J340" s="16">
        <f t="shared" si="75"/>
        <v>41.1</v>
      </c>
      <c r="K340" s="16">
        <f t="shared" si="79"/>
        <v>123.3</v>
      </c>
      <c r="L340" s="14"/>
      <c r="M340" s="16">
        <f t="shared" si="67"/>
        <v>0</v>
      </c>
      <c r="N340" s="16">
        <f t="shared" si="67"/>
        <v>0</v>
      </c>
      <c r="O340" s="7">
        <f t="shared" si="76"/>
        <v>1180.4895999999999</v>
      </c>
      <c r="P340" s="16">
        <v>0</v>
      </c>
      <c r="Q340" s="16">
        <v>0</v>
      </c>
      <c r="R340" s="7">
        <f t="shared" si="68"/>
        <v>0</v>
      </c>
      <c r="S340" s="16">
        <v>0</v>
      </c>
      <c r="T340" s="16">
        <v>0</v>
      </c>
      <c r="U340" s="7">
        <f t="shared" si="69"/>
        <v>1180.4895999999999</v>
      </c>
      <c r="V340" s="14"/>
      <c r="W340" s="16">
        <v>0</v>
      </c>
      <c r="X340" s="16">
        <f t="shared" si="77"/>
        <v>0.03</v>
      </c>
      <c r="Y340" s="16">
        <f t="shared" si="72"/>
        <v>0.06</v>
      </c>
      <c r="Z340" s="14"/>
      <c r="AA340" s="16">
        <v>0</v>
      </c>
      <c r="AB340" s="16">
        <f t="shared" si="73"/>
        <v>0</v>
      </c>
      <c r="AC340" s="7">
        <f t="shared" si="78"/>
        <v>75.349999999999994</v>
      </c>
    </row>
    <row r="341" spans="2:30">
      <c r="B341" s="19">
        <v>46056</v>
      </c>
      <c r="C341" s="19"/>
      <c r="D341" s="13">
        <f t="shared" si="74"/>
        <v>1</v>
      </c>
      <c r="E341" s="16">
        <v>0</v>
      </c>
      <c r="F341" s="16">
        <v>0</v>
      </c>
      <c r="G341" s="7">
        <f t="shared" si="71"/>
        <v>150007.34340000004</v>
      </c>
      <c r="H341" s="14"/>
      <c r="I341" s="16">
        <v>0</v>
      </c>
      <c r="J341" s="16">
        <f t="shared" si="75"/>
        <v>41.1</v>
      </c>
      <c r="K341" s="16">
        <f t="shared" si="79"/>
        <v>164.4</v>
      </c>
      <c r="L341" s="14"/>
      <c r="M341" s="16">
        <f t="shared" si="67"/>
        <v>0</v>
      </c>
      <c r="N341" s="16">
        <f t="shared" si="67"/>
        <v>0</v>
      </c>
      <c r="O341" s="7">
        <f t="shared" si="76"/>
        <v>1180.4895999999999</v>
      </c>
      <c r="P341" s="16">
        <v>0</v>
      </c>
      <c r="Q341" s="16">
        <v>0</v>
      </c>
      <c r="R341" s="7">
        <f t="shared" si="68"/>
        <v>0</v>
      </c>
      <c r="S341" s="16">
        <v>0</v>
      </c>
      <c r="T341" s="16">
        <v>0</v>
      </c>
      <c r="U341" s="7">
        <f t="shared" si="69"/>
        <v>1180.4895999999999</v>
      </c>
      <c r="V341" s="14"/>
      <c r="W341" s="16">
        <v>0</v>
      </c>
      <c r="X341" s="16">
        <f t="shared" si="77"/>
        <v>0.03</v>
      </c>
      <c r="Y341" s="16">
        <f t="shared" si="72"/>
        <v>0.09</v>
      </c>
      <c r="Z341" s="14"/>
      <c r="AA341" s="16">
        <v>0</v>
      </c>
      <c r="AB341" s="16">
        <f t="shared" si="73"/>
        <v>0</v>
      </c>
      <c r="AC341" s="7">
        <f t="shared" si="78"/>
        <v>75.349999999999994</v>
      </c>
    </row>
    <row r="342" spans="2:30">
      <c r="B342" s="19">
        <v>46057</v>
      </c>
      <c r="C342" s="19"/>
      <c r="D342" s="13">
        <f t="shared" si="74"/>
        <v>1</v>
      </c>
      <c r="E342" s="16">
        <v>0</v>
      </c>
      <c r="F342" s="16">
        <v>0</v>
      </c>
      <c r="G342" s="7">
        <f t="shared" si="71"/>
        <v>150007.34340000004</v>
      </c>
      <c r="H342" s="14"/>
      <c r="I342" s="16">
        <v>0</v>
      </c>
      <c r="J342" s="16">
        <f t="shared" si="75"/>
        <v>41.1</v>
      </c>
      <c r="K342" s="16">
        <f t="shared" si="79"/>
        <v>205.5</v>
      </c>
      <c r="L342" s="14"/>
      <c r="M342" s="16">
        <f t="shared" si="67"/>
        <v>0</v>
      </c>
      <c r="N342" s="16">
        <f t="shared" si="67"/>
        <v>0</v>
      </c>
      <c r="O342" s="7">
        <f t="shared" si="76"/>
        <v>1180.4895999999999</v>
      </c>
      <c r="P342" s="16">
        <v>0</v>
      </c>
      <c r="Q342" s="16">
        <v>0</v>
      </c>
      <c r="R342" s="7">
        <f t="shared" si="68"/>
        <v>0</v>
      </c>
      <c r="S342" s="16">
        <v>0</v>
      </c>
      <c r="T342" s="16">
        <v>0</v>
      </c>
      <c r="U342" s="7">
        <f t="shared" si="69"/>
        <v>1180.4895999999999</v>
      </c>
      <c r="V342" s="14"/>
      <c r="W342" s="16">
        <v>0</v>
      </c>
      <c r="X342" s="16">
        <f t="shared" si="77"/>
        <v>0.03</v>
      </c>
      <c r="Y342" s="16">
        <f t="shared" si="72"/>
        <v>0.12</v>
      </c>
      <c r="Z342" s="14"/>
      <c r="AA342" s="16">
        <v>0</v>
      </c>
      <c r="AB342" s="16">
        <f t="shared" si="73"/>
        <v>0</v>
      </c>
      <c r="AC342" s="7">
        <f t="shared" si="78"/>
        <v>75.349999999999994</v>
      </c>
    </row>
    <row r="343" spans="2:30" ht="34">
      <c r="B343" s="19">
        <v>46058</v>
      </c>
      <c r="C343" s="19"/>
      <c r="D343" s="13">
        <f t="shared" si="74"/>
        <v>1</v>
      </c>
      <c r="E343" s="16">
        <v>0</v>
      </c>
      <c r="F343" s="14">
        <v>10000</v>
      </c>
      <c r="G343" s="7">
        <f t="shared" si="71"/>
        <v>160007.34340000004</v>
      </c>
      <c r="H343" s="14"/>
      <c r="I343" s="16">
        <v>0</v>
      </c>
      <c r="J343" s="16">
        <f t="shared" si="75"/>
        <v>41.1</v>
      </c>
      <c r="K343" s="16">
        <f t="shared" si="79"/>
        <v>246.6</v>
      </c>
      <c r="L343" s="14"/>
      <c r="M343" s="16">
        <f t="shared" si="67"/>
        <v>0</v>
      </c>
      <c r="N343" s="16">
        <f t="shared" si="67"/>
        <v>0</v>
      </c>
      <c r="O343" s="7">
        <f t="shared" si="76"/>
        <v>1180.4895999999999</v>
      </c>
      <c r="P343" s="16">
        <v>0</v>
      </c>
      <c r="Q343" s="16">
        <v>0</v>
      </c>
      <c r="R343" s="7">
        <f t="shared" si="68"/>
        <v>0</v>
      </c>
      <c r="S343" s="16">
        <v>0</v>
      </c>
      <c r="T343" s="16">
        <v>0</v>
      </c>
      <c r="U343" s="7">
        <f t="shared" si="69"/>
        <v>1180.4895999999999</v>
      </c>
      <c r="V343" s="14"/>
      <c r="W343" s="16">
        <v>0</v>
      </c>
      <c r="X343" s="16">
        <f t="shared" si="77"/>
        <v>0.03</v>
      </c>
      <c r="Y343" s="16">
        <f t="shared" si="72"/>
        <v>0.15</v>
      </c>
      <c r="Z343" s="14"/>
      <c r="AA343" s="16">
        <v>0</v>
      </c>
      <c r="AB343" s="16">
        <f t="shared" si="73"/>
        <v>0</v>
      </c>
      <c r="AC343" s="7">
        <f t="shared" si="78"/>
        <v>75.349999999999994</v>
      </c>
      <c r="AD343" s="65" t="s">
        <v>15</v>
      </c>
    </row>
    <row r="344" spans="2:30">
      <c r="B344" s="19">
        <v>46059</v>
      </c>
      <c r="C344" s="19"/>
      <c r="D344" s="13">
        <f t="shared" si="74"/>
        <v>1</v>
      </c>
      <c r="E344" s="16">
        <v>0</v>
      </c>
      <c r="F344" s="16">
        <v>0</v>
      </c>
      <c r="G344" s="7">
        <f t="shared" si="71"/>
        <v>160007.34340000004</v>
      </c>
      <c r="H344" s="14"/>
      <c r="I344" s="16">
        <v>0</v>
      </c>
      <c r="J344" s="16">
        <f t="shared" si="75"/>
        <v>43.84</v>
      </c>
      <c r="K344" s="16">
        <f t="shared" si="79"/>
        <v>290.44</v>
      </c>
      <c r="L344" s="14"/>
      <c r="M344" s="16">
        <f t="shared" si="67"/>
        <v>0</v>
      </c>
      <c r="N344" s="16">
        <f t="shared" si="67"/>
        <v>0</v>
      </c>
      <c r="O344" s="7">
        <f t="shared" si="76"/>
        <v>1180.4895999999999</v>
      </c>
      <c r="P344" s="16">
        <v>0</v>
      </c>
      <c r="Q344" s="16">
        <v>0</v>
      </c>
      <c r="R344" s="7">
        <f t="shared" si="68"/>
        <v>0</v>
      </c>
      <c r="S344" s="16">
        <v>0</v>
      </c>
      <c r="T344" s="16">
        <v>0</v>
      </c>
      <c r="U344" s="7">
        <f t="shared" si="69"/>
        <v>1180.4895999999999</v>
      </c>
      <c r="V344" s="14"/>
      <c r="W344" s="16">
        <v>0</v>
      </c>
      <c r="X344" s="16">
        <f t="shared" si="77"/>
        <v>0.03</v>
      </c>
      <c r="Y344" s="16">
        <f t="shared" si="72"/>
        <v>0.18</v>
      </c>
      <c r="Z344" s="14"/>
      <c r="AA344" s="16">
        <v>0</v>
      </c>
      <c r="AB344" s="16">
        <f t="shared" si="73"/>
        <v>0</v>
      </c>
      <c r="AC344" s="7">
        <f t="shared" si="78"/>
        <v>75.349999999999994</v>
      </c>
    </row>
    <row r="345" spans="2:30">
      <c r="B345" s="19">
        <v>46060</v>
      </c>
      <c r="C345" s="19"/>
      <c r="D345" s="13">
        <f t="shared" si="74"/>
        <v>1</v>
      </c>
      <c r="E345" s="16">
        <v>0</v>
      </c>
      <c r="F345" s="16">
        <v>0</v>
      </c>
      <c r="G345" s="7">
        <f t="shared" si="71"/>
        <v>160007.34340000004</v>
      </c>
      <c r="H345" s="14"/>
      <c r="I345" s="16">
        <v>0</v>
      </c>
      <c r="J345" s="16">
        <f t="shared" si="75"/>
        <v>43.84</v>
      </c>
      <c r="K345" s="16">
        <f t="shared" si="79"/>
        <v>334.28</v>
      </c>
      <c r="L345" s="14"/>
      <c r="M345" s="16">
        <f t="shared" si="67"/>
        <v>0</v>
      </c>
      <c r="N345" s="16">
        <f t="shared" si="67"/>
        <v>0</v>
      </c>
      <c r="O345" s="7">
        <f t="shared" si="76"/>
        <v>1180.4895999999999</v>
      </c>
      <c r="P345" s="16">
        <v>0</v>
      </c>
      <c r="Q345" s="16">
        <v>0</v>
      </c>
      <c r="R345" s="7">
        <f t="shared" si="68"/>
        <v>0</v>
      </c>
      <c r="S345" s="16">
        <v>0</v>
      </c>
      <c r="T345" s="16">
        <v>0</v>
      </c>
      <c r="U345" s="7">
        <f t="shared" si="69"/>
        <v>1180.4895999999999</v>
      </c>
      <c r="V345" s="14"/>
      <c r="W345" s="16">
        <v>0</v>
      </c>
      <c r="X345" s="16">
        <f t="shared" si="77"/>
        <v>0.03</v>
      </c>
      <c r="Y345" s="16">
        <f t="shared" si="72"/>
        <v>0.21</v>
      </c>
      <c r="Z345" s="14"/>
      <c r="AA345" s="16">
        <v>0</v>
      </c>
      <c r="AB345" s="16">
        <f t="shared" si="73"/>
        <v>0</v>
      </c>
      <c r="AC345" s="7">
        <f t="shared" si="78"/>
        <v>75.349999999999994</v>
      </c>
    </row>
    <row r="346" spans="2:30">
      <c r="B346" s="19">
        <v>46061</v>
      </c>
      <c r="C346" s="19"/>
      <c r="D346" s="13">
        <f t="shared" si="74"/>
        <v>1</v>
      </c>
      <c r="E346" s="16">
        <v>0</v>
      </c>
      <c r="F346" s="16">
        <v>0</v>
      </c>
      <c r="G346" s="7">
        <f t="shared" si="71"/>
        <v>160007.34340000004</v>
      </c>
      <c r="H346" s="14"/>
      <c r="I346" s="16">
        <v>0</v>
      </c>
      <c r="J346" s="16">
        <f t="shared" si="75"/>
        <v>43.84</v>
      </c>
      <c r="K346" s="16">
        <f t="shared" si="79"/>
        <v>378.12</v>
      </c>
      <c r="L346" s="14"/>
      <c r="M346" s="16">
        <f t="shared" si="67"/>
        <v>0</v>
      </c>
      <c r="N346" s="16">
        <f t="shared" si="67"/>
        <v>0</v>
      </c>
      <c r="O346" s="7">
        <f t="shared" si="76"/>
        <v>1180.4895999999999</v>
      </c>
      <c r="P346" s="16">
        <v>0</v>
      </c>
      <c r="Q346" s="16">
        <v>0</v>
      </c>
      <c r="R346" s="7">
        <f t="shared" si="68"/>
        <v>0</v>
      </c>
      <c r="S346" s="16">
        <v>0</v>
      </c>
      <c r="T346" s="16">
        <v>0</v>
      </c>
      <c r="U346" s="7">
        <f t="shared" si="69"/>
        <v>1180.4895999999999</v>
      </c>
      <c r="V346" s="14"/>
      <c r="W346" s="16">
        <v>0</v>
      </c>
      <c r="X346" s="16">
        <f t="shared" si="77"/>
        <v>0.03</v>
      </c>
      <c r="Y346" s="16">
        <f t="shared" si="72"/>
        <v>0.24</v>
      </c>
      <c r="Z346" s="14"/>
      <c r="AA346" s="16">
        <v>0</v>
      </c>
      <c r="AB346" s="16">
        <f t="shared" si="73"/>
        <v>0</v>
      </c>
      <c r="AC346" s="7">
        <f t="shared" si="78"/>
        <v>75.349999999999994</v>
      </c>
    </row>
    <row r="347" spans="2:30">
      <c r="B347" s="19">
        <v>46062</v>
      </c>
      <c r="C347" s="19"/>
      <c r="D347" s="13">
        <f t="shared" si="74"/>
        <v>1</v>
      </c>
      <c r="E347" s="16">
        <v>0</v>
      </c>
      <c r="F347" s="16">
        <v>0</v>
      </c>
      <c r="G347" s="7">
        <f t="shared" si="71"/>
        <v>160007.34340000004</v>
      </c>
      <c r="H347" s="14"/>
      <c r="I347" s="16">
        <v>0</v>
      </c>
      <c r="J347" s="16">
        <f t="shared" si="75"/>
        <v>43.84</v>
      </c>
      <c r="K347" s="16">
        <f t="shared" si="79"/>
        <v>421.96</v>
      </c>
      <c r="L347" s="14"/>
      <c r="M347" s="16">
        <f t="shared" si="67"/>
        <v>0</v>
      </c>
      <c r="N347" s="16">
        <f t="shared" si="67"/>
        <v>0</v>
      </c>
      <c r="O347" s="7">
        <f t="shared" si="76"/>
        <v>1180.4895999999999</v>
      </c>
      <c r="P347" s="16">
        <v>0</v>
      </c>
      <c r="Q347" s="16">
        <v>0</v>
      </c>
      <c r="R347" s="7">
        <f t="shared" si="68"/>
        <v>0</v>
      </c>
      <c r="S347" s="16">
        <v>0</v>
      </c>
      <c r="T347" s="16">
        <v>0</v>
      </c>
      <c r="U347" s="7">
        <f t="shared" si="69"/>
        <v>1180.4895999999999</v>
      </c>
      <c r="V347" s="14"/>
      <c r="W347" s="16">
        <v>0</v>
      </c>
      <c r="X347" s="16">
        <f t="shared" si="77"/>
        <v>0.03</v>
      </c>
      <c r="Y347" s="16">
        <f t="shared" si="72"/>
        <v>0.27</v>
      </c>
      <c r="Z347" s="14"/>
      <c r="AA347" s="16">
        <v>0</v>
      </c>
      <c r="AB347" s="16">
        <f t="shared" si="73"/>
        <v>0</v>
      </c>
      <c r="AC347" s="7">
        <f t="shared" si="78"/>
        <v>75.349999999999994</v>
      </c>
    </row>
    <row r="348" spans="2:30">
      <c r="B348" s="19">
        <v>46063</v>
      </c>
      <c r="C348" s="19"/>
      <c r="D348" s="13">
        <f t="shared" si="74"/>
        <v>1</v>
      </c>
      <c r="E348" s="16">
        <v>0</v>
      </c>
      <c r="F348" s="16">
        <v>0</v>
      </c>
      <c r="G348" s="7">
        <f t="shared" si="71"/>
        <v>160007.34340000004</v>
      </c>
      <c r="H348" s="14"/>
      <c r="I348" s="16">
        <v>0</v>
      </c>
      <c r="J348" s="16">
        <f t="shared" si="75"/>
        <v>43.84</v>
      </c>
      <c r="K348" s="16">
        <f t="shared" si="79"/>
        <v>465.8</v>
      </c>
      <c r="L348" s="14"/>
      <c r="M348" s="16">
        <f t="shared" si="67"/>
        <v>0</v>
      </c>
      <c r="N348" s="16">
        <f t="shared" si="67"/>
        <v>0</v>
      </c>
      <c r="O348" s="7">
        <f t="shared" si="76"/>
        <v>1180.4895999999999</v>
      </c>
      <c r="P348" s="16">
        <v>0</v>
      </c>
      <c r="Q348" s="16">
        <v>0</v>
      </c>
      <c r="R348" s="7">
        <f t="shared" si="68"/>
        <v>0</v>
      </c>
      <c r="S348" s="16">
        <v>0</v>
      </c>
      <c r="T348" s="16">
        <v>0</v>
      </c>
      <c r="U348" s="7">
        <f t="shared" si="69"/>
        <v>1180.4895999999999</v>
      </c>
      <c r="V348" s="14"/>
      <c r="W348" s="16">
        <v>0</v>
      </c>
      <c r="X348" s="16">
        <f t="shared" si="77"/>
        <v>0.03</v>
      </c>
      <c r="Y348" s="16">
        <f t="shared" si="72"/>
        <v>0.3</v>
      </c>
      <c r="Z348" s="14"/>
      <c r="AA348" s="16">
        <v>0</v>
      </c>
      <c r="AB348" s="16">
        <f t="shared" si="73"/>
        <v>0</v>
      </c>
      <c r="AC348" s="7">
        <f t="shared" si="78"/>
        <v>75.349999999999994</v>
      </c>
    </row>
    <row r="349" spans="2:30">
      <c r="B349" s="19">
        <v>46064</v>
      </c>
      <c r="C349" s="19"/>
      <c r="D349" s="13">
        <f t="shared" si="74"/>
        <v>1</v>
      </c>
      <c r="E349" s="16">
        <v>0</v>
      </c>
      <c r="F349" s="16">
        <v>0</v>
      </c>
      <c r="G349" s="7">
        <f t="shared" si="71"/>
        <v>160007.34340000004</v>
      </c>
      <c r="H349" s="14"/>
      <c r="I349" s="16">
        <v>0</v>
      </c>
      <c r="J349" s="16">
        <f t="shared" si="75"/>
        <v>43.84</v>
      </c>
      <c r="K349" s="16">
        <f t="shared" si="79"/>
        <v>509.64</v>
      </c>
      <c r="L349" s="14"/>
      <c r="M349" s="16">
        <f t="shared" si="67"/>
        <v>0</v>
      </c>
      <c r="N349" s="16">
        <f t="shared" si="67"/>
        <v>0</v>
      </c>
      <c r="O349" s="7">
        <f t="shared" si="76"/>
        <v>1180.4895999999999</v>
      </c>
      <c r="P349" s="16">
        <v>0</v>
      </c>
      <c r="Q349" s="16">
        <v>0</v>
      </c>
      <c r="R349" s="7">
        <f t="shared" si="68"/>
        <v>0</v>
      </c>
      <c r="S349" s="16">
        <v>0</v>
      </c>
      <c r="T349" s="16">
        <v>0</v>
      </c>
      <c r="U349" s="7">
        <f t="shared" si="69"/>
        <v>1180.4895999999999</v>
      </c>
      <c r="V349" s="14"/>
      <c r="W349" s="16">
        <v>0</v>
      </c>
      <c r="X349" s="16">
        <f t="shared" si="77"/>
        <v>0.03</v>
      </c>
      <c r="Y349" s="16">
        <f t="shared" si="72"/>
        <v>0.33</v>
      </c>
      <c r="Z349" s="14"/>
      <c r="AA349" s="16">
        <v>0</v>
      </c>
      <c r="AB349" s="16">
        <f t="shared" si="73"/>
        <v>0</v>
      </c>
      <c r="AC349" s="7">
        <f t="shared" si="78"/>
        <v>75.349999999999994</v>
      </c>
    </row>
    <row r="350" spans="2:30">
      <c r="B350" s="19">
        <v>46065</v>
      </c>
      <c r="C350" s="19"/>
      <c r="D350" s="13">
        <f t="shared" si="74"/>
        <v>1</v>
      </c>
      <c r="E350" s="16">
        <v>0</v>
      </c>
      <c r="F350" s="16">
        <v>0</v>
      </c>
      <c r="G350" s="7">
        <f t="shared" si="71"/>
        <v>160007.34340000004</v>
      </c>
      <c r="H350" s="14"/>
      <c r="I350" s="16">
        <v>0</v>
      </c>
      <c r="J350" s="16">
        <f t="shared" si="75"/>
        <v>43.84</v>
      </c>
      <c r="K350" s="16">
        <f t="shared" si="79"/>
        <v>553.48</v>
      </c>
      <c r="L350" s="14"/>
      <c r="M350" s="16">
        <f t="shared" si="67"/>
        <v>0</v>
      </c>
      <c r="N350" s="16">
        <f t="shared" si="67"/>
        <v>0</v>
      </c>
      <c r="O350" s="7">
        <f t="shared" si="76"/>
        <v>1180.4895999999999</v>
      </c>
      <c r="P350" s="16">
        <v>0</v>
      </c>
      <c r="Q350" s="16">
        <v>0</v>
      </c>
      <c r="R350" s="7">
        <f t="shared" si="68"/>
        <v>0</v>
      </c>
      <c r="S350" s="16">
        <v>0</v>
      </c>
      <c r="T350" s="16">
        <v>0</v>
      </c>
      <c r="U350" s="7">
        <f t="shared" si="69"/>
        <v>1180.4895999999999</v>
      </c>
      <c r="V350" s="14"/>
      <c r="W350" s="16">
        <v>0</v>
      </c>
      <c r="X350" s="16">
        <f t="shared" si="77"/>
        <v>0.03</v>
      </c>
      <c r="Y350" s="16">
        <f t="shared" si="72"/>
        <v>0.36</v>
      </c>
      <c r="Z350" s="14"/>
      <c r="AA350" s="16">
        <v>0</v>
      </c>
      <c r="AB350" s="16">
        <f t="shared" si="73"/>
        <v>0</v>
      </c>
      <c r="AC350" s="7">
        <f t="shared" si="78"/>
        <v>75.349999999999994</v>
      </c>
    </row>
    <row r="351" spans="2:30">
      <c r="B351" s="19">
        <v>46066</v>
      </c>
      <c r="C351" s="19"/>
      <c r="D351" s="13">
        <f t="shared" si="74"/>
        <v>1</v>
      </c>
      <c r="E351" s="16">
        <v>0</v>
      </c>
      <c r="F351" s="16">
        <v>0</v>
      </c>
      <c r="G351" s="7">
        <f t="shared" si="71"/>
        <v>160007.34340000004</v>
      </c>
      <c r="H351" s="14"/>
      <c r="I351" s="16">
        <v>0</v>
      </c>
      <c r="J351" s="16">
        <f t="shared" si="75"/>
        <v>43.84</v>
      </c>
      <c r="K351" s="16">
        <f t="shared" si="79"/>
        <v>597.32000000000005</v>
      </c>
      <c r="L351" s="14"/>
      <c r="M351" s="16">
        <f t="shared" si="67"/>
        <v>0</v>
      </c>
      <c r="N351" s="16">
        <f t="shared" si="67"/>
        <v>0</v>
      </c>
      <c r="O351" s="7">
        <f t="shared" si="76"/>
        <v>1180.4895999999999</v>
      </c>
      <c r="P351" s="16">
        <v>0</v>
      </c>
      <c r="Q351" s="16">
        <v>0</v>
      </c>
      <c r="R351" s="7">
        <f t="shared" si="68"/>
        <v>0</v>
      </c>
      <c r="S351" s="16">
        <v>0</v>
      </c>
      <c r="T351" s="16">
        <v>0</v>
      </c>
      <c r="U351" s="7">
        <f t="shared" si="69"/>
        <v>1180.4895999999999</v>
      </c>
      <c r="V351" s="14"/>
      <c r="W351" s="16">
        <v>0</v>
      </c>
      <c r="X351" s="16">
        <f t="shared" si="77"/>
        <v>0.03</v>
      </c>
      <c r="Y351" s="16">
        <f t="shared" si="72"/>
        <v>0.39</v>
      </c>
      <c r="Z351" s="14"/>
      <c r="AA351" s="16">
        <v>0</v>
      </c>
      <c r="AB351" s="16">
        <f t="shared" si="73"/>
        <v>0</v>
      </c>
      <c r="AC351" s="7">
        <f t="shared" si="78"/>
        <v>75.349999999999994</v>
      </c>
    </row>
    <row r="352" spans="2:30" ht="17">
      <c r="B352" s="19">
        <v>46067</v>
      </c>
      <c r="C352" s="19"/>
      <c r="D352" s="13">
        <f t="shared" si="74"/>
        <v>1</v>
      </c>
      <c r="E352" s="16">
        <v>0</v>
      </c>
      <c r="F352" s="16">
        <v>0</v>
      </c>
      <c r="G352" s="7">
        <f t="shared" si="71"/>
        <v>160007.34340000004</v>
      </c>
      <c r="H352" s="14"/>
      <c r="I352" s="16">
        <v>0</v>
      </c>
      <c r="J352" s="16">
        <f t="shared" si="75"/>
        <v>43.84</v>
      </c>
      <c r="K352" s="16">
        <f t="shared" si="79"/>
        <v>641.16</v>
      </c>
      <c r="L352" s="14"/>
      <c r="M352" s="16">
        <f t="shared" si="67"/>
        <v>0</v>
      </c>
      <c r="N352" s="16">
        <f t="shared" si="67"/>
        <v>0</v>
      </c>
      <c r="O352" s="7">
        <f t="shared" si="76"/>
        <v>1180.4895999999999</v>
      </c>
      <c r="P352" s="16">
        <v>0</v>
      </c>
      <c r="Q352" s="16">
        <v>0</v>
      </c>
      <c r="R352" s="7">
        <f t="shared" si="68"/>
        <v>0</v>
      </c>
      <c r="S352" s="16">
        <v>0</v>
      </c>
      <c r="T352" s="16">
        <v>0</v>
      </c>
      <c r="U352" s="7">
        <f t="shared" si="69"/>
        <v>1180.4895999999999</v>
      </c>
      <c r="V352" s="14"/>
      <c r="W352" s="16">
        <v>0</v>
      </c>
      <c r="X352" s="16">
        <f t="shared" si="77"/>
        <v>0.03</v>
      </c>
      <c r="Y352" s="16">
        <f t="shared" si="72"/>
        <v>0.42</v>
      </c>
      <c r="Z352" s="14"/>
      <c r="AA352" s="22">
        <f>AC351</f>
        <v>75.349999999999994</v>
      </c>
      <c r="AB352" s="16">
        <f t="shared" si="73"/>
        <v>0</v>
      </c>
      <c r="AC352" s="69">
        <f t="shared" si="78"/>
        <v>0</v>
      </c>
      <c r="AD352" s="71" t="s">
        <v>48</v>
      </c>
    </row>
    <row r="353" spans="2:30">
      <c r="B353" s="19">
        <v>46068</v>
      </c>
      <c r="C353" s="19"/>
      <c r="D353" s="13">
        <f t="shared" si="74"/>
        <v>1</v>
      </c>
      <c r="E353" s="16">
        <v>0</v>
      </c>
      <c r="F353" s="16">
        <v>0</v>
      </c>
      <c r="G353" s="7">
        <f t="shared" si="71"/>
        <v>160007.34340000004</v>
      </c>
      <c r="H353" s="14"/>
      <c r="I353" s="16">
        <v>0</v>
      </c>
      <c r="J353" s="16">
        <f t="shared" si="75"/>
        <v>43.84</v>
      </c>
      <c r="K353" s="16">
        <f t="shared" si="79"/>
        <v>685</v>
      </c>
      <c r="L353" s="14"/>
      <c r="M353" s="16">
        <f t="shared" si="67"/>
        <v>0</v>
      </c>
      <c r="N353" s="16">
        <f t="shared" si="67"/>
        <v>0</v>
      </c>
      <c r="O353" s="7">
        <f t="shared" si="76"/>
        <v>1180.4895999999999</v>
      </c>
      <c r="P353" s="16">
        <v>0</v>
      </c>
      <c r="Q353" s="16">
        <v>0</v>
      </c>
      <c r="R353" s="7">
        <f t="shared" si="68"/>
        <v>0</v>
      </c>
      <c r="S353" s="16">
        <v>0</v>
      </c>
      <c r="T353" s="16">
        <v>0</v>
      </c>
      <c r="U353" s="7">
        <f t="shared" si="69"/>
        <v>1180.4895999999999</v>
      </c>
      <c r="V353" s="14"/>
      <c r="W353" s="16">
        <v>0</v>
      </c>
      <c r="X353" s="16">
        <f t="shared" si="77"/>
        <v>0.03</v>
      </c>
      <c r="Y353" s="16">
        <f t="shared" si="72"/>
        <v>0.45</v>
      </c>
      <c r="Z353" s="14"/>
      <c r="AA353" s="16">
        <v>0</v>
      </c>
      <c r="AB353" s="16">
        <f t="shared" si="73"/>
        <v>0</v>
      </c>
      <c r="AC353" s="7">
        <f t="shared" si="78"/>
        <v>0</v>
      </c>
    </row>
    <row r="354" spans="2:30">
      <c r="B354" s="19">
        <v>46069</v>
      </c>
      <c r="C354" s="19"/>
      <c r="D354" s="13">
        <f t="shared" si="74"/>
        <v>1</v>
      </c>
      <c r="E354" s="16">
        <v>0</v>
      </c>
      <c r="F354" s="16">
        <v>0</v>
      </c>
      <c r="G354" s="7">
        <f t="shared" si="71"/>
        <v>160007.34340000004</v>
      </c>
      <c r="H354" s="14"/>
      <c r="I354" s="16">
        <v>0</v>
      </c>
      <c r="J354" s="16">
        <f t="shared" si="75"/>
        <v>43.84</v>
      </c>
      <c r="K354" s="16">
        <f t="shared" si="79"/>
        <v>728.84</v>
      </c>
      <c r="L354" s="14"/>
      <c r="M354" s="16">
        <f t="shared" si="67"/>
        <v>0</v>
      </c>
      <c r="N354" s="16">
        <f t="shared" si="67"/>
        <v>0</v>
      </c>
      <c r="O354" s="7">
        <f t="shared" si="76"/>
        <v>1180.4895999999999</v>
      </c>
      <c r="P354" s="16">
        <v>0</v>
      </c>
      <c r="Q354" s="16">
        <v>0</v>
      </c>
      <c r="R354" s="7">
        <f t="shared" si="68"/>
        <v>0</v>
      </c>
      <c r="S354" s="16">
        <v>0</v>
      </c>
      <c r="T354" s="16">
        <v>0</v>
      </c>
      <c r="U354" s="7">
        <f t="shared" si="69"/>
        <v>1180.4895999999999</v>
      </c>
      <c r="V354" s="14"/>
      <c r="W354" s="16">
        <v>0</v>
      </c>
      <c r="X354" s="16">
        <f t="shared" si="77"/>
        <v>0.03</v>
      </c>
      <c r="Y354" s="16">
        <f t="shared" si="72"/>
        <v>0.48</v>
      </c>
      <c r="Z354" s="14"/>
      <c r="AA354" s="16">
        <v>0</v>
      </c>
      <c r="AB354" s="16">
        <f t="shared" si="73"/>
        <v>0</v>
      </c>
      <c r="AC354" s="7">
        <f t="shared" si="78"/>
        <v>0</v>
      </c>
    </row>
    <row r="355" spans="2:30">
      <c r="B355" s="19">
        <v>46070</v>
      </c>
      <c r="C355" s="19"/>
      <c r="D355" s="13">
        <f t="shared" si="74"/>
        <v>1</v>
      </c>
      <c r="E355" s="16">
        <v>0</v>
      </c>
      <c r="F355" s="16">
        <v>0</v>
      </c>
      <c r="G355" s="7">
        <f t="shared" si="71"/>
        <v>160007.34340000004</v>
      </c>
      <c r="H355" s="14"/>
      <c r="I355" s="16">
        <v>0</v>
      </c>
      <c r="J355" s="16">
        <f t="shared" si="75"/>
        <v>43.84</v>
      </c>
      <c r="K355" s="16">
        <f t="shared" si="79"/>
        <v>772.68</v>
      </c>
      <c r="L355" s="14"/>
      <c r="M355" s="16">
        <f t="shared" si="67"/>
        <v>0</v>
      </c>
      <c r="N355" s="16">
        <f t="shared" si="67"/>
        <v>0</v>
      </c>
      <c r="O355" s="7">
        <f t="shared" si="76"/>
        <v>1180.4895999999999</v>
      </c>
      <c r="P355" s="16">
        <v>0</v>
      </c>
      <c r="Q355" s="16">
        <v>0</v>
      </c>
      <c r="R355" s="7">
        <f t="shared" si="68"/>
        <v>0</v>
      </c>
      <c r="S355" s="16">
        <v>0</v>
      </c>
      <c r="T355" s="16">
        <v>0</v>
      </c>
      <c r="U355" s="7">
        <f t="shared" si="69"/>
        <v>1180.4895999999999</v>
      </c>
      <c r="V355" s="14"/>
      <c r="W355" s="16">
        <v>0</v>
      </c>
      <c r="X355" s="16">
        <f t="shared" si="77"/>
        <v>0.03</v>
      </c>
      <c r="Y355" s="16">
        <f t="shared" si="72"/>
        <v>0.51</v>
      </c>
      <c r="Z355" s="14"/>
      <c r="AA355" s="16">
        <v>0</v>
      </c>
      <c r="AB355" s="16">
        <f t="shared" si="73"/>
        <v>0</v>
      </c>
      <c r="AC355" s="7">
        <f t="shared" si="78"/>
        <v>0</v>
      </c>
    </row>
    <row r="356" spans="2:30">
      <c r="B356" s="19">
        <v>46071</v>
      </c>
      <c r="C356" s="19"/>
      <c r="D356" s="13">
        <f t="shared" si="74"/>
        <v>1</v>
      </c>
      <c r="E356" s="16">
        <v>0</v>
      </c>
      <c r="F356" s="16">
        <v>0</v>
      </c>
      <c r="G356" s="7">
        <f t="shared" si="71"/>
        <v>160007.34340000004</v>
      </c>
      <c r="H356" s="14"/>
      <c r="I356" s="16">
        <v>0</v>
      </c>
      <c r="J356" s="16">
        <f t="shared" si="75"/>
        <v>43.84</v>
      </c>
      <c r="K356" s="16">
        <f t="shared" si="79"/>
        <v>816.52</v>
      </c>
      <c r="L356" s="14"/>
      <c r="M356" s="16">
        <f t="shared" si="67"/>
        <v>0</v>
      </c>
      <c r="N356" s="16">
        <f t="shared" si="67"/>
        <v>0</v>
      </c>
      <c r="O356" s="7">
        <f t="shared" si="76"/>
        <v>1180.4895999999999</v>
      </c>
      <c r="P356" s="16">
        <v>0</v>
      </c>
      <c r="Q356" s="16">
        <v>0</v>
      </c>
      <c r="R356" s="7">
        <f t="shared" si="68"/>
        <v>0</v>
      </c>
      <c r="S356" s="16">
        <v>0</v>
      </c>
      <c r="T356" s="16">
        <v>0</v>
      </c>
      <c r="U356" s="7">
        <f t="shared" si="69"/>
        <v>1180.4895999999999</v>
      </c>
      <c r="V356" s="14"/>
      <c r="W356" s="16">
        <v>0</v>
      </c>
      <c r="X356" s="16">
        <f t="shared" si="77"/>
        <v>0.03</v>
      </c>
      <c r="Y356" s="16">
        <f t="shared" si="72"/>
        <v>0.54</v>
      </c>
      <c r="Z356" s="14"/>
      <c r="AA356" s="16">
        <v>0</v>
      </c>
      <c r="AB356" s="16">
        <f t="shared" si="73"/>
        <v>0</v>
      </c>
      <c r="AC356" s="7">
        <f t="shared" si="78"/>
        <v>0</v>
      </c>
    </row>
    <row r="357" spans="2:30">
      <c r="B357" s="19">
        <v>46072</v>
      </c>
      <c r="C357" s="19"/>
      <c r="D357" s="13">
        <f t="shared" si="74"/>
        <v>1</v>
      </c>
      <c r="E357" s="16">
        <v>0</v>
      </c>
      <c r="F357" s="16">
        <v>0</v>
      </c>
      <c r="G357" s="7">
        <f t="shared" si="71"/>
        <v>160007.34340000004</v>
      </c>
      <c r="H357" s="14"/>
      <c r="I357" s="16">
        <v>0</v>
      </c>
      <c r="J357" s="16">
        <f t="shared" si="75"/>
        <v>43.84</v>
      </c>
      <c r="K357" s="16">
        <f t="shared" si="79"/>
        <v>860.36</v>
      </c>
      <c r="L357" s="14"/>
      <c r="M357" s="16">
        <f t="shared" si="67"/>
        <v>0</v>
      </c>
      <c r="N357" s="16">
        <f t="shared" si="67"/>
        <v>0</v>
      </c>
      <c r="O357" s="7">
        <f t="shared" si="76"/>
        <v>1180.4895999999999</v>
      </c>
      <c r="P357" s="16">
        <v>0</v>
      </c>
      <c r="Q357" s="16">
        <v>0</v>
      </c>
      <c r="R357" s="7">
        <f t="shared" si="68"/>
        <v>0</v>
      </c>
      <c r="S357" s="16">
        <v>0</v>
      </c>
      <c r="T357" s="16">
        <v>0</v>
      </c>
      <c r="U357" s="7">
        <f t="shared" si="69"/>
        <v>1180.4895999999999</v>
      </c>
      <c r="V357" s="14"/>
      <c r="W357" s="16">
        <v>0</v>
      </c>
      <c r="X357" s="16">
        <f t="shared" si="77"/>
        <v>0.03</v>
      </c>
      <c r="Y357" s="16">
        <f t="shared" si="72"/>
        <v>0.56999999999999995</v>
      </c>
      <c r="Z357" s="14"/>
      <c r="AA357" s="16">
        <v>0</v>
      </c>
      <c r="AB357" s="16">
        <f t="shared" si="73"/>
        <v>0</v>
      </c>
      <c r="AC357" s="7">
        <f t="shared" si="78"/>
        <v>0</v>
      </c>
    </row>
    <row r="358" spans="2:30">
      <c r="B358" s="19">
        <v>46073</v>
      </c>
      <c r="C358" s="19"/>
      <c r="D358" s="13">
        <f t="shared" si="74"/>
        <v>1</v>
      </c>
      <c r="E358" s="16">
        <v>0</v>
      </c>
      <c r="F358" s="16">
        <v>0</v>
      </c>
      <c r="G358" s="7">
        <f t="shared" si="71"/>
        <v>160007.34340000004</v>
      </c>
      <c r="H358" s="14"/>
      <c r="I358" s="16">
        <v>0</v>
      </c>
      <c r="J358" s="16">
        <f t="shared" si="75"/>
        <v>43.84</v>
      </c>
      <c r="K358" s="16">
        <f t="shared" si="79"/>
        <v>904.2</v>
      </c>
      <c r="L358" s="14"/>
      <c r="M358" s="16">
        <f t="shared" ref="M358:N369" si="80">P358+S358</f>
        <v>0</v>
      </c>
      <c r="N358" s="16">
        <f t="shared" si="80"/>
        <v>0</v>
      </c>
      <c r="O358" s="7">
        <f t="shared" si="76"/>
        <v>1180.4895999999999</v>
      </c>
      <c r="P358" s="16">
        <v>0</v>
      </c>
      <c r="Q358" s="16">
        <v>0</v>
      </c>
      <c r="R358" s="7">
        <f t="shared" si="68"/>
        <v>0</v>
      </c>
      <c r="S358" s="16">
        <v>0</v>
      </c>
      <c r="T358" s="16">
        <v>0</v>
      </c>
      <c r="U358" s="7">
        <f t="shared" si="69"/>
        <v>1180.4895999999999</v>
      </c>
      <c r="V358" s="14"/>
      <c r="W358" s="16">
        <v>0</v>
      </c>
      <c r="X358" s="16">
        <f t="shared" si="77"/>
        <v>0.03</v>
      </c>
      <c r="Y358" s="16">
        <f t="shared" si="72"/>
        <v>0.6</v>
      </c>
      <c r="Z358" s="14"/>
      <c r="AA358" s="16">
        <v>0</v>
      </c>
      <c r="AB358" s="16">
        <f t="shared" si="73"/>
        <v>0</v>
      </c>
      <c r="AC358" s="7">
        <f t="shared" si="78"/>
        <v>0</v>
      </c>
    </row>
    <row r="359" spans="2:30">
      <c r="B359" s="19">
        <v>46074</v>
      </c>
      <c r="C359" s="19"/>
      <c r="D359" s="13">
        <f t="shared" si="74"/>
        <v>1</v>
      </c>
      <c r="E359" s="16">
        <v>0</v>
      </c>
      <c r="F359" s="16">
        <v>0</v>
      </c>
      <c r="G359" s="7">
        <f t="shared" si="71"/>
        <v>160007.34340000004</v>
      </c>
      <c r="H359" s="14"/>
      <c r="I359" s="16">
        <v>0</v>
      </c>
      <c r="J359" s="16">
        <f t="shared" si="75"/>
        <v>43.84</v>
      </c>
      <c r="K359" s="16">
        <f t="shared" si="79"/>
        <v>948.04</v>
      </c>
      <c r="L359" s="14"/>
      <c r="M359" s="16">
        <f t="shared" si="80"/>
        <v>0</v>
      </c>
      <c r="N359" s="16">
        <f t="shared" si="80"/>
        <v>0</v>
      </c>
      <c r="O359" s="7">
        <f t="shared" si="76"/>
        <v>1180.4895999999999</v>
      </c>
      <c r="P359" s="16">
        <v>0</v>
      </c>
      <c r="Q359" s="16">
        <v>0</v>
      </c>
      <c r="R359" s="7">
        <f t="shared" ref="R359:R369" si="81">R358+Q359-P359</f>
        <v>0</v>
      </c>
      <c r="S359" s="16">
        <v>0</v>
      </c>
      <c r="T359" s="16">
        <v>0</v>
      </c>
      <c r="U359" s="7">
        <f t="shared" ref="U359:U368" si="82">U358+T359-S359</f>
        <v>1180.4895999999999</v>
      </c>
      <c r="V359" s="14"/>
      <c r="W359" s="16">
        <v>0</v>
      </c>
      <c r="X359" s="16">
        <f t="shared" si="77"/>
        <v>0.03</v>
      </c>
      <c r="Y359" s="16">
        <f t="shared" si="72"/>
        <v>0.63</v>
      </c>
      <c r="Z359" s="14"/>
      <c r="AA359" s="16">
        <v>0</v>
      </c>
      <c r="AB359" s="16">
        <f t="shared" si="73"/>
        <v>0</v>
      </c>
      <c r="AC359" s="7">
        <f t="shared" si="78"/>
        <v>0</v>
      </c>
    </row>
    <row r="360" spans="2:30">
      <c r="B360" s="19">
        <v>46075</v>
      </c>
      <c r="C360" s="19"/>
      <c r="D360" s="13">
        <f t="shared" si="74"/>
        <v>1</v>
      </c>
      <c r="E360" s="16">
        <v>0</v>
      </c>
      <c r="F360" s="16">
        <v>0</v>
      </c>
      <c r="G360" s="7">
        <f t="shared" si="71"/>
        <v>160007.34340000004</v>
      </c>
      <c r="H360" s="14"/>
      <c r="I360" s="16">
        <v>0</v>
      </c>
      <c r="J360" s="16">
        <f t="shared" si="75"/>
        <v>43.84</v>
      </c>
      <c r="K360" s="16">
        <f t="shared" si="79"/>
        <v>991.88</v>
      </c>
      <c r="L360" s="14"/>
      <c r="M360" s="16">
        <f t="shared" si="80"/>
        <v>0</v>
      </c>
      <c r="N360" s="16">
        <f t="shared" si="80"/>
        <v>0</v>
      </c>
      <c r="O360" s="7">
        <f t="shared" si="76"/>
        <v>1180.4895999999999</v>
      </c>
      <c r="P360" s="16">
        <v>0</v>
      </c>
      <c r="Q360" s="16">
        <v>0</v>
      </c>
      <c r="R360" s="7">
        <f t="shared" si="81"/>
        <v>0</v>
      </c>
      <c r="S360" s="16">
        <v>0</v>
      </c>
      <c r="T360" s="16">
        <v>0</v>
      </c>
      <c r="U360" s="7">
        <f t="shared" si="82"/>
        <v>1180.4895999999999</v>
      </c>
      <c r="V360" s="14"/>
      <c r="W360" s="16">
        <v>0</v>
      </c>
      <c r="X360" s="16">
        <f t="shared" si="77"/>
        <v>0.03</v>
      </c>
      <c r="Y360" s="16">
        <f t="shared" si="72"/>
        <v>0.66</v>
      </c>
      <c r="Z360" s="14"/>
      <c r="AA360" s="16">
        <v>0</v>
      </c>
      <c r="AB360" s="16">
        <f t="shared" si="73"/>
        <v>0</v>
      </c>
      <c r="AC360" s="7">
        <f t="shared" si="78"/>
        <v>0</v>
      </c>
    </row>
    <row r="361" spans="2:30">
      <c r="B361" s="19">
        <v>46076</v>
      </c>
      <c r="C361" s="19"/>
      <c r="D361" s="13">
        <f t="shared" si="74"/>
        <v>1</v>
      </c>
      <c r="E361" s="16">
        <v>0</v>
      </c>
      <c r="F361" s="16">
        <v>0</v>
      </c>
      <c r="G361" s="7">
        <f t="shared" si="71"/>
        <v>160007.34340000004</v>
      </c>
      <c r="H361" s="14"/>
      <c r="I361" s="16">
        <v>0</v>
      </c>
      <c r="J361" s="16">
        <f t="shared" si="75"/>
        <v>43.84</v>
      </c>
      <c r="K361" s="16">
        <f t="shared" si="79"/>
        <v>1035.72</v>
      </c>
      <c r="L361" s="14"/>
      <c r="M361" s="16">
        <f t="shared" si="80"/>
        <v>0</v>
      </c>
      <c r="N361" s="16">
        <f t="shared" si="80"/>
        <v>0</v>
      </c>
      <c r="O361" s="7">
        <f t="shared" si="76"/>
        <v>1180.4895999999999</v>
      </c>
      <c r="P361" s="16">
        <v>0</v>
      </c>
      <c r="Q361" s="16">
        <v>0</v>
      </c>
      <c r="R361" s="7">
        <f t="shared" si="81"/>
        <v>0</v>
      </c>
      <c r="S361" s="16">
        <v>0</v>
      </c>
      <c r="T361" s="16">
        <v>0</v>
      </c>
      <c r="U361" s="7">
        <f t="shared" si="82"/>
        <v>1180.4895999999999</v>
      </c>
      <c r="V361" s="14"/>
      <c r="W361" s="16">
        <v>0</v>
      </c>
      <c r="X361" s="16">
        <f t="shared" si="77"/>
        <v>0.03</v>
      </c>
      <c r="Y361" s="16">
        <f t="shared" si="72"/>
        <v>0.69</v>
      </c>
      <c r="Z361" s="14"/>
      <c r="AA361" s="16">
        <v>0</v>
      </c>
      <c r="AB361" s="16">
        <f t="shared" si="73"/>
        <v>0</v>
      </c>
      <c r="AC361" s="7">
        <f t="shared" si="78"/>
        <v>0</v>
      </c>
    </row>
    <row r="362" spans="2:30">
      <c r="B362" s="19">
        <v>46077</v>
      </c>
      <c r="C362" s="19"/>
      <c r="D362" s="13">
        <f t="shared" si="74"/>
        <v>1</v>
      </c>
      <c r="E362" s="16">
        <v>0</v>
      </c>
      <c r="F362" s="16">
        <v>0</v>
      </c>
      <c r="G362" s="7">
        <f t="shared" si="71"/>
        <v>160007.34340000004</v>
      </c>
      <c r="H362" s="14"/>
      <c r="I362" s="16">
        <v>0</v>
      </c>
      <c r="J362" s="16">
        <f t="shared" si="75"/>
        <v>43.84</v>
      </c>
      <c r="K362" s="16">
        <f t="shared" si="79"/>
        <v>1079.56</v>
      </c>
      <c r="L362" s="14"/>
      <c r="M362" s="16">
        <f t="shared" si="80"/>
        <v>0</v>
      </c>
      <c r="N362" s="16">
        <f t="shared" si="80"/>
        <v>0</v>
      </c>
      <c r="O362" s="7">
        <f t="shared" si="76"/>
        <v>1180.4895999999999</v>
      </c>
      <c r="P362" s="16">
        <v>0</v>
      </c>
      <c r="Q362" s="16">
        <v>0</v>
      </c>
      <c r="R362" s="7">
        <f t="shared" si="81"/>
        <v>0</v>
      </c>
      <c r="S362" s="16">
        <v>0</v>
      </c>
      <c r="T362" s="16">
        <v>0</v>
      </c>
      <c r="U362" s="7">
        <f t="shared" si="82"/>
        <v>1180.4895999999999</v>
      </c>
      <c r="V362" s="14"/>
      <c r="W362" s="16">
        <v>0</v>
      </c>
      <c r="X362" s="16">
        <f t="shared" si="77"/>
        <v>0.03</v>
      </c>
      <c r="Y362" s="16">
        <f t="shared" si="72"/>
        <v>0.72</v>
      </c>
      <c r="Z362" s="14"/>
      <c r="AA362" s="16">
        <v>0</v>
      </c>
      <c r="AB362" s="16">
        <f t="shared" si="73"/>
        <v>0</v>
      </c>
      <c r="AC362" s="7">
        <f t="shared" si="78"/>
        <v>0</v>
      </c>
    </row>
    <row r="363" spans="2:30">
      <c r="B363" s="19">
        <v>46078</v>
      </c>
      <c r="C363" s="19"/>
      <c r="D363" s="13">
        <f t="shared" si="74"/>
        <v>1</v>
      </c>
      <c r="E363" s="16">
        <v>0</v>
      </c>
      <c r="F363" s="16">
        <v>0</v>
      </c>
      <c r="G363" s="7">
        <f t="shared" si="71"/>
        <v>160007.34340000004</v>
      </c>
      <c r="H363" s="14"/>
      <c r="I363" s="16">
        <v>0</v>
      </c>
      <c r="J363" s="16">
        <f t="shared" si="75"/>
        <v>43.84</v>
      </c>
      <c r="K363" s="16">
        <f t="shared" si="79"/>
        <v>1123.4000000000001</v>
      </c>
      <c r="L363" s="14"/>
      <c r="M363" s="16">
        <f t="shared" si="80"/>
        <v>0</v>
      </c>
      <c r="N363" s="16">
        <f t="shared" si="80"/>
        <v>0</v>
      </c>
      <c r="O363" s="7">
        <f t="shared" si="76"/>
        <v>1180.4895999999999</v>
      </c>
      <c r="P363" s="16">
        <v>0</v>
      </c>
      <c r="Q363" s="16">
        <v>0</v>
      </c>
      <c r="R363" s="7">
        <f t="shared" si="81"/>
        <v>0</v>
      </c>
      <c r="S363" s="16">
        <v>0</v>
      </c>
      <c r="T363" s="16">
        <v>0</v>
      </c>
      <c r="U363" s="7">
        <f t="shared" si="82"/>
        <v>1180.4895999999999</v>
      </c>
      <c r="V363" s="14"/>
      <c r="W363" s="16">
        <v>0</v>
      </c>
      <c r="X363" s="16">
        <f t="shared" si="77"/>
        <v>0.03</v>
      </c>
      <c r="Y363" s="16">
        <f t="shared" si="72"/>
        <v>0.75</v>
      </c>
      <c r="Z363" s="14"/>
      <c r="AA363" s="16">
        <v>0</v>
      </c>
      <c r="AB363" s="16">
        <f t="shared" si="73"/>
        <v>0</v>
      </c>
      <c r="AC363" s="7">
        <f t="shared" si="78"/>
        <v>0</v>
      </c>
    </row>
    <row r="364" spans="2:30">
      <c r="B364" s="19">
        <v>46079</v>
      </c>
      <c r="C364" s="19"/>
      <c r="D364" s="13">
        <f t="shared" si="74"/>
        <v>1</v>
      </c>
      <c r="E364" s="16">
        <v>0</v>
      </c>
      <c r="F364" s="16">
        <v>0</v>
      </c>
      <c r="G364" s="7">
        <f t="shared" si="71"/>
        <v>160007.34340000004</v>
      </c>
      <c r="H364" s="14"/>
      <c r="I364" s="16">
        <v>0</v>
      </c>
      <c r="J364" s="16">
        <f t="shared" si="75"/>
        <v>43.84</v>
      </c>
      <c r="K364" s="16">
        <f t="shared" si="79"/>
        <v>1167.24</v>
      </c>
      <c r="L364" s="14"/>
      <c r="M364" s="16">
        <f t="shared" si="80"/>
        <v>0</v>
      </c>
      <c r="N364" s="16">
        <f t="shared" si="80"/>
        <v>0</v>
      </c>
      <c r="O364" s="7">
        <f t="shared" si="76"/>
        <v>1180.4895999999999</v>
      </c>
      <c r="P364" s="16">
        <v>0</v>
      </c>
      <c r="Q364" s="16">
        <v>0</v>
      </c>
      <c r="R364" s="7">
        <f t="shared" si="81"/>
        <v>0</v>
      </c>
      <c r="S364" s="16">
        <v>0</v>
      </c>
      <c r="T364" s="16">
        <v>0</v>
      </c>
      <c r="U364" s="7">
        <f t="shared" si="82"/>
        <v>1180.4895999999999</v>
      </c>
      <c r="V364" s="14"/>
      <c r="W364" s="16">
        <v>0</v>
      </c>
      <c r="X364" s="16">
        <f t="shared" si="77"/>
        <v>0.03</v>
      </c>
      <c r="Y364" s="16">
        <f t="shared" si="72"/>
        <v>0.78</v>
      </c>
      <c r="Z364" s="14"/>
      <c r="AA364" s="16">
        <v>0</v>
      </c>
      <c r="AB364" s="16">
        <f t="shared" si="73"/>
        <v>0</v>
      </c>
      <c r="AC364" s="7">
        <f t="shared" si="78"/>
        <v>0</v>
      </c>
    </row>
    <row r="365" spans="2:30">
      <c r="B365" s="19">
        <v>46080</v>
      </c>
      <c r="C365" s="19"/>
      <c r="D365" s="13">
        <f t="shared" si="74"/>
        <v>1</v>
      </c>
      <c r="E365" s="16">
        <v>0</v>
      </c>
      <c r="F365" s="16">
        <v>0</v>
      </c>
      <c r="G365" s="7">
        <f t="shared" si="71"/>
        <v>160007.34340000004</v>
      </c>
      <c r="H365" s="14"/>
      <c r="I365" s="16">
        <v>0</v>
      </c>
      <c r="J365" s="16">
        <f t="shared" si="75"/>
        <v>43.84</v>
      </c>
      <c r="K365" s="16">
        <f t="shared" si="79"/>
        <v>1211.08</v>
      </c>
      <c r="L365" s="14"/>
      <c r="M365" s="16">
        <f t="shared" si="80"/>
        <v>0</v>
      </c>
      <c r="N365" s="16">
        <f t="shared" si="80"/>
        <v>0</v>
      </c>
      <c r="O365" s="7">
        <f t="shared" si="76"/>
        <v>1180.4895999999999</v>
      </c>
      <c r="P365" s="16">
        <v>0</v>
      </c>
      <c r="Q365" s="16">
        <v>0</v>
      </c>
      <c r="R365" s="7">
        <f t="shared" si="81"/>
        <v>0</v>
      </c>
      <c r="S365" s="16">
        <v>0</v>
      </c>
      <c r="T365" s="16">
        <v>0</v>
      </c>
      <c r="U365" s="7">
        <f t="shared" si="82"/>
        <v>1180.4895999999999</v>
      </c>
      <c r="V365" s="14"/>
      <c r="W365" s="16">
        <v>0</v>
      </c>
      <c r="X365" s="16">
        <f t="shared" si="77"/>
        <v>0.03</v>
      </c>
      <c r="Y365" s="16">
        <f t="shared" si="72"/>
        <v>0.81</v>
      </c>
      <c r="Z365" s="14"/>
      <c r="AA365" s="16">
        <v>0</v>
      </c>
      <c r="AB365" s="16">
        <f t="shared" si="73"/>
        <v>0</v>
      </c>
      <c r="AC365" s="7">
        <f t="shared" si="78"/>
        <v>0</v>
      </c>
    </row>
    <row r="366" spans="2:30" ht="136">
      <c r="B366" s="19">
        <v>46081</v>
      </c>
      <c r="C366" s="19"/>
      <c r="D366" s="13">
        <f t="shared" si="74"/>
        <v>1</v>
      </c>
      <c r="E366" s="16">
        <v>0</v>
      </c>
      <c r="F366" s="16">
        <v>0</v>
      </c>
      <c r="G366" s="7">
        <f>G365+F366-E366</f>
        <v>160007.34340000004</v>
      </c>
      <c r="H366" s="14"/>
      <c r="I366" s="21">
        <f>K365</f>
        <v>1211.08</v>
      </c>
      <c r="J366" s="16">
        <f t="shared" si="75"/>
        <v>43.84</v>
      </c>
      <c r="K366" s="16">
        <f t="shared" si="79"/>
        <v>43.84</v>
      </c>
      <c r="L366" s="14"/>
      <c r="M366" s="16">
        <f>P366+S366</f>
        <v>0</v>
      </c>
      <c r="N366" s="21">
        <f>Q366+T366</f>
        <v>1139.1765999999998</v>
      </c>
      <c r="O366" s="10">
        <f>O365+N366-M366</f>
        <v>2319.6661999999997</v>
      </c>
      <c r="P366" s="16">
        <v>0</v>
      </c>
      <c r="Q366" s="16">
        <v>0</v>
      </c>
      <c r="R366" s="7">
        <f t="shared" si="81"/>
        <v>0</v>
      </c>
      <c r="S366" s="16">
        <v>0</v>
      </c>
      <c r="T366" s="21">
        <f>(I366+W366)-AB366</f>
        <v>1139.1765999999998</v>
      </c>
      <c r="U366" s="7">
        <f t="shared" si="82"/>
        <v>2319.6661999999997</v>
      </c>
      <c r="V366" s="14"/>
      <c r="W366" s="21">
        <f>Y365</f>
        <v>0.81</v>
      </c>
      <c r="X366" s="16">
        <f>ROUND((O366-N366)*$M$3/$N$3*D366,2)</f>
        <v>0.03</v>
      </c>
      <c r="Y366" s="16">
        <f t="shared" si="72"/>
        <v>0.03</v>
      </c>
      <c r="Z366" s="14"/>
      <c r="AA366" s="16">
        <v>0</v>
      </c>
      <c r="AB366" s="22">
        <f t="shared" si="73"/>
        <v>72.713399999999993</v>
      </c>
      <c r="AC366" s="69">
        <f t="shared" si="78"/>
        <v>72.709999999999994</v>
      </c>
      <c r="AD366" s="23" t="s">
        <v>17</v>
      </c>
    </row>
    <row r="367" spans="2:30">
      <c r="B367" s="19">
        <v>46082</v>
      </c>
      <c r="C367" s="19"/>
      <c r="D367" s="13">
        <f t="shared" si="74"/>
        <v>1</v>
      </c>
      <c r="E367" s="16">
        <v>0</v>
      </c>
      <c r="F367" s="16">
        <v>0</v>
      </c>
      <c r="G367" s="7">
        <f t="shared" si="71"/>
        <v>160007.34340000004</v>
      </c>
      <c r="H367" s="14"/>
      <c r="I367" s="16">
        <v>0</v>
      </c>
      <c r="J367" s="16">
        <f t="shared" si="75"/>
        <v>43.84</v>
      </c>
      <c r="K367" s="16">
        <f t="shared" si="79"/>
        <v>87.68</v>
      </c>
      <c r="L367" s="14"/>
      <c r="M367" s="16">
        <f t="shared" si="80"/>
        <v>0</v>
      </c>
      <c r="N367" s="16">
        <f t="shared" si="80"/>
        <v>0</v>
      </c>
      <c r="O367" s="7">
        <f t="shared" si="76"/>
        <v>2319.6661999999997</v>
      </c>
      <c r="P367" s="16">
        <v>0</v>
      </c>
      <c r="Q367" s="16">
        <v>0</v>
      </c>
      <c r="R367" s="7">
        <f t="shared" si="81"/>
        <v>0</v>
      </c>
      <c r="S367" s="16">
        <v>0</v>
      </c>
      <c r="T367" s="16">
        <v>0</v>
      </c>
      <c r="U367" s="7">
        <f t="shared" si="82"/>
        <v>2319.6661999999997</v>
      </c>
      <c r="V367" s="14"/>
      <c r="W367" s="16">
        <v>0</v>
      </c>
      <c r="X367" s="16">
        <f t="shared" si="77"/>
        <v>0.06</v>
      </c>
      <c r="Y367" s="16">
        <f t="shared" si="72"/>
        <v>0.09</v>
      </c>
      <c r="Z367" s="14"/>
      <c r="AA367" s="16">
        <v>0</v>
      </c>
      <c r="AB367" s="16">
        <f t="shared" si="73"/>
        <v>0</v>
      </c>
      <c r="AC367" s="7">
        <f t="shared" si="78"/>
        <v>72.709999999999994</v>
      </c>
    </row>
    <row r="368" spans="2:30">
      <c r="B368" s="19">
        <v>46083</v>
      </c>
      <c r="C368" s="19"/>
      <c r="D368" s="13">
        <f t="shared" si="74"/>
        <v>1</v>
      </c>
      <c r="E368" s="16">
        <v>0</v>
      </c>
      <c r="F368" s="16">
        <v>0</v>
      </c>
      <c r="G368" s="7">
        <f t="shared" si="71"/>
        <v>160007.34340000004</v>
      </c>
      <c r="H368" s="14"/>
      <c r="I368" s="16">
        <v>0</v>
      </c>
      <c r="J368" s="16">
        <f t="shared" si="75"/>
        <v>43.84</v>
      </c>
      <c r="K368" s="16">
        <f t="shared" si="79"/>
        <v>131.52000000000001</v>
      </c>
      <c r="L368" s="14"/>
      <c r="M368" s="16">
        <f t="shared" si="80"/>
        <v>0</v>
      </c>
      <c r="N368" s="16">
        <f t="shared" si="80"/>
        <v>0</v>
      </c>
      <c r="O368" s="7">
        <f t="shared" si="76"/>
        <v>2319.6661999999997</v>
      </c>
      <c r="P368" s="16">
        <v>0</v>
      </c>
      <c r="Q368" s="16">
        <v>0</v>
      </c>
      <c r="R368" s="7">
        <f t="shared" si="81"/>
        <v>0</v>
      </c>
      <c r="S368" s="16">
        <v>0</v>
      </c>
      <c r="T368" s="16">
        <v>0</v>
      </c>
      <c r="U368" s="7">
        <f t="shared" si="82"/>
        <v>2319.6661999999997</v>
      </c>
      <c r="V368" s="14"/>
      <c r="W368" s="16">
        <v>0</v>
      </c>
      <c r="X368" s="16">
        <f t="shared" si="77"/>
        <v>0.06</v>
      </c>
      <c r="Y368" s="16">
        <f t="shared" si="72"/>
        <v>0.15</v>
      </c>
      <c r="Z368" s="14"/>
      <c r="AA368" s="16">
        <v>0</v>
      </c>
      <c r="AB368" s="16">
        <f t="shared" si="73"/>
        <v>0</v>
      </c>
      <c r="AC368" s="7">
        <f t="shared" si="78"/>
        <v>72.709999999999994</v>
      </c>
    </row>
    <row r="369" spans="2:30">
      <c r="B369" s="19">
        <v>46084</v>
      </c>
      <c r="C369" s="19"/>
      <c r="D369" s="13">
        <f t="shared" si="74"/>
        <v>1</v>
      </c>
      <c r="E369" s="16">
        <v>0</v>
      </c>
      <c r="F369" s="16">
        <v>0</v>
      </c>
      <c r="G369" s="7">
        <f t="shared" si="71"/>
        <v>160007.34340000004</v>
      </c>
      <c r="H369" s="14"/>
      <c r="I369" s="16">
        <v>0</v>
      </c>
      <c r="J369" s="16">
        <f t="shared" si="75"/>
        <v>43.84</v>
      </c>
      <c r="K369" s="16">
        <f t="shared" si="79"/>
        <v>175.36</v>
      </c>
      <c r="L369" s="14"/>
      <c r="M369" s="16">
        <f>P369+S369</f>
        <v>0</v>
      </c>
      <c r="N369" s="16">
        <f t="shared" si="80"/>
        <v>0</v>
      </c>
      <c r="O369" s="7">
        <f t="shared" si="76"/>
        <v>2319.6661999999997</v>
      </c>
      <c r="P369" s="16">
        <v>0</v>
      </c>
      <c r="Q369" s="16">
        <v>0</v>
      </c>
      <c r="R369" s="7">
        <f t="shared" si="81"/>
        <v>0</v>
      </c>
      <c r="S369" s="16">
        <v>0</v>
      </c>
      <c r="T369" s="16">
        <v>0</v>
      </c>
      <c r="U369" s="7">
        <f>U368+T369-S369</f>
        <v>2319.6661999999997</v>
      </c>
      <c r="V369" s="14"/>
      <c r="W369" s="16">
        <v>0</v>
      </c>
      <c r="X369" s="16">
        <f t="shared" si="77"/>
        <v>0.06</v>
      </c>
      <c r="Y369" s="16">
        <f t="shared" si="72"/>
        <v>0.21</v>
      </c>
      <c r="Z369" s="14"/>
      <c r="AA369" s="16">
        <v>0</v>
      </c>
      <c r="AB369" s="16">
        <f t="shared" si="73"/>
        <v>0</v>
      </c>
      <c r="AC369" s="7">
        <f t="shared" si="78"/>
        <v>72.709999999999994</v>
      </c>
    </row>
    <row r="370" spans="2:30" s="54" customFormat="1" ht="120">
      <c r="B370" s="53">
        <v>46085</v>
      </c>
      <c r="C370" s="53"/>
      <c r="D370" s="54">
        <f t="shared" si="74"/>
        <v>1</v>
      </c>
      <c r="E370" s="52">
        <f>G369</f>
        <v>160007.34340000004</v>
      </c>
      <c r="F370" s="55">
        <v>0</v>
      </c>
      <c r="G370" s="55">
        <f>G369+F370-E370</f>
        <v>0</v>
      </c>
      <c r="H370" s="56"/>
      <c r="I370" s="57">
        <f>K369</f>
        <v>175.36</v>
      </c>
      <c r="J370" s="55">
        <f t="shared" si="75"/>
        <v>0</v>
      </c>
      <c r="K370" s="55">
        <f t="shared" si="79"/>
        <v>0</v>
      </c>
      <c r="L370" s="56"/>
      <c r="M370" s="16">
        <f>P370+S370</f>
        <v>162492.04340000005</v>
      </c>
      <c r="N370" s="52">
        <f>Q370+T370</f>
        <v>160172.37920000005</v>
      </c>
      <c r="O370" s="57">
        <f>O369+N370-M370</f>
        <v>2.0000000076834112E-3</v>
      </c>
      <c r="P370" s="64">
        <v>160007.34340000004</v>
      </c>
      <c r="Q370" s="52">
        <f>E370</f>
        <v>160007.34340000004</v>
      </c>
      <c r="R370" s="55">
        <f>R369+Q370-P370</f>
        <v>0</v>
      </c>
      <c r="S370" s="64">
        <f>2484.7</f>
        <v>2484.6999999999998</v>
      </c>
      <c r="T370" s="57">
        <f>(I370+W370)-AB370</f>
        <v>165.03580000000002</v>
      </c>
      <c r="U370" s="55">
        <f>U369+T370-S370</f>
        <v>1.9999999999527063E-3</v>
      </c>
      <c r="V370" s="56"/>
      <c r="W370" s="57">
        <f>Y369</f>
        <v>0.21</v>
      </c>
      <c r="X370" s="55">
        <v>0</v>
      </c>
      <c r="Y370" s="55">
        <f t="shared" si="72"/>
        <v>0</v>
      </c>
      <c r="Z370" s="56"/>
      <c r="AA370" s="22">
        <f>AC369+AB370</f>
        <v>83.244199999999992</v>
      </c>
      <c r="AB370" s="22">
        <f t="shared" si="73"/>
        <v>10.5342</v>
      </c>
      <c r="AC370" s="69">
        <f t="shared" si="78"/>
        <v>0</v>
      </c>
      <c r="AD370" s="58" t="s">
        <v>42</v>
      </c>
    </row>
    <row r="371" spans="2:30" s="27" customFormat="1">
      <c r="B371" s="26"/>
      <c r="C371" s="26"/>
      <c r="AB371" s="16">
        <f t="shared" si="73"/>
        <v>0</v>
      </c>
    </row>
    <row r="372" spans="2:30">
      <c r="AB372" s="16">
        <f t="shared" si="73"/>
        <v>0</v>
      </c>
    </row>
    <row r="373" spans="2:30" s="59" customFormat="1" ht="19">
      <c r="B373" s="59" t="s">
        <v>23</v>
      </c>
      <c r="D373" s="63">
        <f>SUM(D4:D369)</f>
        <v>365</v>
      </c>
      <c r="E373" s="61">
        <f>SUM(E4:E371)</f>
        <v>220007.34340000004</v>
      </c>
      <c r="F373" s="61">
        <f t="shared" ref="F373:X373" si="83">SUM(F4:F371)</f>
        <v>220007.34339999998</v>
      </c>
      <c r="G373" s="60" t="s">
        <v>43</v>
      </c>
      <c r="H373" s="60" t="s">
        <v>43</v>
      </c>
      <c r="I373" s="61">
        <f t="shared" si="83"/>
        <v>13278.960000000003</v>
      </c>
      <c r="J373" s="61">
        <f t="shared" si="83"/>
        <v>13278.960000000008</v>
      </c>
      <c r="K373" s="60" t="s">
        <v>43</v>
      </c>
      <c r="L373" s="60" t="s">
        <v>43</v>
      </c>
      <c r="M373" s="60">
        <f t="shared" si="83"/>
        <v>232499.38680000004</v>
      </c>
      <c r="N373" s="60">
        <f t="shared" si="83"/>
        <v>232499.38880000007</v>
      </c>
      <c r="O373" s="60" t="s">
        <v>43</v>
      </c>
      <c r="P373" s="60">
        <f t="shared" si="83"/>
        <v>220007.34340000004</v>
      </c>
      <c r="Q373" s="60">
        <f t="shared" si="83"/>
        <v>220007.34340000004</v>
      </c>
      <c r="R373" s="60" t="s">
        <v>43</v>
      </c>
      <c r="S373" s="61">
        <f t="shared" si="83"/>
        <v>12492.043399999999</v>
      </c>
      <c r="T373" s="61">
        <f t="shared" si="83"/>
        <v>12492.045399999997</v>
      </c>
      <c r="U373" s="60" t="s">
        <v>43</v>
      </c>
      <c r="V373" s="60" t="s">
        <v>43</v>
      </c>
      <c r="W373" s="62">
        <f t="shared" si="83"/>
        <v>10.450000000000001</v>
      </c>
      <c r="X373" s="62">
        <f t="shared" si="83"/>
        <v>10.449999999999992</v>
      </c>
      <c r="Y373" s="60" t="s">
        <v>43</v>
      </c>
      <c r="Z373" s="60"/>
      <c r="AA373" s="62">
        <f t="shared" ref="AA373:AB373" si="84">SUM(AA4:AA371)</f>
        <v>797.36419999999998</v>
      </c>
      <c r="AB373" s="62">
        <f t="shared" si="84"/>
        <v>797.36460000000011</v>
      </c>
      <c r="AC373" s="60"/>
    </row>
    <row r="376" spans="2:30">
      <c r="P376" s="72">
        <v>2411</v>
      </c>
      <c r="Q376" s="72"/>
      <c r="R376" s="73"/>
      <c r="S376" s="72">
        <v>2411</v>
      </c>
    </row>
  </sheetData>
  <mergeCells count="6">
    <mergeCell ref="W1:Y1"/>
    <mergeCell ref="E1:G1"/>
    <mergeCell ref="I1:K1"/>
    <mergeCell ref="M1:O1"/>
    <mergeCell ref="P1:R1"/>
    <mergeCell ref="S1:U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CE77F-7E17-41E7-9622-F57138E3B542}">
  <dimension ref="A1:M181"/>
  <sheetViews>
    <sheetView topLeftCell="A175" zoomScale="115" zoomScaleNormal="115" workbookViewId="0">
      <selection activeCell="B183" sqref="B183"/>
    </sheetView>
  </sheetViews>
  <sheetFormatPr baseColWidth="10" defaultColWidth="9.1640625" defaultRowHeight="15"/>
  <cols>
    <col min="1" max="1" width="10.6640625" style="86" bestFit="1" customWidth="1"/>
    <col min="2" max="2" width="4.6640625" style="86" customWidth="1"/>
    <col min="3" max="3" width="59.6640625" style="92" customWidth="1"/>
    <col min="4" max="4" width="2.6640625" style="92" customWidth="1"/>
    <col min="5" max="6" width="7.33203125" style="88" bestFit="1" customWidth="1"/>
    <col min="7" max="7" width="11" style="88" bestFit="1" customWidth="1"/>
    <col min="8" max="8" width="12.33203125" style="88" customWidth="1"/>
    <col min="9" max="9" width="11.5" style="89" bestFit="1" customWidth="1"/>
    <col min="10" max="10" width="21.33203125" style="90" customWidth="1"/>
    <col min="11" max="11" width="24.5" style="88" customWidth="1"/>
    <col min="12" max="12" width="91" style="91" customWidth="1"/>
    <col min="13" max="13" width="9.1640625" style="91"/>
    <col min="14" max="16384" width="9.1640625" style="92"/>
  </cols>
  <sheetData>
    <row r="1" spans="1:13" ht="16">
      <c r="C1" s="78" t="s">
        <v>49</v>
      </c>
      <c r="D1" s="87"/>
    </row>
    <row r="2" spans="1:13">
      <c r="C2" s="87"/>
      <c r="D2" s="87"/>
    </row>
    <row r="3" spans="1:13" s="85" customFormat="1" ht="48.75" customHeight="1">
      <c r="A3" s="81" t="s">
        <v>2</v>
      </c>
      <c r="B3" s="81" t="s">
        <v>50</v>
      </c>
      <c r="C3" s="81" t="s">
        <v>51</v>
      </c>
      <c r="D3" s="81"/>
      <c r="E3" s="82" t="s">
        <v>52</v>
      </c>
      <c r="F3" s="82" t="s">
        <v>53</v>
      </c>
      <c r="G3" s="82" t="s">
        <v>54</v>
      </c>
      <c r="H3" s="82" t="s">
        <v>55</v>
      </c>
      <c r="I3" s="83" t="s">
        <v>56</v>
      </c>
      <c r="J3" s="82" t="s">
        <v>58</v>
      </c>
      <c r="K3" s="82" t="s">
        <v>57</v>
      </c>
      <c r="L3" s="82" t="s">
        <v>59</v>
      </c>
      <c r="M3" s="84"/>
    </row>
    <row r="4" spans="1:13">
      <c r="A4" s="93"/>
      <c r="B4" s="93"/>
      <c r="C4" s="94"/>
      <c r="D4" s="94"/>
      <c r="E4" s="95"/>
      <c r="F4" s="95"/>
      <c r="G4" s="95"/>
      <c r="H4" s="95"/>
      <c r="I4" s="96"/>
      <c r="J4" s="97"/>
      <c r="K4" s="95"/>
    </row>
    <row r="5" spans="1:13" ht="57.75" customHeight="1">
      <c r="A5" s="98">
        <v>45716</v>
      </c>
      <c r="B5" s="93"/>
      <c r="C5" s="99" t="s">
        <v>60</v>
      </c>
      <c r="D5" s="99"/>
      <c r="E5" s="95" t="s">
        <v>43</v>
      </c>
      <c r="F5" s="95" t="s">
        <v>43</v>
      </c>
      <c r="G5" s="95">
        <v>9201</v>
      </c>
      <c r="H5" s="95" t="s">
        <v>43</v>
      </c>
      <c r="I5" s="96">
        <f>100000+12*10000</f>
        <v>220000</v>
      </c>
      <c r="J5" s="97" t="s">
        <v>62</v>
      </c>
      <c r="K5" s="97" t="s">
        <v>61</v>
      </c>
      <c r="L5" s="97" t="s">
        <v>63</v>
      </c>
    </row>
    <row r="6" spans="1:13" ht="48">
      <c r="A6" s="98">
        <v>45719</v>
      </c>
      <c r="B6" s="100"/>
      <c r="C6" s="99" t="s">
        <v>64</v>
      </c>
      <c r="D6" s="99"/>
      <c r="E6" s="101">
        <v>2411</v>
      </c>
      <c r="F6" s="101">
        <v>5131</v>
      </c>
      <c r="G6" s="95" t="s">
        <v>43</v>
      </c>
      <c r="H6" s="95">
        <v>9201</v>
      </c>
      <c r="I6" s="102">
        <v>100000</v>
      </c>
      <c r="J6" s="99"/>
      <c r="K6" s="97" t="s">
        <v>65</v>
      </c>
      <c r="L6" s="99" t="s">
        <v>66</v>
      </c>
    </row>
    <row r="7" spans="1:13" s="91" customFormat="1" ht="125.25" customHeight="1">
      <c r="A7" s="98" t="s">
        <v>67</v>
      </c>
      <c r="B7" s="100"/>
      <c r="C7" s="99" t="s">
        <v>45</v>
      </c>
      <c r="D7" s="99"/>
      <c r="E7" s="101">
        <v>7151</v>
      </c>
      <c r="F7" s="101">
        <v>51321</v>
      </c>
      <c r="G7" s="101" t="s">
        <v>43</v>
      </c>
      <c r="H7" s="95" t="s">
        <v>43</v>
      </c>
      <c r="I7" s="103">
        <v>739.8</v>
      </c>
      <c r="J7" s="104" t="s">
        <v>69</v>
      </c>
      <c r="K7" s="97" t="s">
        <v>68</v>
      </c>
      <c r="L7" s="105" t="s">
        <v>70</v>
      </c>
    </row>
    <row r="8" spans="1:13" s="91" customFormat="1" ht="128">
      <c r="A8" s="98" t="s">
        <v>67</v>
      </c>
      <c r="B8" s="100"/>
      <c r="C8" s="99" t="s">
        <v>71</v>
      </c>
      <c r="D8" s="99"/>
      <c r="E8" s="101">
        <v>7151</v>
      </c>
      <c r="F8" s="101">
        <v>51322</v>
      </c>
      <c r="G8" s="101" t="s">
        <v>43</v>
      </c>
      <c r="H8" s="95" t="s">
        <v>43</v>
      </c>
      <c r="I8" s="103">
        <f>0*1%/365*27</f>
        <v>0</v>
      </c>
      <c r="J8" s="104" t="s">
        <v>72</v>
      </c>
      <c r="K8" s="97" t="s">
        <v>68</v>
      </c>
      <c r="L8" s="105" t="s">
        <v>73</v>
      </c>
    </row>
    <row r="9" spans="1:13" s="91" customFormat="1" ht="64">
      <c r="A9" s="98">
        <v>45747</v>
      </c>
      <c r="B9" s="100"/>
      <c r="C9" s="99" t="s">
        <v>45</v>
      </c>
      <c r="D9" s="99"/>
      <c r="E9" s="101">
        <v>7151</v>
      </c>
      <c r="F9" s="101">
        <v>51321</v>
      </c>
      <c r="G9" s="101" t="s">
        <v>43</v>
      </c>
      <c r="H9" s="95" t="s">
        <v>43</v>
      </c>
      <c r="I9" s="103">
        <v>27.4</v>
      </c>
      <c r="J9" s="104" t="s">
        <v>74</v>
      </c>
      <c r="K9" s="97" t="s">
        <v>68</v>
      </c>
      <c r="L9" s="105" t="s">
        <v>75</v>
      </c>
    </row>
    <row r="10" spans="1:13" s="91" customFormat="1" ht="64">
      <c r="A10" s="98">
        <v>45747</v>
      </c>
      <c r="B10" s="100"/>
      <c r="C10" s="99" t="s">
        <v>71</v>
      </c>
      <c r="D10" s="99"/>
      <c r="E10" s="101">
        <v>7151</v>
      </c>
      <c r="F10" s="101">
        <v>51322</v>
      </c>
      <c r="G10" s="101" t="s">
        <v>43</v>
      </c>
      <c r="H10" s="95" t="s">
        <v>43</v>
      </c>
      <c r="I10" s="103">
        <f>0*1%/365*27</f>
        <v>0</v>
      </c>
      <c r="J10" s="104" t="s">
        <v>76</v>
      </c>
      <c r="K10" s="97" t="s">
        <v>68</v>
      </c>
      <c r="L10" s="105" t="s">
        <v>77</v>
      </c>
    </row>
    <row r="11" spans="1:13" s="91" customFormat="1" ht="130.5" customHeight="1">
      <c r="A11" s="98">
        <v>45747</v>
      </c>
      <c r="B11" s="100"/>
      <c r="C11" s="99" t="s">
        <v>47</v>
      </c>
      <c r="D11" s="99"/>
      <c r="E11" s="101">
        <v>51321</v>
      </c>
      <c r="F11" s="101" t="s">
        <v>78</v>
      </c>
      <c r="G11" s="95" t="s">
        <v>43</v>
      </c>
      <c r="H11" s="95" t="s">
        <v>43</v>
      </c>
      <c r="I11" s="106">
        <f>739.8*6%</f>
        <v>44.387999999999998</v>
      </c>
      <c r="J11" s="104" t="s">
        <v>79</v>
      </c>
      <c r="K11" s="97" t="s">
        <v>68</v>
      </c>
      <c r="L11" s="107" t="s">
        <v>285</v>
      </c>
    </row>
    <row r="12" spans="1:13" s="91" customFormat="1" ht="130">
      <c r="A12" s="98">
        <v>45747</v>
      </c>
      <c r="B12" s="100"/>
      <c r="C12" s="99" t="s">
        <v>80</v>
      </c>
      <c r="D12" s="99"/>
      <c r="E12" s="101">
        <v>51322</v>
      </c>
      <c r="F12" s="101" t="s">
        <v>78</v>
      </c>
      <c r="G12" s="95" t="s">
        <v>43</v>
      </c>
      <c r="H12" s="95" t="s">
        <v>43</v>
      </c>
      <c r="I12" s="108">
        <f>0*6%</f>
        <v>0</v>
      </c>
      <c r="J12" s="104" t="s">
        <v>81</v>
      </c>
      <c r="K12" s="97" t="s">
        <v>68</v>
      </c>
      <c r="L12" s="107" t="s">
        <v>286</v>
      </c>
    </row>
    <row r="13" spans="1:13" s="91" customFormat="1" ht="96">
      <c r="A13" s="98">
        <v>45747</v>
      </c>
      <c r="B13" s="100"/>
      <c r="C13" s="99" t="s">
        <v>82</v>
      </c>
      <c r="D13" s="99"/>
      <c r="E13" s="101">
        <v>51321</v>
      </c>
      <c r="F13" s="101">
        <v>51332</v>
      </c>
      <c r="G13" s="101" t="s">
        <v>43</v>
      </c>
      <c r="H13" s="95" t="s">
        <v>43</v>
      </c>
      <c r="I13" s="109">
        <v>695.41</v>
      </c>
      <c r="J13" s="104" t="s">
        <v>83</v>
      </c>
      <c r="K13" s="97" t="s">
        <v>68</v>
      </c>
      <c r="L13" s="110" t="s">
        <v>84</v>
      </c>
    </row>
    <row r="14" spans="1:13" s="91" customFormat="1" ht="96">
      <c r="A14" s="98">
        <v>45747</v>
      </c>
      <c r="B14" s="100"/>
      <c r="C14" s="99" t="s">
        <v>85</v>
      </c>
      <c r="D14" s="99"/>
      <c r="E14" s="101">
        <v>51322</v>
      </c>
      <c r="F14" s="101">
        <v>51332</v>
      </c>
      <c r="G14" s="101" t="s">
        <v>43</v>
      </c>
      <c r="H14" s="95" t="s">
        <v>43</v>
      </c>
      <c r="I14" s="111">
        <v>0</v>
      </c>
      <c r="J14" s="104"/>
      <c r="K14" s="97" t="s">
        <v>68</v>
      </c>
      <c r="L14" s="110" t="s">
        <v>86</v>
      </c>
    </row>
    <row r="15" spans="1:13" s="91" customFormat="1">
      <c r="A15" s="98"/>
      <c r="B15" s="98"/>
      <c r="C15" s="98"/>
      <c r="D15" s="98"/>
      <c r="E15" s="98"/>
      <c r="F15" s="98"/>
      <c r="G15" s="98"/>
      <c r="H15" s="98"/>
      <c r="I15" s="98"/>
      <c r="J15" s="98"/>
      <c r="K15" s="98"/>
      <c r="L15" s="98"/>
    </row>
    <row r="16" spans="1:13" s="91" customFormat="1" ht="112">
      <c r="A16" s="98" t="s">
        <v>87</v>
      </c>
      <c r="B16" s="100"/>
      <c r="C16" s="99" t="s">
        <v>45</v>
      </c>
      <c r="D16" s="99"/>
      <c r="E16" s="101">
        <v>7151</v>
      </c>
      <c r="F16" s="101">
        <v>51321</v>
      </c>
      <c r="G16" s="101" t="s">
        <v>43</v>
      </c>
      <c r="H16" s="95" t="s">
        <v>43</v>
      </c>
      <c r="I16" s="103">
        <f>100000*10%/365*5</f>
        <v>136.98630136986301</v>
      </c>
      <c r="J16" s="104" t="s">
        <v>88</v>
      </c>
      <c r="K16" s="97" t="s">
        <v>68</v>
      </c>
      <c r="L16" s="105" t="s">
        <v>89</v>
      </c>
    </row>
    <row r="17" spans="1:12" s="91" customFormat="1" ht="128">
      <c r="A17" s="98" t="s">
        <v>87</v>
      </c>
      <c r="B17" s="100"/>
      <c r="C17" s="99" t="s">
        <v>71</v>
      </c>
      <c r="D17" s="99"/>
      <c r="E17" s="101">
        <v>7151</v>
      </c>
      <c r="F17" s="101">
        <v>51322</v>
      </c>
      <c r="G17" s="101" t="s">
        <v>43</v>
      </c>
      <c r="H17" s="95" t="s">
        <v>43</v>
      </c>
      <c r="I17" s="103">
        <f>695.41*1%/365*5</f>
        <v>9.526164383561643E-2</v>
      </c>
      <c r="J17" s="104" t="s">
        <v>90</v>
      </c>
      <c r="K17" s="97" t="s">
        <v>68</v>
      </c>
      <c r="L17" s="105" t="s">
        <v>91</v>
      </c>
    </row>
    <row r="18" spans="1:12" ht="32">
      <c r="A18" s="98">
        <v>45752</v>
      </c>
      <c r="B18" s="100"/>
      <c r="C18" s="99" t="s">
        <v>92</v>
      </c>
      <c r="D18" s="99"/>
      <c r="E18" s="101">
        <v>2411</v>
      </c>
      <c r="F18" s="101">
        <v>5131</v>
      </c>
      <c r="G18" s="95" t="s">
        <v>43</v>
      </c>
      <c r="H18" s="95">
        <v>9201</v>
      </c>
      <c r="I18" s="102">
        <v>10000</v>
      </c>
      <c r="J18" s="99"/>
      <c r="K18" s="97" t="s">
        <v>65</v>
      </c>
      <c r="L18" s="112" t="s">
        <v>93</v>
      </c>
    </row>
    <row r="19" spans="1:12" s="91" customFormat="1" ht="64">
      <c r="A19" s="113">
        <v>45761</v>
      </c>
      <c r="B19" s="100"/>
      <c r="C19" s="99" t="s">
        <v>94</v>
      </c>
      <c r="D19" s="99"/>
      <c r="E19" s="101">
        <v>5343</v>
      </c>
      <c r="F19" s="101">
        <v>2421</v>
      </c>
      <c r="G19" s="95" t="s">
        <v>43</v>
      </c>
      <c r="H19" s="95" t="s">
        <v>43</v>
      </c>
      <c r="I19" s="106">
        <f>739.8*6%</f>
        <v>44.387999999999998</v>
      </c>
      <c r="J19" s="104"/>
      <c r="K19" s="97" t="s">
        <v>95</v>
      </c>
      <c r="L19" s="107" t="s">
        <v>96</v>
      </c>
    </row>
    <row r="20" spans="1:12" s="91" customFormat="1" ht="64">
      <c r="A20" s="98" t="s">
        <v>97</v>
      </c>
      <c r="B20" s="100"/>
      <c r="C20" s="99" t="s">
        <v>45</v>
      </c>
      <c r="D20" s="99"/>
      <c r="E20" s="101">
        <v>7151</v>
      </c>
      <c r="F20" s="101">
        <v>51321</v>
      </c>
      <c r="G20" s="101" t="s">
        <v>43</v>
      </c>
      <c r="H20" s="95" t="s">
        <v>43</v>
      </c>
      <c r="I20" s="103">
        <f>110000*10%/365*24</f>
        <v>723.28767123287673</v>
      </c>
      <c r="J20" s="104" t="s">
        <v>98</v>
      </c>
      <c r="K20" s="97" t="s">
        <v>68</v>
      </c>
      <c r="L20" s="105" t="s">
        <v>75</v>
      </c>
    </row>
    <row r="21" spans="1:12" s="91" customFormat="1" ht="64">
      <c r="A21" s="98" t="s">
        <v>97</v>
      </c>
      <c r="B21" s="100"/>
      <c r="C21" s="99" t="s">
        <v>71</v>
      </c>
      <c r="D21" s="99"/>
      <c r="E21" s="101">
        <v>7151</v>
      </c>
      <c r="F21" s="101">
        <v>51322</v>
      </c>
      <c r="G21" s="101" t="s">
        <v>43</v>
      </c>
      <c r="H21" s="95" t="s">
        <v>43</v>
      </c>
      <c r="I21" s="103">
        <f>695.41*1%/365*24</f>
        <v>0.45725589041095882</v>
      </c>
      <c r="J21" s="104" t="s">
        <v>99</v>
      </c>
      <c r="K21" s="97" t="s">
        <v>68</v>
      </c>
      <c r="L21" s="105" t="s">
        <v>77</v>
      </c>
    </row>
    <row r="22" spans="1:12" s="91" customFormat="1" ht="64">
      <c r="A22" s="98">
        <v>45777</v>
      </c>
      <c r="B22" s="100"/>
      <c r="C22" s="99" t="s">
        <v>45</v>
      </c>
      <c r="D22" s="99"/>
      <c r="E22" s="101">
        <v>7151</v>
      </c>
      <c r="F22" s="101">
        <v>51321</v>
      </c>
      <c r="G22" s="101" t="s">
        <v>43</v>
      </c>
      <c r="H22" s="95" t="s">
        <v>43</v>
      </c>
      <c r="I22" s="103">
        <v>27.4</v>
      </c>
      <c r="J22" s="104" t="s">
        <v>100</v>
      </c>
      <c r="K22" s="97" t="s">
        <v>68</v>
      </c>
      <c r="L22" s="105" t="s">
        <v>75</v>
      </c>
    </row>
    <row r="23" spans="1:12" s="91" customFormat="1" ht="64">
      <c r="A23" s="98">
        <v>45777</v>
      </c>
      <c r="B23" s="100"/>
      <c r="C23" s="99" t="s">
        <v>71</v>
      </c>
      <c r="D23" s="99"/>
      <c r="E23" s="101">
        <v>7151</v>
      </c>
      <c r="F23" s="101">
        <v>51322</v>
      </c>
      <c r="G23" s="101" t="s">
        <v>43</v>
      </c>
      <c r="H23" s="95" t="s">
        <v>43</v>
      </c>
      <c r="I23" s="103">
        <f>695.41*1%/365*1</f>
        <v>1.9052328767123285E-2</v>
      </c>
      <c r="J23" s="104" t="s">
        <v>101</v>
      </c>
      <c r="K23" s="97" t="s">
        <v>68</v>
      </c>
      <c r="L23" s="105" t="s">
        <v>77</v>
      </c>
    </row>
    <row r="24" spans="1:12" s="91" customFormat="1" ht="64">
      <c r="A24" s="98">
        <v>45777</v>
      </c>
      <c r="B24" s="100"/>
      <c r="C24" s="99" t="s">
        <v>47</v>
      </c>
      <c r="D24" s="99"/>
      <c r="E24" s="101">
        <v>51321</v>
      </c>
      <c r="F24" s="101" t="s">
        <v>78</v>
      </c>
      <c r="G24" s="95" t="s">
        <v>43</v>
      </c>
      <c r="H24" s="95" t="s">
        <v>43</v>
      </c>
      <c r="I24" s="106">
        <f>887.76*6%</f>
        <v>53.265599999999999</v>
      </c>
      <c r="J24" s="104" t="s">
        <v>102</v>
      </c>
      <c r="K24" s="97" t="s">
        <v>68</v>
      </c>
      <c r="L24" s="107" t="s">
        <v>103</v>
      </c>
    </row>
    <row r="25" spans="1:12" s="91" customFormat="1" ht="64">
      <c r="A25" s="98">
        <v>45777</v>
      </c>
      <c r="B25" s="100"/>
      <c r="C25" s="99" t="s">
        <v>80</v>
      </c>
      <c r="D25" s="99"/>
      <c r="E25" s="101">
        <v>51322</v>
      </c>
      <c r="F25" s="101" t="s">
        <v>78</v>
      </c>
      <c r="G25" s="95" t="s">
        <v>43</v>
      </c>
      <c r="H25" s="95" t="s">
        <v>43</v>
      </c>
      <c r="I25" s="108">
        <f>0.58*6%</f>
        <v>3.4799999999999998E-2</v>
      </c>
      <c r="J25" s="104" t="s">
        <v>104</v>
      </c>
      <c r="K25" s="97" t="s">
        <v>68</v>
      </c>
      <c r="L25" s="107" t="s">
        <v>105</v>
      </c>
    </row>
    <row r="26" spans="1:12" s="91" customFormat="1" ht="64">
      <c r="A26" s="98">
        <v>45777</v>
      </c>
      <c r="B26" s="100"/>
      <c r="C26" s="99" t="s">
        <v>82</v>
      </c>
      <c r="D26" s="99"/>
      <c r="E26" s="101">
        <v>51321</v>
      </c>
      <c r="F26" s="101">
        <v>51332</v>
      </c>
      <c r="G26" s="101" t="s">
        <v>43</v>
      </c>
      <c r="H26" s="95" t="s">
        <v>43</v>
      </c>
      <c r="I26" s="109">
        <f>887.76-53.27</f>
        <v>834.49</v>
      </c>
      <c r="J26" s="104" t="s">
        <v>106</v>
      </c>
      <c r="K26" s="97" t="s">
        <v>68</v>
      </c>
      <c r="L26" s="110" t="s">
        <v>107</v>
      </c>
    </row>
    <row r="27" spans="1:12" s="91" customFormat="1" ht="64">
      <c r="A27" s="98">
        <v>45777</v>
      </c>
      <c r="B27" s="100"/>
      <c r="C27" s="99" t="s">
        <v>85</v>
      </c>
      <c r="D27" s="99"/>
      <c r="E27" s="101">
        <v>51322</v>
      </c>
      <c r="F27" s="101">
        <v>51332</v>
      </c>
      <c r="G27" s="101" t="s">
        <v>43</v>
      </c>
      <c r="H27" s="95" t="s">
        <v>43</v>
      </c>
      <c r="I27" s="109">
        <f>0.58-0.03</f>
        <v>0.54999999999999993</v>
      </c>
      <c r="J27" s="104" t="s">
        <v>108</v>
      </c>
      <c r="K27" s="97" t="s">
        <v>68</v>
      </c>
      <c r="L27" s="110" t="s">
        <v>109</v>
      </c>
    </row>
    <row r="28" spans="1:12" ht="32">
      <c r="A28" s="98">
        <v>45782</v>
      </c>
      <c r="B28" s="100"/>
      <c r="C28" s="99" t="s">
        <v>92</v>
      </c>
      <c r="D28" s="99"/>
      <c r="E28" s="101">
        <v>2411</v>
      </c>
      <c r="F28" s="101">
        <v>5131</v>
      </c>
      <c r="G28" s="95" t="s">
        <v>43</v>
      </c>
      <c r="H28" s="95">
        <v>9201</v>
      </c>
      <c r="I28" s="102">
        <v>10000</v>
      </c>
      <c r="J28" s="99"/>
      <c r="K28" s="97" t="s">
        <v>65</v>
      </c>
      <c r="L28" s="112" t="s">
        <v>93</v>
      </c>
    </row>
    <row r="29" spans="1:12" s="91" customFormat="1" ht="64">
      <c r="A29" s="98" t="s">
        <v>110</v>
      </c>
      <c r="B29" s="100"/>
      <c r="C29" s="99" t="s">
        <v>45</v>
      </c>
      <c r="D29" s="99"/>
      <c r="E29" s="101">
        <v>7151</v>
      </c>
      <c r="F29" s="101">
        <v>51321</v>
      </c>
      <c r="G29" s="101" t="s">
        <v>43</v>
      </c>
      <c r="H29" s="95" t="s">
        <v>43</v>
      </c>
      <c r="I29" s="103">
        <f>110000*10%/365*5</f>
        <v>150.68493150684932</v>
      </c>
      <c r="J29" s="104" t="s">
        <v>111</v>
      </c>
      <c r="K29" s="97" t="s">
        <v>68</v>
      </c>
      <c r="L29" s="105" t="s">
        <v>75</v>
      </c>
    </row>
    <row r="30" spans="1:12" s="91" customFormat="1" ht="32">
      <c r="A30" s="98" t="s">
        <v>110</v>
      </c>
      <c r="B30" s="100"/>
      <c r="C30" s="99" t="s">
        <v>71</v>
      </c>
      <c r="D30" s="99"/>
      <c r="E30" s="101">
        <v>7151</v>
      </c>
      <c r="F30" s="101">
        <v>51322</v>
      </c>
      <c r="G30" s="101" t="s">
        <v>43</v>
      </c>
      <c r="H30" s="95" t="s">
        <v>43</v>
      </c>
      <c r="I30" s="103">
        <f>1530.45*1%/365*5</f>
        <v>0.20965068493150688</v>
      </c>
      <c r="J30" s="104" t="s">
        <v>112</v>
      </c>
      <c r="K30" s="97"/>
      <c r="L30" s="105" t="s">
        <v>77</v>
      </c>
    </row>
    <row r="31" spans="1:12" s="91" customFormat="1" ht="64">
      <c r="A31" s="113">
        <v>45791</v>
      </c>
      <c r="B31" s="100"/>
      <c r="C31" s="99" t="s">
        <v>94</v>
      </c>
      <c r="D31" s="99"/>
      <c r="E31" s="101">
        <v>5343</v>
      </c>
      <c r="F31" s="101">
        <v>2421</v>
      </c>
      <c r="G31" s="95" t="s">
        <v>43</v>
      </c>
      <c r="H31" s="95" t="s">
        <v>43</v>
      </c>
      <c r="I31" s="114">
        <v>53.3</v>
      </c>
      <c r="J31" s="104"/>
      <c r="K31" s="97" t="s">
        <v>95</v>
      </c>
      <c r="L31" s="107" t="s">
        <v>96</v>
      </c>
    </row>
    <row r="32" spans="1:12" s="91" customFormat="1" ht="64">
      <c r="A32" s="98" t="s">
        <v>113</v>
      </c>
      <c r="B32" s="100"/>
      <c r="C32" s="99" t="s">
        <v>45</v>
      </c>
      <c r="D32" s="99"/>
      <c r="E32" s="101">
        <v>7151</v>
      </c>
      <c r="F32" s="101">
        <v>51321</v>
      </c>
      <c r="G32" s="101" t="s">
        <v>43</v>
      </c>
      <c r="H32" s="95" t="s">
        <v>43</v>
      </c>
      <c r="I32" s="103">
        <f>120000*10%/365*25</f>
        <v>821.91780821917814</v>
      </c>
      <c r="J32" s="104" t="s">
        <v>114</v>
      </c>
      <c r="K32" s="97" t="s">
        <v>68</v>
      </c>
      <c r="L32" s="105" t="s">
        <v>75</v>
      </c>
    </row>
    <row r="33" spans="1:12" s="91" customFormat="1" ht="64">
      <c r="A33" s="98" t="s">
        <v>113</v>
      </c>
      <c r="B33" s="100"/>
      <c r="C33" s="99" t="s">
        <v>71</v>
      </c>
      <c r="D33" s="99"/>
      <c r="E33" s="101">
        <v>7151</v>
      </c>
      <c r="F33" s="101">
        <v>51322</v>
      </c>
      <c r="G33" s="101" t="s">
        <v>43</v>
      </c>
      <c r="H33" s="95" t="s">
        <v>43</v>
      </c>
      <c r="I33" s="103">
        <f>1530.45*1%/365*25</f>
        <v>1.0482534246575343</v>
      </c>
      <c r="J33" s="104" t="s">
        <v>115</v>
      </c>
      <c r="K33" s="97" t="s">
        <v>68</v>
      </c>
      <c r="L33" s="105" t="s">
        <v>77</v>
      </c>
    </row>
    <row r="34" spans="1:12" s="91" customFormat="1" ht="64">
      <c r="A34" s="98">
        <v>45808</v>
      </c>
      <c r="B34" s="100"/>
      <c r="C34" s="99" t="s">
        <v>45</v>
      </c>
      <c r="D34" s="99"/>
      <c r="E34" s="101">
        <v>7151</v>
      </c>
      <c r="F34" s="101">
        <v>51321</v>
      </c>
      <c r="G34" s="101" t="s">
        <v>43</v>
      </c>
      <c r="H34" s="95" t="s">
        <v>43</v>
      </c>
      <c r="I34" s="103">
        <f>120000*10%/365*1</f>
        <v>32.876712328767127</v>
      </c>
      <c r="J34" s="104" t="s">
        <v>116</v>
      </c>
      <c r="K34" s="97" t="s">
        <v>68</v>
      </c>
      <c r="L34" s="105" t="s">
        <v>75</v>
      </c>
    </row>
    <row r="35" spans="1:12" s="91" customFormat="1" ht="64">
      <c r="A35" s="98">
        <v>45808</v>
      </c>
      <c r="B35" s="100"/>
      <c r="C35" s="99" t="s">
        <v>71</v>
      </c>
      <c r="D35" s="99"/>
      <c r="E35" s="101">
        <v>7151</v>
      </c>
      <c r="F35" s="101">
        <v>51322</v>
      </c>
      <c r="G35" s="101" t="s">
        <v>43</v>
      </c>
      <c r="H35" s="95" t="s">
        <v>43</v>
      </c>
      <c r="I35" s="103">
        <f>1530.45*1%/365*1</f>
        <v>4.1930136986301374E-2</v>
      </c>
      <c r="J35" s="104" t="s">
        <v>117</v>
      </c>
      <c r="K35" s="97" t="s">
        <v>68</v>
      </c>
      <c r="L35" s="105" t="s">
        <v>77</v>
      </c>
    </row>
    <row r="36" spans="1:12" s="91" customFormat="1" ht="64">
      <c r="A36" s="98">
        <v>45808</v>
      </c>
      <c r="B36" s="100"/>
      <c r="C36" s="99" t="s">
        <v>47</v>
      </c>
      <c r="D36" s="99"/>
      <c r="E36" s="101">
        <v>51321</v>
      </c>
      <c r="F36" s="101" t="s">
        <v>78</v>
      </c>
      <c r="G36" s="95" t="s">
        <v>43</v>
      </c>
      <c r="H36" s="95" t="s">
        <v>43</v>
      </c>
      <c r="I36" s="106">
        <f>1002.84*6%</f>
        <v>60.170400000000001</v>
      </c>
      <c r="J36" s="104" t="s">
        <v>118</v>
      </c>
      <c r="K36" s="97" t="s">
        <v>68</v>
      </c>
      <c r="L36" s="107" t="s">
        <v>103</v>
      </c>
    </row>
    <row r="37" spans="1:12" s="91" customFormat="1" ht="64">
      <c r="A37" s="98">
        <v>45808</v>
      </c>
      <c r="B37" s="100"/>
      <c r="C37" s="99" t="s">
        <v>80</v>
      </c>
      <c r="D37" s="99"/>
      <c r="E37" s="101">
        <v>51322</v>
      </c>
      <c r="F37" s="101" t="s">
        <v>78</v>
      </c>
      <c r="G37" s="95" t="s">
        <v>43</v>
      </c>
      <c r="H37" s="95" t="s">
        <v>43</v>
      </c>
      <c r="I37" s="106">
        <f>1.22*6%</f>
        <v>7.3200000000000001E-2</v>
      </c>
      <c r="J37" s="104" t="s">
        <v>119</v>
      </c>
      <c r="K37" s="97" t="s">
        <v>68</v>
      </c>
      <c r="L37" s="107" t="s">
        <v>105</v>
      </c>
    </row>
    <row r="38" spans="1:12" s="91" customFormat="1" ht="64">
      <c r="A38" s="98">
        <v>45808</v>
      </c>
      <c r="B38" s="100"/>
      <c r="C38" s="99" t="s">
        <v>82</v>
      </c>
      <c r="D38" s="99"/>
      <c r="E38" s="101">
        <v>51321</v>
      </c>
      <c r="F38" s="101">
        <v>51332</v>
      </c>
      <c r="G38" s="101" t="s">
        <v>43</v>
      </c>
      <c r="H38" s="95" t="s">
        <v>43</v>
      </c>
      <c r="I38" s="109">
        <f>1002.84-60.17</f>
        <v>942.67000000000007</v>
      </c>
      <c r="J38" s="104" t="s">
        <v>106</v>
      </c>
      <c r="K38" s="97" t="s">
        <v>68</v>
      </c>
      <c r="L38" s="110" t="s">
        <v>107</v>
      </c>
    </row>
    <row r="39" spans="1:12" s="91" customFormat="1" ht="64">
      <c r="A39" s="98">
        <v>45808</v>
      </c>
      <c r="B39" s="100"/>
      <c r="C39" s="99" t="s">
        <v>85</v>
      </c>
      <c r="D39" s="99"/>
      <c r="E39" s="101">
        <v>51322</v>
      </c>
      <c r="F39" s="101">
        <v>51332</v>
      </c>
      <c r="G39" s="101" t="s">
        <v>43</v>
      </c>
      <c r="H39" s="95" t="s">
        <v>43</v>
      </c>
      <c r="I39" s="111">
        <f>1.22-0.07</f>
        <v>1.1499999999999999</v>
      </c>
      <c r="J39" s="104" t="s">
        <v>120</v>
      </c>
      <c r="K39" s="97" t="s">
        <v>68</v>
      </c>
      <c r="L39" s="110" t="s">
        <v>109</v>
      </c>
    </row>
    <row r="40" spans="1:12" s="91" customFormat="1" ht="64">
      <c r="A40" s="98" t="s">
        <v>121</v>
      </c>
      <c r="B40" s="100"/>
      <c r="C40" s="99" t="s">
        <v>45</v>
      </c>
      <c r="D40" s="99"/>
      <c r="E40" s="101">
        <v>7151</v>
      </c>
      <c r="F40" s="101">
        <v>51321</v>
      </c>
      <c r="G40" s="101" t="s">
        <v>43</v>
      </c>
      <c r="H40" s="95" t="s">
        <v>43</v>
      </c>
      <c r="I40" s="103">
        <f>120000*10%/365*5</f>
        <v>164.38356164383563</v>
      </c>
      <c r="J40" s="104" t="s">
        <v>122</v>
      </c>
      <c r="K40" s="97" t="s">
        <v>68</v>
      </c>
      <c r="L40" s="105" t="s">
        <v>75</v>
      </c>
    </row>
    <row r="41" spans="1:12" s="91" customFormat="1" ht="32">
      <c r="A41" s="98" t="s">
        <v>121</v>
      </c>
      <c r="B41" s="100"/>
      <c r="C41" s="99" t="s">
        <v>71</v>
      </c>
      <c r="D41" s="99"/>
      <c r="E41" s="101">
        <v>7151</v>
      </c>
      <c r="F41" s="101">
        <v>51322</v>
      </c>
      <c r="G41" s="101" t="s">
        <v>43</v>
      </c>
      <c r="H41" s="95" t="s">
        <v>43</v>
      </c>
      <c r="I41" s="103">
        <f>2474.27*1%/365*5</f>
        <v>0.33894109589041094</v>
      </c>
      <c r="J41" s="104" t="s">
        <v>123</v>
      </c>
      <c r="K41" s="97"/>
      <c r="L41" s="105" t="s">
        <v>77</v>
      </c>
    </row>
    <row r="42" spans="1:12" ht="32">
      <c r="A42" s="98">
        <v>45813</v>
      </c>
      <c r="B42" s="100"/>
      <c r="C42" s="99" t="s">
        <v>92</v>
      </c>
      <c r="D42" s="99"/>
      <c r="E42" s="101">
        <v>2411</v>
      </c>
      <c r="F42" s="101">
        <v>5131</v>
      </c>
      <c r="G42" s="95" t="s">
        <v>43</v>
      </c>
      <c r="H42" s="95">
        <v>9201</v>
      </c>
      <c r="I42" s="102">
        <v>10000</v>
      </c>
      <c r="J42" s="99"/>
      <c r="K42" s="97" t="s">
        <v>65</v>
      </c>
      <c r="L42" s="112" t="s">
        <v>93</v>
      </c>
    </row>
    <row r="43" spans="1:12" s="91" customFormat="1" ht="64">
      <c r="A43" s="113">
        <v>45822</v>
      </c>
      <c r="B43" s="100"/>
      <c r="C43" s="99" t="s">
        <v>94</v>
      </c>
      <c r="D43" s="99"/>
      <c r="E43" s="101">
        <v>5343</v>
      </c>
      <c r="F43" s="101">
        <v>2421</v>
      </c>
      <c r="G43" s="95" t="s">
        <v>43</v>
      </c>
      <c r="H43" s="95" t="s">
        <v>43</v>
      </c>
      <c r="I43" s="114">
        <v>60.24</v>
      </c>
      <c r="J43" s="104"/>
      <c r="K43" s="97" t="s">
        <v>95</v>
      </c>
      <c r="L43" s="107" t="s">
        <v>96</v>
      </c>
    </row>
    <row r="44" spans="1:12" s="91" customFormat="1" ht="32">
      <c r="A44" s="98" t="s">
        <v>124</v>
      </c>
      <c r="B44" s="100"/>
      <c r="C44" s="99" t="s">
        <v>45</v>
      </c>
      <c r="D44" s="99"/>
      <c r="E44" s="101">
        <v>7151</v>
      </c>
      <c r="F44" s="101">
        <v>51321</v>
      </c>
      <c r="G44" s="101" t="s">
        <v>43</v>
      </c>
      <c r="H44" s="95" t="s">
        <v>43</v>
      </c>
      <c r="I44" s="103">
        <f>130000*10%/365*24</f>
        <v>854.79452054794513</v>
      </c>
      <c r="J44" s="104" t="s">
        <v>125</v>
      </c>
      <c r="K44" s="97"/>
      <c r="L44" s="105" t="s">
        <v>75</v>
      </c>
    </row>
    <row r="45" spans="1:12" s="91" customFormat="1" ht="32">
      <c r="A45" s="98" t="s">
        <v>124</v>
      </c>
      <c r="B45" s="100"/>
      <c r="C45" s="99" t="s">
        <v>71</v>
      </c>
      <c r="D45" s="99"/>
      <c r="E45" s="101">
        <v>7151</v>
      </c>
      <c r="F45" s="101">
        <v>51322</v>
      </c>
      <c r="G45" s="101" t="s">
        <v>43</v>
      </c>
      <c r="H45" s="95" t="s">
        <v>43</v>
      </c>
      <c r="I45" s="103">
        <f>2474.27*1%/365*24</f>
        <v>1.6269172602739723</v>
      </c>
      <c r="J45" s="104" t="s">
        <v>126</v>
      </c>
      <c r="K45" s="97"/>
      <c r="L45" s="105" t="s">
        <v>77</v>
      </c>
    </row>
    <row r="46" spans="1:12" s="91" customFormat="1" ht="128">
      <c r="A46" s="98">
        <v>45838</v>
      </c>
      <c r="B46" s="100"/>
      <c r="C46" s="99" t="s">
        <v>127</v>
      </c>
      <c r="D46" s="99"/>
      <c r="E46" s="101">
        <v>5131</v>
      </c>
      <c r="F46" s="101">
        <v>51331</v>
      </c>
      <c r="G46" s="101" t="s">
        <v>43</v>
      </c>
      <c r="H46" s="95" t="s">
        <v>43</v>
      </c>
      <c r="I46" s="115">
        <v>20000</v>
      </c>
      <c r="J46" s="104"/>
      <c r="K46" s="97" t="s">
        <v>68</v>
      </c>
      <c r="L46" s="116" t="s">
        <v>128</v>
      </c>
    </row>
    <row r="47" spans="1:12" s="91" customFormat="1" ht="64">
      <c r="A47" s="98">
        <v>45838</v>
      </c>
      <c r="B47" s="100"/>
      <c r="C47" s="99" t="s">
        <v>45</v>
      </c>
      <c r="D47" s="99"/>
      <c r="E47" s="101">
        <v>7151</v>
      </c>
      <c r="F47" s="101">
        <v>51321</v>
      </c>
      <c r="G47" s="101" t="s">
        <v>43</v>
      </c>
      <c r="H47" s="95" t="s">
        <v>43</v>
      </c>
      <c r="I47" s="103">
        <f>110000*10%/365*1</f>
        <v>30.136986301369863</v>
      </c>
      <c r="J47" s="104" t="s">
        <v>129</v>
      </c>
      <c r="K47" s="97" t="s">
        <v>68</v>
      </c>
      <c r="L47" s="105" t="s">
        <v>75</v>
      </c>
    </row>
    <row r="48" spans="1:12" s="91" customFormat="1" ht="32">
      <c r="A48" s="98">
        <v>45838</v>
      </c>
      <c r="B48" s="100"/>
      <c r="C48" s="99" t="s">
        <v>71</v>
      </c>
      <c r="D48" s="99"/>
      <c r="E48" s="101">
        <v>7151</v>
      </c>
      <c r="F48" s="101">
        <v>51322</v>
      </c>
      <c r="G48" s="101" t="s">
        <v>43</v>
      </c>
      <c r="H48" s="95" t="s">
        <v>43</v>
      </c>
      <c r="I48" s="103">
        <f>2474.27*1%/365*1</f>
        <v>6.7788219178082185E-2</v>
      </c>
      <c r="J48" s="104" t="s">
        <v>130</v>
      </c>
      <c r="K48" s="97"/>
      <c r="L48" s="105" t="s">
        <v>77</v>
      </c>
    </row>
    <row r="49" spans="1:12" s="91" customFormat="1" ht="64">
      <c r="A49" s="98">
        <v>45838</v>
      </c>
      <c r="B49" s="100"/>
      <c r="C49" s="99" t="s">
        <v>47</v>
      </c>
      <c r="D49" s="99"/>
      <c r="E49" s="101">
        <v>51321</v>
      </c>
      <c r="F49" s="101" t="s">
        <v>78</v>
      </c>
      <c r="G49" s="95" t="s">
        <v>43</v>
      </c>
      <c r="H49" s="95" t="s">
        <v>43</v>
      </c>
      <c r="I49" s="106">
        <f>1052.16*6%</f>
        <v>63.129600000000003</v>
      </c>
      <c r="J49" s="104" t="s">
        <v>131</v>
      </c>
      <c r="K49" s="97" t="s">
        <v>68</v>
      </c>
      <c r="L49" s="107" t="s">
        <v>103</v>
      </c>
    </row>
    <row r="50" spans="1:12" s="91" customFormat="1" ht="64">
      <c r="A50" s="98">
        <v>45838</v>
      </c>
      <c r="B50" s="100"/>
      <c r="C50" s="99" t="s">
        <v>80</v>
      </c>
      <c r="D50" s="99"/>
      <c r="E50" s="101">
        <v>51322</v>
      </c>
      <c r="F50" s="101" t="s">
        <v>78</v>
      </c>
      <c r="G50" s="95" t="s">
        <v>43</v>
      </c>
      <c r="H50" s="95" t="s">
        <v>43</v>
      </c>
      <c r="I50" s="106">
        <f>2.07*6%</f>
        <v>0.12419999999999999</v>
      </c>
      <c r="J50" s="104" t="s">
        <v>132</v>
      </c>
      <c r="K50" s="97" t="s">
        <v>68</v>
      </c>
      <c r="L50" s="107" t="s">
        <v>105</v>
      </c>
    </row>
    <row r="51" spans="1:12" s="91" customFormat="1" ht="64">
      <c r="A51" s="98">
        <v>45838</v>
      </c>
      <c r="B51" s="100"/>
      <c r="C51" s="99" t="s">
        <v>82</v>
      </c>
      <c r="D51" s="99"/>
      <c r="E51" s="101">
        <v>51321</v>
      </c>
      <c r="F51" s="101">
        <v>51332</v>
      </c>
      <c r="G51" s="101" t="s">
        <v>43</v>
      </c>
      <c r="H51" s="95" t="s">
        <v>43</v>
      </c>
      <c r="I51" s="109">
        <f>1052.16-63.13</f>
        <v>989.03000000000009</v>
      </c>
      <c r="J51" s="104" t="s">
        <v>133</v>
      </c>
      <c r="K51" s="97" t="s">
        <v>68</v>
      </c>
      <c r="L51" s="110" t="s">
        <v>107</v>
      </c>
    </row>
    <row r="52" spans="1:12" s="91" customFormat="1" ht="64">
      <c r="A52" s="98">
        <v>45838</v>
      </c>
      <c r="B52" s="100"/>
      <c r="C52" s="99" t="s">
        <v>85</v>
      </c>
      <c r="D52" s="99"/>
      <c r="E52" s="101">
        <v>51322</v>
      </c>
      <c r="F52" s="101">
        <v>51332</v>
      </c>
      <c r="G52" s="101" t="s">
        <v>43</v>
      </c>
      <c r="H52" s="95" t="s">
        <v>43</v>
      </c>
      <c r="I52" s="111">
        <f>2.07-0.12</f>
        <v>1.9499999999999997</v>
      </c>
      <c r="J52" s="104" t="s">
        <v>120</v>
      </c>
      <c r="K52" s="97" t="s">
        <v>68</v>
      </c>
      <c r="L52" s="110" t="s">
        <v>109</v>
      </c>
    </row>
    <row r="53" spans="1:12" s="91" customFormat="1" ht="64">
      <c r="A53" s="98">
        <v>45839</v>
      </c>
      <c r="B53" s="100"/>
      <c r="C53" s="99" t="s">
        <v>134</v>
      </c>
      <c r="D53" s="99"/>
      <c r="E53" s="101">
        <v>51331</v>
      </c>
      <c r="F53" s="101">
        <v>2411</v>
      </c>
      <c r="G53" s="101" t="s">
        <v>43</v>
      </c>
      <c r="H53" s="95" t="s">
        <v>43</v>
      </c>
      <c r="I53" s="115">
        <v>20000</v>
      </c>
      <c r="J53" s="104"/>
      <c r="K53" s="97" t="s">
        <v>135</v>
      </c>
      <c r="L53" s="116" t="s">
        <v>136</v>
      </c>
    </row>
    <row r="54" spans="1:12" s="91" customFormat="1" ht="128">
      <c r="A54" s="98">
        <v>45839</v>
      </c>
      <c r="B54" s="100"/>
      <c r="C54" s="99" t="s">
        <v>137</v>
      </c>
      <c r="D54" s="99"/>
      <c r="E54" s="101">
        <v>51332</v>
      </c>
      <c r="F54" s="101">
        <v>5131</v>
      </c>
      <c r="G54" s="101" t="s">
        <v>43</v>
      </c>
      <c r="H54" s="95" t="s">
        <v>43</v>
      </c>
      <c r="I54" s="117">
        <v>3465.24</v>
      </c>
      <c r="J54" s="104"/>
      <c r="K54" s="97" t="s">
        <v>68</v>
      </c>
      <c r="L54" s="118" t="s">
        <v>138</v>
      </c>
    </row>
    <row r="55" spans="1:12" s="91" customFormat="1" ht="64">
      <c r="A55" s="98">
        <v>45839</v>
      </c>
      <c r="B55" s="100"/>
      <c r="C55" s="99" t="s">
        <v>45</v>
      </c>
      <c r="D55" s="99"/>
      <c r="E55" s="101">
        <v>7151</v>
      </c>
      <c r="F55" s="101">
        <v>51321</v>
      </c>
      <c r="G55" s="101" t="s">
        <v>43</v>
      </c>
      <c r="H55" s="95" t="s">
        <v>43</v>
      </c>
      <c r="I55" s="103">
        <f>110000*10%/365*1</f>
        <v>30.136986301369863</v>
      </c>
      <c r="J55" s="104" t="s">
        <v>129</v>
      </c>
      <c r="K55" s="97" t="s">
        <v>68</v>
      </c>
      <c r="L55" s="105" t="s">
        <v>75</v>
      </c>
    </row>
    <row r="56" spans="1:12" s="91" customFormat="1" ht="64">
      <c r="A56" s="98">
        <v>45839</v>
      </c>
      <c r="B56" s="100"/>
      <c r="C56" s="99" t="s">
        <v>71</v>
      </c>
      <c r="D56" s="99"/>
      <c r="E56" s="101">
        <v>7151</v>
      </c>
      <c r="F56" s="101">
        <v>51322</v>
      </c>
      <c r="G56" s="101" t="s">
        <v>43</v>
      </c>
      <c r="H56" s="95" t="s">
        <v>43</v>
      </c>
      <c r="I56" s="103">
        <f>0*1%/365*1</f>
        <v>0</v>
      </c>
      <c r="J56" s="104" t="s">
        <v>139</v>
      </c>
      <c r="K56" s="97" t="s">
        <v>68</v>
      </c>
      <c r="L56" s="105" t="s">
        <v>77</v>
      </c>
    </row>
    <row r="57" spans="1:12" s="91" customFormat="1" ht="64">
      <c r="A57" s="98" t="s">
        <v>140</v>
      </c>
      <c r="B57" s="100"/>
      <c r="C57" s="99" t="s">
        <v>45</v>
      </c>
      <c r="D57" s="99"/>
      <c r="E57" s="101">
        <v>7151</v>
      </c>
      <c r="F57" s="101">
        <v>51321</v>
      </c>
      <c r="G57" s="101" t="s">
        <v>43</v>
      </c>
      <c r="H57" s="95" t="s">
        <v>43</v>
      </c>
      <c r="I57" s="103">
        <f>113465.24*10%/365*4</f>
        <v>124.3454684931507</v>
      </c>
      <c r="J57" s="104" t="s">
        <v>141</v>
      </c>
      <c r="K57" s="97" t="s">
        <v>68</v>
      </c>
      <c r="L57" s="105" t="s">
        <v>75</v>
      </c>
    </row>
    <row r="58" spans="1:12" s="91" customFormat="1" ht="32">
      <c r="A58" s="98" t="s">
        <v>140</v>
      </c>
      <c r="B58" s="100"/>
      <c r="C58" s="99" t="s">
        <v>71</v>
      </c>
      <c r="D58" s="99"/>
      <c r="E58" s="101">
        <v>7151</v>
      </c>
      <c r="F58" s="101">
        <v>51322</v>
      </c>
      <c r="G58" s="101" t="s">
        <v>43</v>
      </c>
      <c r="H58" s="95" t="s">
        <v>43</v>
      </c>
      <c r="I58" s="103">
        <f>0*1%/365*4</f>
        <v>0</v>
      </c>
      <c r="J58" s="104" t="s">
        <v>142</v>
      </c>
      <c r="K58" s="97"/>
      <c r="L58" s="105" t="s">
        <v>77</v>
      </c>
    </row>
    <row r="59" spans="1:12" ht="32">
      <c r="A59" s="98">
        <v>45843</v>
      </c>
      <c r="B59" s="100"/>
      <c r="C59" s="99" t="s">
        <v>92</v>
      </c>
      <c r="D59" s="99"/>
      <c r="E59" s="101">
        <v>2411</v>
      </c>
      <c r="F59" s="101">
        <v>5131</v>
      </c>
      <c r="G59" s="95" t="s">
        <v>43</v>
      </c>
      <c r="H59" s="95">
        <v>9201</v>
      </c>
      <c r="I59" s="102">
        <v>10000</v>
      </c>
      <c r="J59" s="99"/>
      <c r="K59" s="97" t="s">
        <v>65</v>
      </c>
      <c r="L59" s="112" t="s">
        <v>93</v>
      </c>
    </row>
    <row r="60" spans="1:12" s="91" customFormat="1" ht="64">
      <c r="A60" s="113">
        <v>45852</v>
      </c>
      <c r="B60" s="100"/>
      <c r="C60" s="99" t="s">
        <v>94</v>
      </c>
      <c r="D60" s="99"/>
      <c r="E60" s="101">
        <v>5343</v>
      </c>
      <c r="F60" s="101">
        <v>2421</v>
      </c>
      <c r="G60" s="95" t="s">
        <v>43</v>
      </c>
      <c r="H60" s="95" t="s">
        <v>43</v>
      </c>
      <c r="I60" s="114">
        <v>63.25</v>
      </c>
      <c r="J60" s="104"/>
      <c r="K60" s="97" t="s">
        <v>95</v>
      </c>
      <c r="L60" s="107" t="s">
        <v>96</v>
      </c>
    </row>
    <row r="61" spans="1:12" s="91" customFormat="1" ht="64">
      <c r="A61" s="98" t="s">
        <v>143</v>
      </c>
      <c r="B61" s="100"/>
      <c r="C61" s="99" t="s">
        <v>45</v>
      </c>
      <c r="D61" s="99"/>
      <c r="E61" s="101">
        <v>7151</v>
      </c>
      <c r="F61" s="101">
        <v>51321</v>
      </c>
      <c r="G61" s="101" t="s">
        <v>43</v>
      </c>
      <c r="H61" s="95" t="s">
        <v>43</v>
      </c>
      <c r="I61" s="103">
        <f>123465.24*10%/365*25</f>
        <v>845.65232876712332</v>
      </c>
      <c r="J61" s="104" t="s">
        <v>144</v>
      </c>
      <c r="K61" s="97" t="s">
        <v>68</v>
      </c>
      <c r="L61" s="105" t="s">
        <v>75</v>
      </c>
    </row>
    <row r="62" spans="1:12" s="91" customFormat="1" ht="32">
      <c r="A62" s="98" t="s">
        <v>143</v>
      </c>
      <c r="B62" s="100"/>
      <c r="C62" s="99" t="s">
        <v>71</v>
      </c>
      <c r="D62" s="99"/>
      <c r="E62" s="101">
        <v>7151</v>
      </c>
      <c r="F62" s="101">
        <v>51322</v>
      </c>
      <c r="G62" s="101" t="s">
        <v>43</v>
      </c>
      <c r="H62" s="95" t="s">
        <v>43</v>
      </c>
      <c r="I62" s="103">
        <f>0*1%/365*25</f>
        <v>0</v>
      </c>
      <c r="J62" s="104" t="s">
        <v>145</v>
      </c>
      <c r="K62" s="97"/>
      <c r="L62" s="105" t="s">
        <v>77</v>
      </c>
    </row>
    <row r="63" spans="1:12" s="91" customFormat="1" ht="64">
      <c r="A63" s="98">
        <v>45869</v>
      </c>
      <c r="B63" s="100"/>
      <c r="C63" s="99" t="s">
        <v>45</v>
      </c>
      <c r="D63" s="99"/>
      <c r="E63" s="101">
        <v>7151</v>
      </c>
      <c r="F63" s="101">
        <v>51321</v>
      </c>
      <c r="G63" s="101" t="s">
        <v>43</v>
      </c>
      <c r="H63" s="95" t="s">
        <v>43</v>
      </c>
      <c r="I63" s="103">
        <f>123465.24*10%/365*1</f>
        <v>33.826093150684933</v>
      </c>
      <c r="J63" s="104" t="s">
        <v>146</v>
      </c>
      <c r="K63" s="97" t="s">
        <v>68</v>
      </c>
      <c r="L63" s="105" t="s">
        <v>75</v>
      </c>
    </row>
    <row r="64" spans="1:12" s="91" customFormat="1" ht="32">
      <c r="A64" s="98">
        <v>45869</v>
      </c>
      <c r="B64" s="100"/>
      <c r="C64" s="99" t="s">
        <v>71</v>
      </c>
      <c r="D64" s="99"/>
      <c r="E64" s="101">
        <v>7151</v>
      </c>
      <c r="F64" s="101">
        <v>51322</v>
      </c>
      <c r="G64" s="101" t="s">
        <v>43</v>
      </c>
      <c r="H64" s="95" t="s">
        <v>43</v>
      </c>
      <c r="I64" s="103">
        <f>0*1%/365*1</f>
        <v>0</v>
      </c>
      <c r="J64" s="104" t="s">
        <v>139</v>
      </c>
      <c r="K64" s="97"/>
      <c r="L64" s="105" t="s">
        <v>77</v>
      </c>
    </row>
    <row r="65" spans="1:12" s="91" customFormat="1" ht="64">
      <c r="A65" s="98">
        <v>45869</v>
      </c>
      <c r="B65" s="100"/>
      <c r="C65" s="99" t="s">
        <v>47</v>
      </c>
      <c r="D65" s="99"/>
      <c r="E65" s="101">
        <v>51321</v>
      </c>
      <c r="F65" s="101" t="s">
        <v>78</v>
      </c>
      <c r="G65" s="95" t="s">
        <v>43</v>
      </c>
      <c r="H65" s="95" t="s">
        <v>43</v>
      </c>
      <c r="I65" s="106">
        <f>1030.39*6%</f>
        <v>61.823400000000007</v>
      </c>
      <c r="J65" s="104" t="s">
        <v>147</v>
      </c>
      <c r="K65" s="97" t="s">
        <v>68</v>
      </c>
      <c r="L65" s="107" t="s">
        <v>103</v>
      </c>
    </row>
    <row r="66" spans="1:12" s="91" customFormat="1" ht="48">
      <c r="A66" s="98">
        <v>45869</v>
      </c>
      <c r="B66" s="100"/>
      <c r="C66" s="99" t="s">
        <v>80</v>
      </c>
      <c r="D66" s="99"/>
      <c r="E66" s="101">
        <v>51322</v>
      </c>
      <c r="F66" s="101" t="s">
        <v>78</v>
      </c>
      <c r="G66" s="95" t="s">
        <v>43</v>
      </c>
      <c r="H66" s="95" t="s">
        <v>43</v>
      </c>
      <c r="I66" s="106">
        <f>0.07*6%</f>
        <v>4.2000000000000006E-3</v>
      </c>
      <c r="J66" s="104" t="s">
        <v>148</v>
      </c>
      <c r="K66" s="97"/>
      <c r="L66" s="107" t="s">
        <v>105</v>
      </c>
    </row>
    <row r="67" spans="1:12" s="91" customFormat="1" ht="64">
      <c r="A67" s="98">
        <v>45869</v>
      </c>
      <c r="B67" s="100"/>
      <c r="C67" s="99" t="s">
        <v>82</v>
      </c>
      <c r="D67" s="99"/>
      <c r="E67" s="101">
        <v>51321</v>
      </c>
      <c r="F67" s="101">
        <v>51332</v>
      </c>
      <c r="G67" s="101" t="s">
        <v>43</v>
      </c>
      <c r="H67" s="95" t="s">
        <v>43</v>
      </c>
      <c r="I67" s="109">
        <f>1030.39-61.82</f>
        <v>968.57</v>
      </c>
      <c r="J67" s="104" t="s">
        <v>106</v>
      </c>
      <c r="K67" s="97" t="s">
        <v>68</v>
      </c>
      <c r="L67" s="110" t="s">
        <v>107</v>
      </c>
    </row>
    <row r="68" spans="1:12" s="91" customFormat="1" ht="48">
      <c r="A68" s="98">
        <v>45869</v>
      </c>
      <c r="B68" s="100"/>
      <c r="C68" s="99" t="s">
        <v>85</v>
      </c>
      <c r="D68" s="99"/>
      <c r="E68" s="101">
        <v>51322</v>
      </c>
      <c r="F68" s="101">
        <v>51332</v>
      </c>
      <c r="G68" s="101" t="s">
        <v>43</v>
      </c>
      <c r="H68" s="95" t="s">
        <v>43</v>
      </c>
      <c r="I68" s="109">
        <f>0.07-0.01</f>
        <v>6.0000000000000005E-2</v>
      </c>
      <c r="J68" s="104" t="s">
        <v>149</v>
      </c>
      <c r="K68" s="97"/>
      <c r="L68" s="110" t="s">
        <v>109</v>
      </c>
    </row>
    <row r="69" spans="1:12" s="91" customFormat="1">
      <c r="A69" s="98"/>
      <c r="B69" s="100"/>
      <c r="C69" s="99"/>
      <c r="D69" s="99"/>
      <c r="E69" s="101"/>
      <c r="F69" s="101"/>
      <c r="G69" s="101"/>
      <c r="H69" s="95"/>
      <c r="I69" s="95"/>
      <c r="J69" s="104"/>
      <c r="K69" s="97"/>
      <c r="L69" s="92"/>
    </row>
    <row r="70" spans="1:12" s="91" customFormat="1" ht="64">
      <c r="A70" s="98" t="s">
        <v>150</v>
      </c>
      <c r="B70" s="100"/>
      <c r="C70" s="99" t="s">
        <v>45</v>
      </c>
      <c r="D70" s="99"/>
      <c r="E70" s="101">
        <v>7151</v>
      </c>
      <c r="F70" s="101">
        <v>51321</v>
      </c>
      <c r="G70" s="101" t="s">
        <v>43</v>
      </c>
      <c r="H70" s="95" t="s">
        <v>43</v>
      </c>
      <c r="I70" s="103">
        <f>123465.24*10%/365*5</f>
        <v>169.13046575342466</v>
      </c>
      <c r="J70" s="104" t="s">
        <v>151</v>
      </c>
      <c r="K70" s="97" t="s">
        <v>68</v>
      </c>
      <c r="L70" s="105" t="s">
        <v>75</v>
      </c>
    </row>
    <row r="71" spans="1:12" s="91" customFormat="1" ht="32">
      <c r="A71" s="98" t="s">
        <v>150</v>
      </c>
      <c r="B71" s="100"/>
      <c r="C71" s="99" t="s">
        <v>71</v>
      </c>
      <c r="D71" s="99"/>
      <c r="E71" s="101">
        <v>7151</v>
      </c>
      <c r="F71" s="101">
        <v>51322</v>
      </c>
      <c r="G71" s="101" t="s">
        <v>43</v>
      </c>
      <c r="H71" s="95" t="s">
        <v>43</v>
      </c>
      <c r="I71" s="103">
        <f>968.63*1%/365*5</f>
        <v>0.13268904109589041</v>
      </c>
      <c r="J71" s="104" t="s">
        <v>152</v>
      </c>
      <c r="K71" s="97"/>
      <c r="L71" s="105" t="s">
        <v>77</v>
      </c>
    </row>
    <row r="72" spans="1:12" ht="32">
      <c r="A72" s="98">
        <v>45874</v>
      </c>
      <c r="B72" s="100"/>
      <c r="C72" s="99" t="s">
        <v>92</v>
      </c>
      <c r="D72" s="99"/>
      <c r="E72" s="101">
        <v>2411</v>
      </c>
      <c r="F72" s="101">
        <v>5131</v>
      </c>
      <c r="G72" s="95" t="s">
        <v>43</v>
      </c>
      <c r="H72" s="95">
        <v>9201</v>
      </c>
      <c r="I72" s="102">
        <v>10000</v>
      </c>
      <c r="J72" s="99"/>
      <c r="K72" s="97" t="s">
        <v>65</v>
      </c>
      <c r="L72" s="112" t="s">
        <v>93</v>
      </c>
    </row>
    <row r="73" spans="1:12" s="91" customFormat="1" ht="64">
      <c r="A73" s="113">
        <v>45883</v>
      </c>
      <c r="B73" s="100"/>
      <c r="C73" s="99" t="s">
        <v>94</v>
      </c>
      <c r="D73" s="99"/>
      <c r="E73" s="101">
        <v>5343</v>
      </c>
      <c r="F73" s="101">
        <v>2421</v>
      </c>
      <c r="G73" s="95" t="s">
        <v>43</v>
      </c>
      <c r="H73" s="95" t="s">
        <v>43</v>
      </c>
      <c r="I73" s="119">
        <v>61.83</v>
      </c>
      <c r="J73" s="104"/>
      <c r="K73" s="97" t="s">
        <v>95</v>
      </c>
      <c r="L73" s="107" t="s">
        <v>96</v>
      </c>
    </row>
    <row r="74" spans="1:12" s="91" customFormat="1" ht="64">
      <c r="A74" s="98" t="s">
        <v>153</v>
      </c>
      <c r="B74" s="100"/>
      <c r="C74" s="99" t="s">
        <v>45</v>
      </c>
      <c r="D74" s="99"/>
      <c r="E74" s="101">
        <v>7151</v>
      </c>
      <c r="F74" s="101">
        <v>51321</v>
      </c>
      <c r="G74" s="101" t="s">
        <v>43</v>
      </c>
      <c r="H74" s="95" t="s">
        <v>43</v>
      </c>
      <c r="I74" s="103">
        <f>133465.24*10%/365*25</f>
        <v>914.14547945205481</v>
      </c>
      <c r="J74" s="104" t="s">
        <v>154</v>
      </c>
      <c r="K74" s="97" t="s">
        <v>68</v>
      </c>
      <c r="L74" s="105" t="s">
        <v>75</v>
      </c>
    </row>
    <row r="75" spans="1:12" s="91" customFormat="1" ht="64">
      <c r="A75" s="98" t="s">
        <v>153</v>
      </c>
      <c r="B75" s="100"/>
      <c r="C75" s="99" t="s">
        <v>71</v>
      </c>
      <c r="D75" s="99"/>
      <c r="E75" s="101">
        <v>7151</v>
      </c>
      <c r="F75" s="101">
        <v>51322</v>
      </c>
      <c r="G75" s="101" t="s">
        <v>43</v>
      </c>
      <c r="H75" s="95" t="s">
        <v>43</v>
      </c>
      <c r="I75" s="103">
        <f>968.63*1%/365*25</f>
        <v>0.66344520547945207</v>
      </c>
      <c r="J75" s="104" t="s">
        <v>155</v>
      </c>
      <c r="K75" s="97" t="s">
        <v>68</v>
      </c>
      <c r="L75" s="105" t="s">
        <v>77</v>
      </c>
    </row>
    <row r="76" spans="1:12" s="91" customFormat="1" ht="64">
      <c r="A76" s="98">
        <v>45900</v>
      </c>
      <c r="B76" s="100"/>
      <c r="C76" s="99" t="s">
        <v>45</v>
      </c>
      <c r="D76" s="99"/>
      <c r="E76" s="101">
        <v>7151</v>
      </c>
      <c r="F76" s="101">
        <v>51321</v>
      </c>
      <c r="G76" s="101" t="s">
        <v>43</v>
      </c>
      <c r="H76" s="95" t="s">
        <v>43</v>
      </c>
      <c r="I76" s="103">
        <f>133465.24*10%/365*1</f>
        <v>36.565819178082194</v>
      </c>
      <c r="J76" s="104" t="s">
        <v>156</v>
      </c>
      <c r="K76" s="97" t="s">
        <v>68</v>
      </c>
      <c r="L76" s="105" t="s">
        <v>75</v>
      </c>
    </row>
    <row r="77" spans="1:12" s="91" customFormat="1" ht="64">
      <c r="A77" s="98">
        <v>45900</v>
      </c>
      <c r="B77" s="100"/>
      <c r="C77" s="99" t="s">
        <v>71</v>
      </c>
      <c r="D77" s="99"/>
      <c r="E77" s="101">
        <v>7151</v>
      </c>
      <c r="F77" s="101">
        <v>51322</v>
      </c>
      <c r="G77" s="101" t="s">
        <v>43</v>
      </c>
      <c r="H77" s="95" t="s">
        <v>43</v>
      </c>
      <c r="I77" s="103">
        <f>968.63*1%/365*1</f>
        <v>2.6537808219178085E-2</v>
      </c>
      <c r="J77" s="104" t="s">
        <v>157</v>
      </c>
      <c r="K77" s="97" t="s">
        <v>68</v>
      </c>
      <c r="L77" s="105" t="s">
        <v>77</v>
      </c>
    </row>
    <row r="78" spans="1:12" s="91" customFormat="1" ht="64">
      <c r="A78" s="98">
        <v>45900</v>
      </c>
      <c r="B78" s="100"/>
      <c r="C78" s="99" t="s">
        <v>47</v>
      </c>
      <c r="D78" s="99"/>
      <c r="E78" s="101">
        <v>51321</v>
      </c>
      <c r="F78" s="101" t="s">
        <v>78</v>
      </c>
      <c r="G78" s="95" t="s">
        <v>43</v>
      </c>
      <c r="H78" s="95" t="s">
        <v>43</v>
      </c>
      <c r="I78" s="106">
        <f>1117.23*6%</f>
        <v>67.033799999999999</v>
      </c>
      <c r="J78" s="104" t="s">
        <v>158</v>
      </c>
      <c r="K78" s="97" t="s">
        <v>68</v>
      </c>
      <c r="L78" s="107" t="s">
        <v>103</v>
      </c>
    </row>
    <row r="79" spans="1:12" s="91" customFormat="1" ht="64">
      <c r="A79" s="98">
        <v>45900</v>
      </c>
      <c r="B79" s="100"/>
      <c r="C79" s="99" t="s">
        <v>80</v>
      </c>
      <c r="D79" s="99"/>
      <c r="E79" s="101">
        <v>51322</v>
      </c>
      <c r="F79" s="101" t="s">
        <v>78</v>
      </c>
      <c r="G79" s="95" t="s">
        <v>43</v>
      </c>
      <c r="H79" s="95" t="s">
        <v>43</v>
      </c>
      <c r="I79" s="106">
        <f>0.9*6%</f>
        <v>5.3999999999999999E-2</v>
      </c>
      <c r="J79" s="104" t="s">
        <v>159</v>
      </c>
      <c r="K79" s="97" t="s">
        <v>68</v>
      </c>
      <c r="L79" s="107" t="s">
        <v>105</v>
      </c>
    </row>
    <row r="80" spans="1:12" s="91" customFormat="1" ht="64">
      <c r="A80" s="98">
        <v>45900</v>
      </c>
      <c r="B80" s="100"/>
      <c r="C80" s="99" t="s">
        <v>82</v>
      </c>
      <c r="D80" s="99"/>
      <c r="E80" s="101">
        <v>51321</v>
      </c>
      <c r="F80" s="101">
        <v>51332</v>
      </c>
      <c r="G80" s="101" t="s">
        <v>43</v>
      </c>
      <c r="H80" s="95" t="s">
        <v>43</v>
      </c>
      <c r="I80" s="109">
        <f>1117.23-67.03</f>
        <v>1050.2</v>
      </c>
      <c r="J80" s="104" t="s">
        <v>160</v>
      </c>
      <c r="K80" s="97" t="s">
        <v>68</v>
      </c>
      <c r="L80" s="110" t="s">
        <v>107</v>
      </c>
    </row>
    <row r="81" spans="1:12" s="91" customFormat="1" ht="64">
      <c r="A81" s="98">
        <v>45900</v>
      </c>
      <c r="B81" s="100"/>
      <c r="C81" s="99" t="s">
        <v>85</v>
      </c>
      <c r="D81" s="99"/>
      <c r="E81" s="101">
        <v>51322</v>
      </c>
      <c r="F81" s="101">
        <v>51332</v>
      </c>
      <c r="G81" s="101" t="s">
        <v>43</v>
      </c>
      <c r="H81" s="95" t="s">
        <v>43</v>
      </c>
      <c r="I81" s="120">
        <f>0.9-0.03</f>
        <v>0.87</v>
      </c>
      <c r="J81" s="104" t="s">
        <v>161</v>
      </c>
      <c r="K81" s="97" t="s">
        <v>68</v>
      </c>
      <c r="L81" s="110" t="s">
        <v>109</v>
      </c>
    </row>
    <row r="82" spans="1:12" s="91" customFormat="1">
      <c r="A82" s="99"/>
      <c r="B82" s="100"/>
      <c r="C82" s="99"/>
      <c r="D82" s="99"/>
      <c r="E82" s="101"/>
      <c r="F82" s="101"/>
      <c r="G82" s="101"/>
      <c r="H82" s="95"/>
      <c r="I82" s="95"/>
      <c r="J82" s="104"/>
      <c r="K82" s="97"/>
      <c r="L82" s="92"/>
    </row>
    <row r="83" spans="1:12" s="91" customFormat="1" ht="64">
      <c r="A83" s="98" t="s">
        <v>162</v>
      </c>
      <c r="B83" s="100"/>
      <c r="C83" s="99" t="s">
        <v>45</v>
      </c>
      <c r="D83" s="99"/>
      <c r="E83" s="101">
        <v>7151</v>
      </c>
      <c r="F83" s="101">
        <v>51321</v>
      </c>
      <c r="G83" s="101" t="s">
        <v>43</v>
      </c>
      <c r="H83" s="95" t="s">
        <v>43</v>
      </c>
      <c r="I83" s="103">
        <f>133465.24*10%/365*5</f>
        <v>182.82909589041097</v>
      </c>
      <c r="J83" s="104" t="s">
        <v>151</v>
      </c>
      <c r="K83" s="97" t="s">
        <v>68</v>
      </c>
      <c r="L83" s="105" t="s">
        <v>75</v>
      </c>
    </row>
    <row r="84" spans="1:12" s="91" customFormat="1" ht="32">
      <c r="A84" s="98" t="s">
        <v>162</v>
      </c>
      <c r="B84" s="100"/>
      <c r="C84" s="99" t="s">
        <v>71</v>
      </c>
      <c r="D84" s="99"/>
      <c r="E84" s="101">
        <v>7151</v>
      </c>
      <c r="F84" s="101">
        <v>51322</v>
      </c>
      <c r="G84" s="101" t="s">
        <v>43</v>
      </c>
      <c r="H84" s="95" t="s">
        <v>43</v>
      </c>
      <c r="I84" s="103">
        <f>2019.67*1%/365*5</f>
        <v>0.27666712328767123</v>
      </c>
      <c r="J84" s="104" t="s">
        <v>163</v>
      </c>
      <c r="K84" s="97"/>
      <c r="L84" s="105" t="s">
        <v>77</v>
      </c>
    </row>
    <row r="85" spans="1:12" ht="32">
      <c r="A85" s="98">
        <v>45905</v>
      </c>
      <c r="B85" s="100"/>
      <c r="C85" s="99" t="s">
        <v>92</v>
      </c>
      <c r="D85" s="99"/>
      <c r="E85" s="101">
        <v>2411</v>
      </c>
      <c r="F85" s="101">
        <v>5131</v>
      </c>
      <c r="G85" s="95" t="s">
        <v>43</v>
      </c>
      <c r="H85" s="95">
        <v>9201</v>
      </c>
      <c r="I85" s="102">
        <v>10000</v>
      </c>
      <c r="J85" s="99"/>
      <c r="K85" s="97" t="s">
        <v>65</v>
      </c>
      <c r="L85" s="112" t="s">
        <v>93</v>
      </c>
    </row>
    <row r="86" spans="1:12" s="91" customFormat="1" ht="64">
      <c r="A86" s="113">
        <v>45914</v>
      </c>
      <c r="B86" s="100"/>
      <c r="C86" s="99" t="s">
        <v>94</v>
      </c>
      <c r="D86" s="99"/>
      <c r="E86" s="101">
        <v>5343</v>
      </c>
      <c r="F86" s="101">
        <v>2421</v>
      </c>
      <c r="G86" s="95" t="s">
        <v>43</v>
      </c>
      <c r="H86" s="95" t="s">
        <v>43</v>
      </c>
      <c r="I86" s="119">
        <v>67.09</v>
      </c>
      <c r="J86" s="104"/>
      <c r="K86" s="97" t="s">
        <v>95</v>
      </c>
      <c r="L86" s="107" t="s">
        <v>96</v>
      </c>
    </row>
    <row r="87" spans="1:12" s="91" customFormat="1" ht="32">
      <c r="A87" s="98" t="s">
        <v>164</v>
      </c>
      <c r="B87" s="100"/>
      <c r="C87" s="99" t="s">
        <v>45</v>
      </c>
      <c r="D87" s="99"/>
      <c r="E87" s="101">
        <v>7151</v>
      </c>
      <c r="F87" s="101">
        <v>51321</v>
      </c>
      <c r="G87" s="101" t="s">
        <v>43</v>
      </c>
      <c r="H87" s="95" t="s">
        <v>43</v>
      </c>
      <c r="I87" s="103">
        <f>143465.24*10%/365*24</f>
        <v>943.33308493150673</v>
      </c>
      <c r="J87" s="104" t="s">
        <v>165</v>
      </c>
      <c r="K87" s="97"/>
      <c r="L87" s="99" t="s">
        <v>166</v>
      </c>
    </row>
    <row r="88" spans="1:12" s="91" customFormat="1" ht="32">
      <c r="A88" s="98" t="s">
        <v>164</v>
      </c>
      <c r="B88" s="100"/>
      <c r="C88" s="99" t="s">
        <v>71</v>
      </c>
      <c r="D88" s="99"/>
      <c r="E88" s="101">
        <v>7151</v>
      </c>
      <c r="F88" s="101">
        <v>51322</v>
      </c>
      <c r="G88" s="101" t="s">
        <v>43</v>
      </c>
      <c r="H88" s="95" t="s">
        <v>43</v>
      </c>
      <c r="I88" s="103">
        <f>2019.67*1%/365*24</f>
        <v>1.328002191780822</v>
      </c>
      <c r="J88" s="97" t="s">
        <v>167</v>
      </c>
      <c r="K88" s="97"/>
      <c r="L88" s="99" t="s">
        <v>168</v>
      </c>
    </row>
    <row r="89" spans="1:12" s="91" customFormat="1" ht="64">
      <c r="A89" s="98">
        <v>45930</v>
      </c>
      <c r="B89" s="100"/>
      <c r="C89" s="99" t="s">
        <v>127</v>
      </c>
      <c r="D89" s="99"/>
      <c r="E89" s="101">
        <v>5131</v>
      </c>
      <c r="F89" s="101">
        <v>51331</v>
      </c>
      <c r="G89" s="101" t="s">
        <v>43</v>
      </c>
      <c r="H89" s="95" t="s">
        <v>43</v>
      </c>
      <c r="I89" s="115">
        <v>20000</v>
      </c>
      <c r="J89" s="104"/>
      <c r="K89" s="97" t="s">
        <v>68</v>
      </c>
      <c r="L89" s="116" t="s">
        <v>169</v>
      </c>
    </row>
    <row r="90" spans="1:12" s="91" customFormat="1" ht="64">
      <c r="A90" s="98">
        <v>45930</v>
      </c>
      <c r="B90" s="100"/>
      <c r="C90" s="99" t="s">
        <v>45</v>
      </c>
      <c r="D90" s="99"/>
      <c r="E90" s="101">
        <v>7151</v>
      </c>
      <c r="F90" s="101">
        <v>51321</v>
      </c>
      <c r="G90" s="101" t="s">
        <v>43</v>
      </c>
      <c r="H90" s="95" t="s">
        <v>43</v>
      </c>
      <c r="I90" s="103">
        <f>123465.24*10%/365*1</f>
        <v>33.826093150684933</v>
      </c>
      <c r="J90" s="104" t="s">
        <v>146</v>
      </c>
      <c r="K90" s="97" t="s">
        <v>68</v>
      </c>
      <c r="L90" s="105" t="s">
        <v>75</v>
      </c>
    </row>
    <row r="91" spans="1:12" s="91" customFormat="1" ht="32">
      <c r="A91" s="98">
        <v>45930</v>
      </c>
      <c r="B91" s="100"/>
      <c r="C91" s="99" t="s">
        <v>71</v>
      </c>
      <c r="D91" s="99"/>
      <c r="E91" s="101">
        <v>7151</v>
      </c>
      <c r="F91" s="101">
        <v>51322</v>
      </c>
      <c r="G91" s="101" t="s">
        <v>43</v>
      </c>
      <c r="H91" s="95" t="s">
        <v>43</v>
      </c>
      <c r="I91" s="103">
        <f>2019.67*1%/365*1</f>
        <v>5.5333424657534248E-2</v>
      </c>
      <c r="J91" s="97" t="s">
        <v>170</v>
      </c>
      <c r="K91" s="97"/>
      <c r="L91" s="105" t="s">
        <v>77</v>
      </c>
    </row>
    <row r="92" spans="1:12" s="91" customFormat="1" ht="64">
      <c r="A92" s="98">
        <v>45930</v>
      </c>
      <c r="B92" s="100"/>
      <c r="C92" s="99" t="s">
        <v>47</v>
      </c>
      <c r="D92" s="99"/>
      <c r="E92" s="101">
        <v>51321</v>
      </c>
      <c r="F92" s="101" t="s">
        <v>78</v>
      </c>
      <c r="G92" s="95" t="s">
        <v>43</v>
      </c>
      <c r="H92" s="95" t="s">
        <v>43</v>
      </c>
      <c r="I92" s="106">
        <f>1162.86*6%</f>
        <v>69.771599999999992</v>
      </c>
      <c r="J92" s="104" t="s">
        <v>171</v>
      </c>
      <c r="K92" s="97" t="s">
        <v>68</v>
      </c>
      <c r="L92" s="107" t="s">
        <v>103</v>
      </c>
    </row>
    <row r="93" spans="1:12" s="91" customFormat="1" ht="64">
      <c r="A93" s="98">
        <v>45930</v>
      </c>
      <c r="B93" s="100"/>
      <c r="C93" s="99" t="s">
        <v>80</v>
      </c>
      <c r="D93" s="99"/>
      <c r="E93" s="101">
        <v>51322</v>
      </c>
      <c r="F93" s="101" t="s">
        <v>78</v>
      </c>
      <c r="G93" s="95" t="s">
        <v>43</v>
      </c>
      <c r="H93" s="95" t="s">
        <v>43</v>
      </c>
      <c r="I93" s="106">
        <f>1.77*6%</f>
        <v>0.1062</v>
      </c>
      <c r="J93" s="104" t="s">
        <v>172</v>
      </c>
      <c r="K93" s="97" t="s">
        <v>68</v>
      </c>
      <c r="L93" s="107" t="s">
        <v>105</v>
      </c>
    </row>
    <row r="94" spans="1:12" s="91" customFormat="1" ht="64">
      <c r="A94" s="98">
        <v>45930</v>
      </c>
      <c r="B94" s="100"/>
      <c r="C94" s="99" t="s">
        <v>82</v>
      </c>
      <c r="D94" s="99"/>
      <c r="E94" s="101">
        <v>51321</v>
      </c>
      <c r="F94" s="101">
        <v>51332</v>
      </c>
      <c r="G94" s="101" t="s">
        <v>43</v>
      </c>
      <c r="H94" s="95" t="s">
        <v>43</v>
      </c>
      <c r="I94" s="109">
        <f>1162.86-69.77</f>
        <v>1093.0899999999999</v>
      </c>
      <c r="J94" s="104" t="s">
        <v>173</v>
      </c>
      <c r="K94" s="97" t="s">
        <v>68</v>
      </c>
      <c r="L94" s="110" t="s">
        <v>107</v>
      </c>
    </row>
    <row r="95" spans="1:12" s="91" customFormat="1" ht="64">
      <c r="A95" s="98">
        <v>45930</v>
      </c>
      <c r="B95" s="100"/>
      <c r="C95" s="99" t="s">
        <v>85</v>
      </c>
      <c r="D95" s="99"/>
      <c r="E95" s="101">
        <v>51322</v>
      </c>
      <c r="F95" s="101">
        <v>51332</v>
      </c>
      <c r="G95" s="101" t="s">
        <v>43</v>
      </c>
      <c r="H95" s="95" t="s">
        <v>43</v>
      </c>
      <c r="I95" s="111">
        <f>1.77-0.06</f>
        <v>1.71</v>
      </c>
      <c r="J95" s="104" t="s">
        <v>174</v>
      </c>
      <c r="K95" s="97" t="s">
        <v>68</v>
      </c>
      <c r="L95" s="110" t="s">
        <v>109</v>
      </c>
    </row>
    <row r="96" spans="1:12" s="91" customFormat="1">
      <c r="A96" s="98"/>
      <c r="B96" s="100"/>
      <c r="C96" s="99"/>
      <c r="D96" s="99"/>
      <c r="E96" s="101"/>
      <c r="F96" s="101"/>
      <c r="G96" s="101"/>
      <c r="H96" s="95"/>
      <c r="I96" s="95"/>
      <c r="J96" s="104"/>
      <c r="K96" s="97"/>
      <c r="L96" s="99"/>
    </row>
    <row r="97" spans="1:12" s="91" customFormat="1" ht="64">
      <c r="A97" s="98">
        <v>45931</v>
      </c>
      <c r="B97" s="100"/>
      <c r="C97" s="99" t="s">
        <v>134</v>
      </c>
      <c r="D97" s="99"/>
      <c r="E97" s="101">
        <v>51331</v>
      </c>
      <c r="F97" s="101">
        <v>2411</v>
      </c>
      <c r="G97" s="101" t="s">
        <v>43</v>
      </c>
      <c r="H97" s="95" t="s">
        <v>43</v>
      </c>
      <c r="I97" s="115">
        <v>20000</v>
      </c>
      <c r="J97" s="104"/>
      <c r="K97" s="97" t="s">
        <v>135</v>
      </c>
      <c r="L97" s="116" t="s">
        <v>136</v>
      </c>
    </row>
    <row r="98" spans="1:12" s="91" customFormat="1" ht="64">
      <c r="A98" s="98">
        <v>45931</v>
      </c>
      <c r="B98" s="100"/>
      <c r="C98" s="99" t="s">
        <v>137</v>
      </c>
      <c r="D98" s="99"/>
      <c r="E98" s="101">
        <v>51332</v>
      </c>
      <c r="F98" s="101">
        <v>5131</v>
      </c>
      <c r="G98" s="101" t="s">
        <v>43</v>
      </c>
      <c r="H98" s="95" t="s">
        <v>43</v>
      </c>
      <c r="I98" s="117">
        <v>3114.43</v>
      </c>
      <c r="J98" s="104"/>
      <c r="K98" s="97" t="s">
        <v>68</v>
      </c>
      <c r="L98" s="118" t="s">
        <v>175</v>
      </c>
    </row>
    <row r="99" spans="1:12" s="91" customFormat="1" ht="64">
      <c r="A99" s="98">
        <v>45931</v>
      </c>
      <c r="B99" s="100"/>
      <c r="C99" s="99" t="s">
        <v>45</v>
      </c>
      <c r="D99" s="99"/>
      <c r="E99" s="101">
        <v>7151</v>
      </c>
      <c r="F99" s="101">
        <v>51321</v>
      </c>
      <c r="G99" s="101" t="s">
        <v>43</v>
      </c>
      <c r="H99" s="95" t="s">
        <v>43</v>
      </c>
      <c r="I99" s="103">
        <f>123465.24*10%/365*1</f>
        <v>33.826093150684933</v>
      </c>
      <c r="J99" s="104" t="s">
        <v>146</v>
      </c>
      <c r="K99" s="97" t="s">
        <v>68</v>
      </c>
      <c r="L99" s="105" t="s">
        <v>75</v>
      </c>
    </row>
    <row r="100" spans="1:12" s="91" customFormat="1" ht="64">
      <c r="A100" s="98">
        <v>45931</v>
      </c>
      <c r="B100" s="100"/>
      <c r="C100" s="99" t="s">
        <v>71</v>
      </c>
      <c r="D100" s="99"/>
      <c r="E100" s="101">
        <v>7151</v>
      </c>
      <c r="F100" s="101">
        <v>51322</v>
      </c>
      <c r="G100" s="101" t="s">
        <v>43</v>
      </c>
      <c r="H100" s="95" t="s">
        <v>43</v>
      </c>
      <c r="I100" s="103">
        <f>0*1%/365*1</f>
        <v>0</v>
      </c>
      <c r="J100" s="104" t="s">
        <v>139</v>
      </c>
      <c r="K100" s="97" t="s">
        <v>68</v>
      </c>
      <c r="L100" s="105" t="s">
        <v>77</v>
      </c>
    </row>
    <row r="101" spans="1:12" s="91" customFormat="1" ht="64">
      <c r="A101" s="98" t="s">
        <v>176</v>
      </c>
      <c r="B101" s="100"/>
      <c r="C101" s="99" t="s">
        <v>45</v>
      </c>
      <c r="D101" s="99"/>
      <c r="E101" s="101">
        <v>7151</v>
      </c>
      <c r="F101" s="101">
        <v>51321</v>
      </c>
      <c r="G101" s="101" t="s">
        <v>43</v>
      </c>
      <c r="H101" s="95" t="s">
        <v>43</v>
      </c>
      <c r="I101" s="103">
        <f>126579.67*10%/365*4</f>
        <v>138.71744657534248</v>
      </c>
      <c r="J101" s="104" t="s">
        <v>177</v>
      </c>
      <c r="K101" s="97" t="s">
        <v>68</v>
      </c>
      <c r="L101" s="105" t="s">
        <v>75</v>
      </c>
    </row>
    <row r="102" spans="1:12" s="91" customFormat="1" ht="32">
      <c r="A102" s="98" t="s">
        <v>176</v>
      </c>
      <c r="B102" s="100"/>
      <c r="C102" s="99" t="s">
        <v>71</v>
      </c>
      <c r="D102" s="99"/>
      <c r="E102" s="101">
        <v>7151</v>
      </c>
      <c r="F102" s="101">
        <v>51322</v>
      </c>
      <c r="G102" s="101" t="s">
        <v>43</v>
      </c>
      <c r="H102" s="95" t="s">
        <v>43</v>
      </c>
      <c r="I102" s="103">
        <f>0*1%/365*4</f>
        <v>0</v>
      </c>
      <c r="J102" s="104" t="s">
        <v>142</v>
      </c>
      <c r="K102" s="97"/>
      <c r="L102" s="105" t="s">
        <v>77</v>
      </c>
    </row>
    <row r="103" spans="1:12" ht="32">
      <c r="A103" s="98">
        <v>45935</v>
      </c>
      <c r="B103" s="100"/>
      <c r="C103" s="99" t="s">
        <v>92</v>
      </c>
      <c r="D103" s="99"/>
      <c r="E103" s="101">
        <v>2411</v>
      </c>
      <c r="F103" s="101">
        <v>5131</v>
      </c>
      <c r="G103" s="95" t="s">
        <v>43</v>
      </c>
      <c r="H103" s="95">
        <v>9201</v>
      </c>
      <c r="I103" s="102">
        <v>10000</v>
      </c>
      <c r="J103" s="99"/>
      <c r="K103" s="97" t="s">
        <v>65</v>
      </c>
      <c r="L103" s="112" t="s">
        <v>93</v>
      </c>
    </row>
    <row r="104" spans="1:12" s="91" customFormat="1" ht="64">
      <c r="A104" s="113">
        <v>45944</v>
      </c>
      <c r="B104" s="100"/>
      <c r="C104" s="99" t="s">
        <v>94</v>
      </c>
      <c r="D104" s="99"/>
      <c r="E104" s="101">
        <v>5343</v>
      </c>
      <c r="F104" s="101">
        <v>2421</v>
      </c>
      <c r="G104" s="95" t="s">
        <v>43</v>
      </c>
      <c r="H104" s="95" t="s">
        <v>43</v>
      </c>
      <c r="I104" s="119">
        <v>69.88</v>
      </c>
      <c r="J104" s="104"/>
      <c r="K104" s="97" t="s">
        <v>95</v>
      </c>
      <c r="L104" s="107" t="s">
        <v>96</v>
      </c>
    </row>
    <row r="105" spans="1:12" s="91" customFormat="1" ht="64">
      <c r="A105" s="98" t="s">
        <v>178</v>
      </c>
      <c r="B105" s="100"/>
      <c r="C105" s="99" t="s">
        <v>45</v>
      </c>
      <c r="D105" s="99"/>
      <c r="E105" s="101">
        <v>7151</v>
      </c>
      <c r="F105" s="101">
        <v>51321</v>
      </c>
      <c r="G105" s="101" t="s">
        <v>43</v>
      </c>
      <c r="H105" s="95" t="s">
        <v>43</v>
      </c>
      <c r="I105" s="103">
        <f>136579.67*10%/365*25</f>
        <v>935.47719178082195</v>
      </c>
      <c r="J105" s="104" t="s">
        <v>179</v>
      </c>
      <c r="K105" s="97" t="s">
        <v>68</v>
      </c>
      <c r="L105" s="105" t="s">
        <v>75</v>
      </c>
    </row>
    <row r="106" spans="1:12" s="91" customFormat="1" ht="32">
      <c r="A106" s="98" t="s">
        <v>178</v>
      </c>
      <c r="B106" s="100"/>
      <c r="C106" s="99" t="s">
        <v>71</v>
      </c>
      <c r="D106" s="99"/>
      <c r="E106" s="101">
        <v>7151</v>
      </c>
      <c r="F106" s="101">
        <v>51322</v>
      </c>
      <c r="G106" s="101" t="s">
        <v>43</v>
      </c>
      <c r="H106" s="95" t="s">
        <v>43</v>
      </c>
      <c r="I106" s="103">
        <f>0*1%/365*25</f>
        <v>0</v>
      </c>
      <c r="J106" s="104" t="s">
        <v>145</v>
      </c>
      <c r="K106" s="97"/>
      <c r="L106" s="105" t="s">
        <v>77</v>
      </c>
    </row>
    <row r="107" spans="1:12" s="91" customFormat="1" ht="64">
      <c r="A107" s="98">
        <v>45961</v>
      </c>
      <c r="B107" s="100"/>
      <c r="C107" s="99" t="s">
        <v>45</v>
      </c>
      <c r="D107" s="99"/>
      <c r="E107" s="101">
        <v>7151</v>
      </c>
      <c r="F107" s="101">
        <v>51321</v>
      </c>
      <c r="G107" s="101" t="s">
        <v>43</v>
      </c>
      <c r="H107" s="95" t="s">
        <v>43</v>
      </c>
      <c r="I107" s="103">
        <f>136579.67*10%/365*1</f>
        <v>37.41908767123288</v>
      </c>
      <c r="J107" s="104" t="s">
        <v>200</v>
      </c>
      <c r="K107" s="97" t="s">
        <v>68</v>
      </c>
      <c r="L107" s="105" t="s">
        <v>75</v>
      </c>
    </row>
    <row r="108" spans="1:12" s="91" customFormat="1" ht="32">
      <c r="A108" s="98">
        <v>45961</v>
      </c>
      <c r="B108" s="100"/>
      <c r="C108" s="99" t="s">
        <v>71</v>
      </c>
      <c r="D108" s="99"/>
      <c r="E108" s="101">
        <v>7151</v>
      </c>
      <c r="F108" s="101">
        <v>51322</v>
      </c>
      <c r="G108" s="101" t="s">
        <v>43</v>
      </c>
      <c r="H108" s="95" t="s">
        <v>43</v>
      </c>
      <c r="I108" s="103">
        <f>0*1%/365*1</f>
        <v>0</v>
      </c>
      <c r="J108" s="104" t="s">
        <v>139</v>
      </c>
      <c r="K108" s="97"/>
      <c r="L108" s="105" t="s">
        <v>77</v>
      </c>
    </row>
    <row r="109" spans="1:12" s="91" customFormat="1" ht="64">
      <c r="A109" s="98">
        <v>45961</v>
      </c>
      <c r="B109" s="100"/>
      <c r="C109" s="99" t="s">
        <v>47</v>
      </c>
      <c r="D109" s="99"/>
      <c r="E109" s="101">
        <v>51321</v>
      </c>
      <c r="F109" s="101" t="s">
        <v>78</v>
      </c>
      <c r="G109" s="95" t="s">
        <v>43</v>
      </c>
      <c r="H109" s="95" t="s">
        <v>43</v>
      </c>
      <c r="I109" s="106">
        <f>1141.88*6%</f>
        <v>68.512799999999999</v>
      </c>
      <c r="J109" s="104" t="s">
        <v>180</v>
      </c>
      <c r="K109" s="97" t="s">
        <v>68</v>
      </c>
      <c r="L109" s="107" t="s">
        <v>103</v>
      </c>
    </row>
    <row r="110" spans="1:12" s="91" customFormat="1" ht="48">
      <c r="A110" s="98">
        <v>45961</v>
      </c>
      <c r="B110" s="100"/>
      <c r="C110" s="99" t="s">
        <v>80</v>
      </c>
      <c r="D110" s="99"/>
      <c r="E110" s="101">
        <v>51322</v>
      </c>
      <c r="F110" s="101" t="s">
        <v>78</v>
      </c>
      <c r="G110" s="95" t="s">
        <v>43</v>
      </c>
      <c r="H110" s="95" t="s">
        <v>43</v>
      </c>
      <c r="I110" s="106">
        <f>0.06*6%</f>
        <v>3.5999999999999999E-3</v>
      </c>
      <c r="J110" s="104" t="s">
        <v>181</v>
      </c>
      <c r="K110" s="97"/>
      <c r="L110" s="107" t="s">
        <v>105</v>
      </c>
    </row>
    <row r="111" spans="1:12" s="91" customFormat="1" ht="64">
      <c r="A111" s="98">
        <v>45961</v>
      </c>
      <c r="B111" s="100"/>
      <c r="C111" s="99" t="s">
        <v>82</v>
      </c>
      <c r="D111" s="99"/>
      <c r="E111" s="101">
        <v>51321</v>
      </c>
      <c r="F111" s="101">
        <v>51332</v>
      </c>
      <c r="G111" s="101" t="s">
        <v>43</v>
      </c>
      <c r="H111" s="95" t="s">
        <v>43</v>
      </c>
      <c r="I111" s="109">
        <f>1141.88-68.51</f>
        <v>1073.3700000000001</v>
      </c>
      <c r="J111" s="104" t="s">
        <v>182</v>
      </c>
      <c r="K111" s="97" t="s">
        <v>68</v>
      </c>
      <c r="L111" s="110" t="s">
        <v>107</v>
      </c>
    </row>
    <row r="112" spans="1:12" s="91" customFormat="1" ht="48">
      <c r="A112" s="98">
        <v>45961</v>
      </c>
      <c r="B112" s="100"/>
      <c r="C112" s="99" t="s">
        <v>85</v>
      </c>
      <c r="D112" s="99"/>
      <c r="E112" s="101">
        <v>51322</v>
      </c>
      <c r="F112" s="101">
        <v>51332</v>
      </c>
      <c r="G112" s="101" t="s">
        <v>43</v>
      </c>
      <c r="H112" s="95" t="s">
        <v>43</v>
      </c>
      <c r="I112" s="120">
        <f>0.06-0.01</f>
        <v>4.9999999999999996E-2</v>
      </c>
      <c r="J112" s="104" t="s">
        <v>183</v>
      </c>
      <c r="K112" s="97"/>
      <c r="L112" s="110" t="s">
        <v>109</v>
      </c>
    </row>
    <row r="113" spans="1:12" s="91" customFormat="1">
      <c r="A113" s="98"/>
      <c r="B113" s="100"/>
      <c r="C113" s="99"/>
      <c r="D113" s="99"/>
      <c r="E113" s="101"/>
      <c r="F113" s="101"/>
      <c r="G113" s="101"/>
      <c r="H113" s="95"/>
      <c r="I113" s="95"/>
      <c r="J113" s="104"/>
      <c r="K113" s="97"/>
      <c r="L113" s="92"/>
    </row>
    <row r="114" spans="1:12" s="91" customFormat="1" ht="64">
      <c r="A114" s="98" t="s">
        <v>184</v>
      </c>
      <c r="B114" s="100"/>
      <c r="C114" s="99" t="s">
        <v>45</v>
      </c>
      <c r="D114" s="99"/>
      <c r="E114" s="101">
        <v>7151</v>
      </c>
      <c r="F114" s="101">
        <v>51321</v>
      </c>
      <c r="G114" s="101" t="s">
        <v>43</v>
      </c>
      <c r="H114" s="95" t="s">
        <v>43</v>
      </c>
      <c r="I114" s="103">
        <f>136579.67*10%/365*5</f>
        <v>187.09543835616441</v>
      </c>
      <c r="J114" s="104" t="s">
        <v>185</v>
      </c>
      <c r="K114" s="97" t="s">
        <v>68</v>
      </c>
      <c r="L114" s="105" t="s">
        <v>75</v>
      </c>
    </row>
    <row r="115" spans="1:12" s="91" customFormat="1" ht="32">
      <c r="A115" s="98" t="s">
        <v>184</v>
      </c>
      <c r="B115" s="100"/>
      <c r="C115" s="99" t="s">
        <v>71</v>
      </c>
      <c r="D115" s="99"/>
      <c r="E115" s="101">
        <v>7151</v>
      </c>
      <c r="F115" s="101">
        <v>51322</v>
      </c>
      <c r="G115" s="101" t="s">
        <v>43</v>
      </c>
      <c r="H115" s="95" t="s">
        <v>43</v>
      </c>
      <c r="I115" s="103">
        <f>1073.42*1%/365*5</f>
        <v>0.14704383561643836</v>
      </c>
      <c r="J115" s="97" t="s">
        <v>186</v>
      </c>
      <c r="K115" s="97"/>
      <c r="L115" s="105" t="s">
        <v>77</v>
      </c>
    </row>
    <row r="116" spans="1:12" ht="32">
      <c r="A116" s="98">
        <v>45966</v>
      </c>
      <c r="B116" s="100"/>
      <c r="C116" s="99" t="s">
        <v>92</v>
      </c>
      <c r="D116" s="99"/>
      <c r="E116" s="101">
        <v>2411</v>
      </c>
      <c r="F116" s="101">
        <v>5131</v>
      </c>
      <c r="G116" s="95" t="s">
        <v>43</v>
      </c>
      <c r="H116" s="95">
        <v>9201</v>
      </c>
      <c r="I116" s="102">
        <v>10000</v>
      </c>
      <c r="J116" s="99"/>
      <c r="K116" s="97" t="s">
        <v>65</v>
      </c>
      <c r="L116" s="112" t="s">
        <v>93</v>
      </c>
    </row>
    <row r="117" spans="1:12" s="91" customFormat="1" ht="64">
      <c r="A117" s="113">
        <v>45975</v>
      </c>
      <c r="B117" s="100"/>
      <c r="C117" s="99" t="s">
        <v>94</v>
      </c>
      <c r="D117" s="99"/>
      <c r="E117" s="101">
        <v>5343</v>
      </c>
      <c r="F117" s="101">
        <v>2421</v>
      </c>
      <c r="G117" s="95" t="s">
        <v>43</v>
      </c>
      <c r="H117" s="95" t="s">
        <v>43</v>
      </c>
      <c r="I117" s="119">
        <v>68.52</v>
      </c>
      <c r="J117" s="104"/>
      <c r="K117" s="97" t="s">
        <v>95</v>
      </c>
      <c r="L117" s="107" t="s">
        <v>96</v>
      </c>
    </row>
    <row r="118" spans="1:12" s="91" customFormat="1" ht="64">
      <c r="A118" s="98" t="s">
        <v>187</v>
      </c>
      <c r="B118" s="100"/>
      <c r="C118" s="99" t="s">
        <v>45</v>
      </c>
      <c r="D118" s="99"/>
      <c r="E118" s="101">
        <v>7151</v>
      </c>
      <c r="F118" s="101">
        <v>51321</v>
      </c>
      <c r="G118" s="101" t="s">
        <v>43</v>
      </c>
      <c r="H118" s="95" t="s">
        <v>43</v>
      </c>
      <c r="I118" s="103">
        <f>146579.67*10%/365*24</f>
        <v>963.81152876712338</v>
      </c>
      <c r="J118" s="104" t="s">
        <v>188</v>
      </c>
      <c r="K118" s="97" t="s">
        <v>68</v>
      </c>
      <c r="L118" s="105" t="s">
        <v>75</v>
      </c>
    </row>
    <row r="119" spans="1:12" s="91" customFormat="1" ht="64">
      <c r="A119" s="98" t="s">
        <v>187</v>
      </c>
      <c r="B119" s="100"/>
      <c r="C119" s="99" t="s">
        <v>71</v>
      </c>
      <c r="D119" s="99"/>
      <c r="E119" s="101">
        <v>7151</v>
      </c>
      <c r="F119" s="101">
        <v>51322</v>
      </c>
      <c r="G119" s="101" t="s">
        <v>43</v>
      </c>
      <c r="H119" s="95" t="s">
        <v>43</v>
      </c>
      <c r="I119" s="103">
        <f>1073.42*1%/365*24</f>
        <v>0.70581041095890418</v>
      </c>
      <c r="J119" s="104" t="s">
        <v>189</v>
      </c>
      <c r="K119" s="97" t="s">
        <v>68</v>
      </c>
      <c r="L119" s="105" t="s">
        <v>77</v>
      </c>
    </row>
    <row r="120" spans="1:12" s="91" customFormat="1" ht="64">
      <c r="A120" s="98">
        <v>45991</v>
      </c>
      <c r="B120" s="100"/>
      <c r="C120" s="99" t="s">
        <v>45</v>
      </c>
      <c r="D120" s="99"/>
      <c r="E120" s="101">
        <v>7151</v>
      </c>
      <c r="F120" s="101">
        <v>51321</v>
      </c>
      <c r="G120" s="101" t="s">
        <v>43</v>
      </c>
      <c r="H120" s="95" t="s">
        <v>43</v>
      </c>
      <c r="I120" s="103">
        <f>146579.67*10%/365*1</f>
        <v>40.158813698630141</v>
      </c>
      <c r="J120" s="104" t="s">
        <v>190</v>
      </c>
      <c r="K120" s="97" t="s">
        <v>68</v>
      </c>
      <c r="L120" s="105" t="s">
        <v>75</v>
      </c>
    </row>
    <row r="121" spans="1:12" s="91" customFormat="1" ht="64">
      <c r="A121" s="98">
        <v>45991</v>
      </c>
      <c r="B121" s="100"/>
      <c r="C121" s="99" t="s">
        <v>71</v>
      </c>
      <c r="D121" s="99"/>
      <c r="E121" s="101">
        <v>7151</v>
      </c>
      <c r="F121" s="101">
        <v>51322</v>
      </c>
      <c r="G121" s="101" t="s">
        <v>43</v>
      </c>
      <c r="H121" s="95" t="s">
        <v>43</v>
      </c>
      <c r="I121" s="103">
        <f>1073.42*1%/365*1</f>
        <v>2.9408767123287674E-2</v>
      </c>
      <c r="J121" s="104" t="s">
        <v>191</v>
      </c>
      <c r="K121" s="97" t="s">
        <v>68</v>
      </c>
      <c r="L121" s="105" t="s">
        <v>77</v>
      </c>
    </row>
    <row r="122" spans="1:12" s="91" customFormat="1" ht="64">
      <c r="A122" s="98">
        <v>45991</v>
      </c>
      <c r="B122" s="100"/>
      <c r="C122" s="99" t="s">
        <v>47</v>
      </c>
      <c r="D122" s="99"/>
      <c r="E122" s="101">
        <v>51321</v>
      </c>
      <c r="F122" s="101" t="s">
        <v>78</v>
      </c>
      <c r="G122" s="95" t="s">
        <v>43</v>
      </c>
      <c r="H122" s="95" t="s">
        <v>43</v>
      </c>
      <c r="I122" s="106">
        <f>1188.36*6%</f>
        <v>71.301599999999993</v>
      </c>
      <c r="J122" s="104" t="s">
        <v>192</v>
      </c>
      <c r="K122" s="97" t="s">
        <v>68</v>
      </c>
      <c r="L122" s="107" t="s">
        <v>103</v>
      </c>
    </row>
    <row r="123" spans="1:12" s="91" customFormat="1" ht="64">
      <c r="A123" s="98">
        <v>45991</v>
      </c>
      <c r="B123" s="100"/>
      <c r="C123" s="99" t="s">
        <v>80</v>
      </c>
      <c r="D123" s="99"/>
      <c r="E123" s="101">
        <v>51322</v>
      </c>
      <c r="F123" s="101" t="s">
        <v>78</v>
      </c>
      <c r="G123" s="95" t="s">
        <v>43</v>
      </c>
      <c r="H123" s="95" t="s">
        <v>43</v>
      </c>
      <c r="I123" s="106">
        <f>0.87*6%</f>
        <v>5.2199999999999996E-2</v>
      </c>
      <c r="J123" s="104" t="s">
        <v>193</v>
      </c>
      <c r="K123" s="97" t="s">
        <v>68</v>
      </c>
      <c r="L123" s="107" t="s">
        <v>105</v>
      </c>
    </row>
    <row r="124" spans="1:12" s="91" customFormat="1" ht="64">
      <c r="A124" s="98">
        <v>45991</v>
      </c>
      <c r="B124" s="100"/>
      <c r="C124" s="99" t="s">
        <v>82</v>
      </c>
      <c r="D124" s="99"/>
      <c r="E124" s="101">
        <v>51321</v>
      </c>
      <c r="F124" s="101">
        <v>51332</v>
      </c>
      <c r="G124" s="101" t="s">
        <v>43</v>
      </c>
      <c r="H124" s="95" t="s">
        <v>43</v>
      </c>
      <c r="I124" s="109">
        <f>1188.36-71.3</f>
        <v>1117.06</v>
      </c>
      <c r="J124" s="104" t="s">
        <v>160</v>
      </c>
      <c r="K124" s="97" t="s">
        <v>68</v>
      </c>
      <c r="L124" s="110" t="s">
        <v>107</v>
      </c>
    </row>
    <row r="125" spans="1:12" s="91" customFormat="1" ht="64">
      <c r="A125" s="98">
        <v>45991</v>
      </c>
      <c r="B125" s="100"/>
      <c r="C125" s="99" t="s">
        <v>85</v>
      </c>
      <c r="D125" s="99"/>
      <c r="E125" s="101">
        <v>51322</v>
      </c>
      <c r="F125" s="101">
        <v>51332</v>
      </c>
      <c r="G125" s="101" t="s">
        <v>43</v>
      </c>
      <c r="H125" s="95" t="s">
        <v>43</v>
      </c>
      <c r="I125" s="120">
        <f>0.87-0.03</f>
        <v>0.84</v>
      </c>
      <c r="J125" s="104" t="s">
        <v>194</v>
      </c>
      <c r="K125" s="97" t="s">
        <v>68</v>
      </c>
      <c r="L125" s="110" t="s">
        <v>109</v>
      </c>
    </row>
    <row r="126" spans="1:12" s="91" customFormat="1">
      <c r="A126" s="99"/>
      <c r="B126" s="100"/>
      <c r="C126" s="99"/>
      <c r="D126" s="99"/>
      <c r="E126" s="101"/>
      <c r="F126" s="101"/>
      <c r="G126" s="101"/>
      <c r="H126" s="95"/>
      <c r="I126" s="95"/>
      <c r="J126" s="104"/>
      <c r="K126" s="97"/>
      <c r="L126" s="99"/>
    </row>
    <row r="127" spans="1:12" s="91" customFormat="1" ht="64">
      <c r="A127" s="98" t="s">
        <v>195</v>
      </c>
      <c r="B127" s="100"/>
      <c r="C127" s="99" t="s">
        <v>45</v>
      </c>
      <c r="D127" s="99"/>
      <c r="E127" s="101">
        <v>7151</v>
      </c>
      <c r="F127" s="101">
        <v>51321</v>
      </c>
      <c r="G127" s="101" t="s">
        <v>43</v>
      </c>
      <c r="H127" s="95" t="s">
        <v>43</v>
      </c>
      <c r="I127" s="103">
        <f>146579.67*10%/365*5</f>
        <v>200.79406849315069</v>
      </c>
      <c r="J127" s="104" t="s">
        <v>196</v>
      </c>
      <c r="K127" s="97" t="s">
        <v>68</v>
      </c>
      <c r="L127" s="105" t="s">
        <v>75</v>
      </c>
    </row>
    <row r="128" spans="1:12" s="91" customFormat="1" ht="32">
      <c r="A128" s="98" t="s">
        <v>195</v>
      </c>
      <c r="B128" s="100"/>
      <c r="C128" s="99" t="s">
        <v>71</v>
      </c>
      <c r="D128" s="99"/>
      <c r="E128" s="101">
        <v>7151</v>
      </c>
      <c r="F128" s="101">
        <v>51322</v>
      </c>
      <c r="G128" s="101" t="s">
        <v>43</v>
      </c>
      <c r="H128" s="95" t="s">
        <v>43</v>
      </c>
      <c r="I128" s="103">
        <f>2191.3*1%/365*5</f>
        <v>0.30017808219178088</v>
      </c>
      <c r="J128" s="104" t="s">
        <v>197</v>
      </c>
      <c r="K128" s="97"/>
      <c r="L128" s="105" t="s">
        <v>77</v>
      </c>
    </row>
    <row r="129" spans="1:12" ht="32">
      <c r="A129" s="98">
        <v>45996</v>
      </c>
      <c r="B129" s="100"/>
      <c r="C129" s="99" t="s">
        <v>92</v>
      </c>
      <c r="D129" s="99"/>
      <c r="E129" s="101">
        <v>2411</v>
      </c>
      <c r="F129" s="101">
        <v>5131</v>
      </c>
      <c r="G129" s="95" t="s">
        <v>43</v>
      </c>
      <c r="H129" s="95">
        <v>9201</v>
      </c>
      <c r="I129" s="102">
        <v>10000</v>
      </c>
      <c r="J129" s="99"/>
      <c r="K129" s="97" t="s">
        <v>65</v>
      </c>
      <c r="L129" s="112" t="s">
        <v>93</v>
      </c>
    </row>
    <row r="130" spans="1:12" s="91" customFormat="1" ht="64">
      <c r="A130" s="113">
        <v>46005</v>
      </c>
      <c r="B130" s="100"/>
      <c r="C130" s="99" t="s">
        <v>94</v>
      </c>
      <c r="D130" s="99"/>
      <c r="E130" s="101">
        <v>5343</v>
      </c>
      <c r="F130" s="101">
        <v>2421</v>
      </c>
      <c r="G130" s="95" t="s">
        <v>43</v>
      </c>
      <c r="H130" s="95" t="s">
        <v>43</v>
      </c>
      <c r="I130" s="119">
        <v>71.349999999999994</v>
      </c>
      <c r="J130" s="104"/>
      <c r="K130" s="97" t="s">
        <v>95</v>
      </c>
      <c r="L130" s="107" t="s">
        <v>96</v>
      </c>
    </row>
    <row r="131" spans="1:12" s="91" customFormat="1" ht="32">
      <c r="A131" s="98" t="s">
        <v>198</v>
      </c>
      <c r="B131" s="100"/>
      <c r="C131" s="99" t="s">
        <v>45</v>
      </c>
      <c r="D131" s="99"/>
      <c r="E131" s="101">
        <v>7151</v>
      </c>
      <c r="F131" s="101">
        <v>51321</v>
      </c>
      <c r="G131" s="101" t="s">
        <v>43</v>
      </c>
      <c r="H131" s="95" t="s">
        <v>43</v>
      </c>
      <c r="I131" s="103">
        <f>156579.67*10%/365*25</f>
        <v>1072.4634931506851</v>
      </c>
      <c r="J131" s="104" t="s">
        <v>199</v>
      </c>
      <c r="K131" s="97"/>
      <c r="L131" s="105" t="s">
        <v>75</v>
      </c>
    </row>
    <row r="132" spans="1:12" s="91" customFormat="1" ht="32">
      <c r="A132" s="98" t="s">
        <v>198</v>
      </c>
      <c r="B132" s="100"/>
      <c r="C132" s="99" t="s">
        <v>71</v>
      </c>
      <c r="D132" s="99"/>
      <c r="E132" s="101">
        <v>7151</v>
      </c>
      <c r="F132" s="101">
        <v>51322</v>
      </c>
      <c r="G132" s="101" t="s">
        <v>43</v>
      </c>
      <c r="H132" s="95" t="s">
        <v>43</v>
      </c>
      <c r="I132" s="103">
        <f>2191.3*1%/365*25</f>
        <v>1.5008904109589045</v>
      </c>
      <c r="J132" s="97" t="s">
        <v>197</v>
      </c>
      <c r="K132" s="97"/>
      <c r="L132" s="105" t="s">
        <v>77</v>
      </c>
    </row>
    <row r="133" spans="1:12" s="91" customFormat="1" ht="64">
      <c r="A133" s="98">
        <v>46022</v>
      </c>
      <c r="B133" s="100"/>
      <c r="C133" s="99" t="s">
        <v>127</v>
      </c>
      <c r="D133" s="99"/>
      <c r="E133" s="101">
        <v>5131</v>
      </c>
      <c r="F133" s="101">
        <v>51331</v>
      </c>
      <c r="G133" s="101" t="s">
        <v>43</v>
      </c>
      <c r="H133" s="95" t="s">
        <v>43</v>
      </c>
      <c r="I133" s="115">
        <v>20000</v>
      </c>
      <c r="J133" s="104"/>
      <c r="K133" s="97" t="s">
        <v>68</v>
      </c>
      <c r="L133" s="116" t="s">
        <v>169</v>
      </c>
    </row>
    <row r="134" spans="1:12" s="91" customFormat="1" ht="64">
      <c r="A134" s="98">
        <v>46022</v>
      </c>
      <c r="B134" s="100"/>
      <c r="C134" s="99" t="s">
        <v>45</v>
      </c>
      <c r="D134" s="99"/>
      <c r="E134" s="101">
        <v>7151</v>
      </c>
      <c r="F134" s="101">
        <v>51321</v>
      </c>
      <c r="G134" s="101" t="s">
        <v>43</v>
      </c>
      <c r="H134" s="95" t="s">
        <v>43</v>
      </c>
      <c r="I134" s="103">
        <f>136579.67*10%/365*1</f>
        <v>37.41908767123288</v>
      </c>
      <c r="J134" s="104" t="s">
        <v>200</v>
      </c>
      <c r="K134" s="97" t="s">
        <v>68</v>
      </c>
      <c r="L134" s="105" t="s">
        <v>75</v>
      </c>
    </row>
    <row r="135" spans="1:12" s="91" customFormat="1" ht="32">
      <c r="A135" s="98">
        <v>46022</v>
      </c>
      <c r="B135" s="100"/>
      <c r="C135" s="99" t="s">
        <v>71</v>
      </c>
      <c r="D135" s="99"/>
      <c r="E135" s="101">
        <v>7151</v>
      </c>
      <c r="F135" s="101">
        <v>51322</v>
      </c>
      <c r="G135" s="101" t="s">
        <v>43</v>
      </c>
      <c r="H135" s="95" t="s">
        <v>43</v>
      </c>
      <c r="I135" s="103">
        <f>2191.3*1%/365*1</f>
        <v>6.0035616438356178E-2</v>
      </c>
      <c r="J135" s="97" t="s">
        <v>201</v>
      </c>
      <c r="K135" s="97"/>
      <c r="L135" s="105" t="s">
        <v>77</v>
      </c>
    </row>
    <row r="136" spans="1:12" s="91" customFormat="1" ht="64">
      <c r="A136" s="98">
        <v>46022</v>
      </c>
      <c r="B136" s="100"/>
      <c r="C136" s="99" t="s">
        <v>47</v>
      </c>
      <c r="D136" s="99"/>
      <c r="E136" s="101">
        <v>51321</v>
      </c>
      <c r="F136" s="101" t="s">
        <v>78</v>
      </c>
      <c r="G136" s="95" t="s">
        <v>43</v>
      </c>
      <c r="H136" s="95" t="s">
        <v>43</v>
      </c>
      <c r="I136" s="106">
        <f>1313.46*6%</f>
        <v>78.807599999999994</v>
      </c>
      <c r="J136" s="104" t="s">
        <v>202</v>
      </c>
      <c r="K136" s="97" t="s">
        <v>68</v>
      </c>
      <c r="L136" s="107" t="s">
        <v>103</v>
      </c>
    </row>
    <row r="137" spans="1:12" s="91" customFormat="1" ht="64">
      <c r="A137" s="98">
        <v>46022</v>
      </c>
      <c r="B137" s="100"/>
      <c r="C137" s="99" t="s">
        <v>80</v>
      </c>
      <c r="D137" s="99"/>
      <c r="E137" s="101">
        <v>51322</v>
      </c>
      <c r="F137" s="101" t="s">
        <v>78</v>
      </c>
      <c r="G137" s="95" t="s">
        <v>43</v>
      </c>
      <c r="H137" s="95" t="s">
        <v>43</v>
      </c>
      <c r="I137" s="106">
        <f>1.83*6%</f>
        <v>0.10979999999999999</v>
      </c>
      <c r="J137" s="104" t="s">
        <v>203</v>
      </c>
      <c r="K137" s="97" t="s">
        <v>68</v>
      </c>
      <c r="L137" s="107" t="s">
        <v>105</v>
      </c>
    </row>
    <row r="138" spans="1:12" s="91" customFormat="1" ht="64">
      <c r="A138" s="98">
        <v>46022</v>
      </c>
      <c r="B138" s="100"/>
      <c r="C138" s="99" t="s">
        <v>82</v>
      </c>
      <c r="D138" s="99"/>
      <c r="E138" s="101">
        <v>51321</v>
      </c>
      <c r="F138" s="101">
        <v>51332</v>
      </c>
      <c r="G138" s="101" t="s">
        <v>43</v>
      </c>
      <c r="H138" s="95" t="s">
        <v>43</v>
      </c>
      <c r="I138" s="109">
        <f>1313.46-78.81</f>
        <v>1234.6500000000001</v>
      </c>
      <c r="J138" s="104" t="s">
        <v>204</v>
      </c>
      <c r="K138" s="97" t="s">
        <v>68</v>
      </c>
      <c r="L138" s="110" t="s">
        <v>107</v>
      </c>
    </row>
    <row r="139" spans="1:12" s="91" customFormat="1" ht="64">
      <c r="A139" s="98">
        <v>46022</v>
      </c>
      <c r="B139" s="100"/>
      <c r="C139" s="99" t="s">
        <v>85</v>
      </c>
      <c r="D139" s="99"/>
      <c r="E139" s="101">
        <v>51322</v>
      </c>
      <c r="F139" s="101">
        <v>51332</v>
      </c>
      <c r="G139" s="101" t="s">
        <v>43</v>
      </c>
      <c r="H139" s="95" t="s">
        <v>43</v>
      </c>
      <c r="I139" s="111">
        <f>1.83-0.06</f>
        <v>1.77</v>
      </c>
      <c r="J139" s="104" t="s">
        <v>205</v>
      </c>
      <c r="K139" s="97" t="s">
        <v>68</v>
      </c>
      <c r="L139" s="110" t="s">
        <v>109</v>
      </c>
    </row>
    <row r="140" spans="1:12" s="91" customFormat="1">
      <c r="A140" s="98"/>
      <c r="B140" s="100"/>
      <c r="C140" s="99"/>
      <c r="D140" s="99"/>
      <c r="E140" s="101"/>
      <c r="F140" s="101"/>
      <c r="G140" s="101"/>
      <c r="H140" s="95"/>
      <c r="I140" s="95"/>
      <c r="J140" s="104"/>
      <c r="K140" s="97"/>
      <c r="L140" s="99"/>
    </row>
    <row r="141" spans="1:12" s="91" customFormat="1" ht="64">
      <c r="A141" s="98">
        <v>46023</v>
      </c>
      <c r="B141" s="100"/>
      <c r="C141" s="99" t="s">
        <v>134</v>
      </c>
      <c r="D141" s="99"/>
      <c r="E141" s="101">
        <v>51331</v>
      </c>
      <c r="F141" s="101">
        <v>2411</v>
      </c>
      <c r="G141" s="101" t="s">
        <v>43</v>
      </c>
      <c r="H141" s="95" t="s">
        <v>43</v>
      </c>
      <c r="I141" s="115">
        <v>20000</v>
      </c>
      <c r="J141" s="104"/>
      <c r="K141" s="97" t="s">
        <v>135</v>
      </c>
      <c r="L141" s="116" t="s">
        <v>136</v>
      </c>
    </row>
    <row r="142" spans="1:12" s="91" customFormat="1" ht="64">
      <c r="A142" s="98">
        <v>46023</v>
      </c>
      <c r="B142" s="100"/>
      <c r="C142" s="99" t="s">
        <v>137</v>
      </c>
      <c r="D142" s="99"/>
      <c r="E142" s="101">
        <v>51332</v>
      </c>
      <c r="F142" s="101">
        <v>5131</v>
      </c>
      <c r="G142" s="101" t="s">
        <v>43</v>
      </c>
      <c r="H142" s="95" t="s">
        <v>43</v>
      </c>
      <c r="I142" s="117">
        <v>3427.67</v>
      </c>
      <c r="J142" s="104"/>
      <c r="K142" s="97" t="s">
        <v>68</v>
      </c>
      <c r="L142" s="118" t="s">
        <v>175</v>
      </c>
    </row>
    <row r="143" spans="1:12" s="91" customFormat="1" ht="64">
      <c r="A143" s="98">
        <v>46023</v>
      </c>
      <c r="B143" s="100"/>
      <c r="C143" s="99" t="s">
        <v>45</v>
      </c>
      <c r="D143" s="99"/>
      <c r="E143" s="101">
        <v>7151</v>
      </c>
      <c r="F143" s="101">
        <v>51321</v>
      </c>
      <c r="G143" s="101" t="s">
        <v>43</v>
      </c>
      <c r="H143" s="95" t="s">
        <v>43</v>
      </c>
      <c r="I143" s="103">
        <f>136579.67*10%/365*1</f>
        <v>37.41908767123288</v>
      </c>
      <c r="J143" s="104" t="s">
        <v>200</v>
      </c>
      <c r="K143" s="97" t="s">
        <v>68</v>
      </c>
      <c r="L143" s="105" t="s">
        <v>75</v>
      </c>
    </row>
    <row r="144" spans="1:12" s="91" customFormat="1" ht="64">
      <c r="A144" s="98">
        <v>46023</v>
      </c>
      <c r="B144" s="100"/>
      <c r="C144" s="99" t="s">
        <v>71</v>
      </c>
      <c r="D144" s="99"/>
      <c r="E144" s="101">
        <v>7151</v>
      </c>
      <c r="F144" s="101">
        <v>51322</v>
      </c>
      <c r="G144" s="101" t="s">
        <v>43</v>
      </c>
      <c r="H144" s="95" t="s">
        <v>43</v>
      </c>
      <c r="I144" s="103">
        <f>0*1%/365*1</f>
        <v>0</v>
      </c>
      <c r="J144" s="104" t="s">
        <v>139</v>
      </c>
      <c r="K144" s="97" t="s">
        <v>68</v>
      </c>
      <c r="L144" s="105" t="s">
        <v>77</v>
      </c>
    </row>
    <row r="145" spans="1:12" s="91" customFormat="1" ht="64">
      <c r="A145" s="98" t="s">
        <v>206</v>
      </c>
      <c r="B145" s="100"/>
      <c r="C145" s="99" t="s">
        <v>45</v>
      </c>
      <c r="D145" s="99"/>
      <c r="E145" s="101">
        <v>7151</v>
      </c>
      <c r="F145" s="101">
        <v>51321</v>
      </c>
      <c r="G145" s="101" t="s">
        <v>43</v>
      </c>
      <c r="H145" s="95" t="s">
        <v>43</v>
      </c>
      <c r="I145" s="103">
        <f>140007.34*10%/365*4</f>
        <v>153.43270136986303</v>
      </c>
      <c r="J145" s="104" t="s">
        <v>207</v>
      </c>
      <c r="K145" s="97" t="s">
        <v>68</v>
      </c>
      <c r="L145" s="105" t="s">
        <v>75</v>
      </c>
    </row>
    <row r="146" spans="1:12" s="91" customFormat="1" ht="32">
      <c r="A146" s="98" t="s">
        <v>206</v>
      </c>
      <c r="B146" s="100"/>
      <c r="C146" s="99" t="s">
        <v>71</v>
      </c>
      <c r="D146" s="99"/>
      <c r="E146" s="101">
        <v>7151</v>
      </c>
      <c r="F146" s="101">
        <v>51322</v>
      </c>
      <c r="G146" s="101" t="s">
        <v>43</v>
      </c>
      <c r="H146" s="95" t="s">
        <v>43</v>
      </c>
      <c r="I146" s="103">
        <f>0*1%/365*4</f>
        <v>0</v>
      </c>
      <c r="J146" s="104" t="s">
        <v>142</v>
      </c>
      <c r="K146" s="97"/>
      <c r="L146" s="105" t="s">
        <v>77</v>
      </c>
    </row>
    <row r="147" spans="1:12" ht="32">
      <c r="A147" s="98">
        <v>46027</v>
      </c>
      <c r="B147" s="100"/>
      <c r="C147" s="99" t="s">
        <v>92</v>
      </c>
      <c r="D147" s="99"/>
      <c r="E147" s="101">
        <v>2411</v>
      </c>
      <c r="F147" s="101">
        <v>5131</v>
      </c>
      <c r="G147" s="95" t="s">
        <v>43</v>
      </c>
      <c r="H147" s="95">
        <v>9201</v>
      </c>
      <c r="I147" s="102">
        <v>10000</v>
      </c>
      <c r="J147" s="99"/>
      <c r="K147" s="97" t="s">
        <v>65</v>
      </c>
      <c r="L147" s="112" t="s">
        <v>93</v>
      </c>
    </row>
    <row r="148" spans="1:12" s="91" customFormat="1" ht="64">
      <c r="A148" s="113">
        <v>46036</v>
      </c>
      <c r="B148" s="100"/>
      <c r="C148" s="99" t="s">
        <v>94</v>
      </c>
      <c r="D148" s="99"/>
      <c r="E148" s="101">
        <v>5343</v>
      </c>
      <c r="F148" s="101">
        <v>2421</v>
      </c>
      <c r="G148" s="95" t="s">
        <v>43</v>
      </c>
      <c r="H148" s="95" t="s">
        <v>43</v>
      </c>
      <c r="I148" s="119">
        <v>78.92</v>
      </c>
      <c r="J148" s="104"/>
      <c r="K148" s="97" t="s">
        <v>95</v>
      </c>
      <c r="L148" s="107" t="s">
        <v>96</v>
      </c>
    </row>
    <row r="149" spans="1:12" s="91" customFormat="1" ht="64">
      <c r="A149" s="98" t="s">
        <v>208</v>
      </c>
      <c r="B149" s="100"/>
      <c r="C149" s="99" t="s">
        <v>45</v>
      </c>
      <c r="D149" s="99"/>
      <c r="E149" s="101">
        <v>7151</v>
      </c>
      <c r="F149" s="101">
        <v>51321</v>
      </c>
      <c r="G149" s="101" t="s">
        <v>43</v>
      </c>
      <c r="H149" s="95" t="s">
        <v>43</v>
      </c>
      <c r="I149" s="103">
        <f>150007.34*10%/365*25</f>
        <v>1027.4475342465755</v>
      </c>
      <c r="J149" s="104" t="s">
        <v>209</v>
      </c>
      <c r="K149" s="97" t="s">
        <v>68</v>
      </c>
      <c r="L149" s="105" t="s">
        <v>75</v>
      </c>
    </row>
    <row r="150" spans="1:12" s="91" customFormat="1" ht="32">
      <c r="A150" s="98" t="s">
        <v>208</v>
      </c>
      <c r="B150" s="100"/>
      <c r="C150" s="99" t="s">
        <v>71</v>
      </c>
      <c r="D150" s="99"/>
      <c r="E150" s="101">
        <v>7151</v>
      </c>
      <c r="F150" s="101">
        <v>51322</v>
      </c>
      <c r="G150" s="101" t="s">
        <v>43</v>
      </c>
      <c r="H150" s="95" t="s">
        <v>43</v>
      </c>
      <c r="I150" s="103">
        <f>0*1%/365*25</f>
        <v>0</v>
      </c>
      <c r="J150" s="104" t="s">
        <v>145</v>
      </c>
      <c r="K150" s="97"/>
      <c r="L150" s="105" t="s">
        <v>77</v>
      </c>
    </row>
    <row r="151" spans="1:12" s="91" customFormat="1" ht="64">
      <c r="A151" s="98">
        <v>46053</v>
      </c>
      <c r="B151" s="100"/>
      <c r="C151" s="99" t="s">
        <v>45</v>
      </c>
      <c r="D151" s="99"/>
      <c r="E151" s="101">
        <v>7151</v>
      </c>
      <c r="F151" s="101">
        <v>51321</v>
      </c>
      <c r="G151" s="101" t="s">
        <v>43</v>
      </c>
      <c r="H151" s="95" t="s">
        <v>43</v>
      </c>
      <c r="I151" s="103">
        <f>150007.34*10%/365*1</f>
        <v>41.097901369863017</v>
      </c>
      <c r="J151" s="104" t="s">
        <v>210</v>
      </c>
      <c r="K151" s="97" t="s">
        <v>68</v>
      </c>
      <c r="L151" s="105" t="s">
        <v>75</v>
      </c>
    </row>
    <row r="152" spans="1:12" s="91" customFormat="1" ht="32">
      <c r="A152" s="98">
        <v>46053</v>
      </c>
      <c r="B152" s="100"/>
      <c r="C152" s="99" t="s">
        <v>71</v>
      </c>
      <c r="D152" s="99"/>
      <c r="E152" s="101">
        <v>7151</v>
      </c>
      <c r="F152" s="101">
        <v>51322</v>
      </c>
      <c r="G152" s="101" t="s">
        <v>43</v>
      </c>
      <c r="H152" s="95" t="s">
        <v>43</v>
      </c>
      <c r="I152" s="103">
        <f>0*1%/365*1</f>
        <v>0</v>
      </c>
      <c r="J152" s="104" t="s">
        <v>139</v>
      </c>
      <c r="K152" s="97"/>
      <c r="L152" s="105" t="s">
        <v>77</v>
      </c>
    </row>
    <row r="153" spans="1:12" s="91" customFormat="1" ht="64">
      <c r="A153" s="98">
        <v>46053</v>
      </c>
      <c r="B153" s="100"/>
      <c r="C153" s="99" t="s">
        <v>47</v>
      </c>
      <c r="D153" s="99"/>
      <c r="E153" s="101">
        <v>51321</v>
      </c>
      <c r="F153" s="101" t="s">
        <v>78</v>
      </c>
      <c r="G153" s="95" t="s">
        <v>43</v>
      </c>
      <c r="H153" s="95" t="s">
        <v>43</v>
      </c>
      <c r="I153" s="106">
        <f>1255.78*6%</f>
        <v>75.346800000000002</v>
      </c>
      <c r="J153" s="104" t="s">
        <v>211</v>
      </c>
      <c r="K153" s="97" t="s">
        <v>68</v>
      </c>
      <c r="L153" s="107" t="s">
        <v>103</v>
      </c>
    </row>
    <row r="154" spans="1:12" s="91" customFormat="1" ht="48">
      <c r="A154" s="98">
        <v>46053</v>
      </c>
      <c r="B154" s="100"/>
      <c r="C154" s="99" t="s">
        <v>80</v>
      </c>
      <c r="D154" s="99"/>
      <c r="E154" s="101">
        <v>51322</v>
      </c>
      <c r="F154" s="101" t="s">
        <v>78</v>
      </c>
      <c r="G154" s="95" t="s">
        <v>43</v>
      </c>
      <c r="H154" s="95" t="s">
        <v>43</v>
      </c>
      <c r="I154" s="106">
        <f>0.06*6%</f>
        <v>3.5999999999999999E-3</v>
      </c>
      <c r="J154" s="104" t="s">
        <v>181</v>
      </c>
      <c r="K154" s="97"/>
      <c r="L154" s="107" t="s">
        <v>105</v>
      </c>
    </row>
    <row r="155" spans="1:12" s="91" customFormat="1" ht="64">
      <c r="A155" s="98">
        <v>46053</v>
      </c>
      <c r="B155" s="100"/>
      <c r="C155" s="99" t="s">
        <v>82</v>
      </c>
      <c r="D155" s="99"/>
      <c r="E155" s="101">
        <v>51321</v>
      </c>
      <c r="F155" s="101">
        <v>51332</v>
      </c>
      <c r="G155" s="101" t="s">
        <v>43</v>
      </c>
      <c r="H155" s="95" t="s">
        <v>43</v>
      </c>
      <c r="I155" s="109">
        <f>1255.78-75.35</f>
        <v>1180.43</v>
      </c>
      <c r="J155" s="104" t="s">
        <v>212</v>
      </c>
      <c r="K155" s="97" t="s">
        <v>68</v>
      </c>
      <c r="L155" s="110" t="s">
        <v>107</v>
      </c>
    </row>
    <row r="156" spans="1:12" s="91" customFormat="1" ht="48">
      <c r="A156" s="98">
        <v>46053</v>
      </c>
      <c r="B156" s="100"/>
      <c r="C156" s="99" t="s">
        <v>85</v>
      </c>
      <c r="D156" s="99"/>
      <c r="E156" s="101">
        <v>51322</v>
      </c>
      <c r="F156" s="101">
        <v>51332</v>
      </c>
      <c r="G156" s="101" t="s">
        <v>43</v>
      </c>
      <c r="H156" s="95" t="s">
        <v>43</v>
      </c>
      <c r="I156" s="120">
        <f>0.06-0.01</f>
        <v>4.9999999999999996E-2</v>
      </c>
      <c r="J156" s="104" t="s">
        <v>183</v>
      </c>
      <c r="K156" s="97"/>
      <c r="L156" s="110" t="s">
        <v>109</v>
      </c>
    </row>
    <row r="157" spans="1:12" s="91" customFormat="1">
      <c r="A157" s="98"/>
      <c r="B157" s="100"/>
      <c r="C157" s="99"/>
      <c r="D157" s="99"/>
      <c r="E157" s="101"/>
      <c r="F157" s="101"/>
      <c r="G157" s="101"/>
      <c r="H157" s="95"/>
      <c r="I157" s="95"/>
      <c r="J157" s="104"/>
      <c r="K157" s="97"/>
      <c r="L157" s="92"/>
    </row>
    <row r="158" spans="1:12" s="91" customFormat="1" ht="64">
      <c r="A158" s="98" t="s">
        <v>213</v>
      </c>
      <c r="B158" s="100"/>
      <c r="C158" s="99" t="s">
        <v>45</v>
      </c>
      <c r="D158" s="99"/>
      <c r="E158" s="101">
        <v>7151</v>
      </c>
      <c r="F158" s="101">
        <v>51321</v>
      </c>
      <c r="G158" s="101" t="s">
        <v>43</v>
      </c>
      <c r="H158" s="95" t="s">
        <v>43</v>
      </c>
      <c r="I158" s="103">
        <f>150007.34*10%/365*5</f>
        <v>205.48950684931509</v>
      </c>
      <c r="J158" s="104" t="s">
        <v>214</v>
      </c>
      <c r="K158" s="97" t="s">
        <v>68</v>
      </c>
      <c r="L158" s="105" t="s">
        <v>75</v>
      </c>
    </row>
    <row r="159" spans="1:12" s="91" customFormat="1" ht="32">
      <c r="A159" s="98" t="s">
        <v>213</v>
      </c>
      <c r="B159" s="100"/>
      <c r="C159" s="99" t="s">
        <v>71</v>
      </c>
      <c r="D159" s="99"/>
      <c r="E159" s="101">
        <v>7151</v>
      </c>
      <c r="F159" s="101">
        <v>51322</v>
      </c>
      <c r="G159" s="101" t="s">
        <v>43</v>
      </c>
      <c r="H159" s="95" t="s">
        <v>43</v>
      </c>
      <c r="I159" s="103">
        <f>1180.49*1%/365*5</f>
        <v>0.16171095890410961</v>
      </c>
      <c r="J159" s="97" t="s">
        <v>215</v>
      </c>
      <c r="K159" s="97"/>
      <c r="L159" s="105" t="s">
        <v>77</v>
      </c>
    </row>
    <row r="160" spans="1:12" ht="32">
      <c r="A160" s="98">
        <v>46058</v>
      </c>
      <c r="B160" s="100"/>
      <c r="C160" s="99" t="s">
        <v>92</v>
      </c>
      <c r="D160" s="99"/>
      <c r="E160" s="101">
        <v>2411</v>
      </c>
      <c r="F160" s="101">
        <v>5131</v>
      </c>
      <c r="G160" s="95" t="s">
        <v>43</v>
      </c>
      <c r="H160" s="95">
        <v>9201</v>
      </c>
      <c r="I160" s="102">
        <v>10000</v>
      </c>
      <c r="J160" s="99"/>
      <c r="K160" s="97" t="s">
        <v>65</v>
      </c>
      <c r="L160" s="112" t="s">
        <v>93</v>
      </c>
    </row>
    <row r="161" spans="1:12" s="91" customFormat="1" ht="64">
      <c r="A161" s="113">
        <v>46067</v>
      </c>
      <c r="B161" s="100"/>
      <c r="C161" s="99" t="s">
        <v>94</v>
      </c>
      <c r="D161" s="99"/>
      <c r="E161" s="101">
        <v>5343</v>
      </c>
      <c r="F161" s="101">
        <v>2421</v>
      </c>
      <c r="G161" s="95" t="s">
        <v>43</v>
      </c>
      <c r="H161" s="95" t="s">
        <v>43</v>
      </c>
      <c r="I161" s="119">
        <v>75.349999999999994</v>
      </c>
      <c r="J161" s="104"/>
      <c r="K161" s="97" t="s">
        <v>95</v>
      </c>
      <c r="L161" s="107" t="s">
        <v>96</v>
      </c>
    </row>
    <row r="162" spans="1:12" s="91" customFormat="1" ht="64">
      <c r="A162" s="98" t="s">
        <v>216</v>
      </c>
      <c r="B162" s="100"/>
      <c r="C162" s="99" t="s">
        <v>45</v>
      </c>
      <c r="D162" s="99"/>
      <c r="E162" s="101">
        <v>7151</v>
      </c>
      <c r="F162" s="101">
        <v>51321</v>
      </c>
      <c r="G162" s="101" t="s">
        <v>43</v>
      </c>
      <c r="H162" s="95" t="s">
        <v>43</v>
      </c>
      <c r="I162" s="103">
        <f>160007.34*10%/365*22</f>
        <v>964.42780273972608</v>
      </c>
      <c r="J162" s="104" t="s">
        <v>217</v>
      </c>
      <c r="K162" s="97" t="s">
        <v>68</v>
      </c>
      <c r="L162" s="105" t="s">
        <v>75</v>
      </c>
    </row>
    <row r="163" spans="1:12" s="91" customFormat="1" ht="64">
      <c r="A163" s="98" t="s">
        <v>216</v>
      </c>
      <c r="B163" s="100"/>
      <c r="C163" s="99" t="s">
        <v>71</v>
      </c>
      <c r="D163" s="99"/>
      <c r="E163" s="101">
        <v>7151</v>
      </c>
      <c r="F163" s="101">
        <v>51322</v>
      </c>
      <c r="G163" s="101" t="s">
        <v>43</v>
      </c>
      <c r="H163" s="95" t="s">
        <v>43</v>
      </c>
      <c r="I163" s="103">
        <f>1180.49*1%/365*22</f>
        <v>0.71152821917808229</v>
      </c>
      <c r="J163" s="104" t="s">
        <v>218</v>
      </c>
      <c r="K163" s="97" t="s">
        <v>68</v>
      </c>
      <c r="L163" s="105" t="s">
        <v>77</v>
      </c>
    </row>
    <row r="164" spans="1:12" s="91" customFormat="1" ht="64">
      <c r="A164" s="98">
        <v>46081</v>
      </c>
      <c r="B164" s="100"/>
      <c r="C164" s="99" t="s">
        <v>45</v>
      </c>
      <c r="D164" s="99"/>
      <c r="E164" s="101">
        <v>7151</v>
      </c>
      <c r="F164" s="101">
        <v>51321</v>
      </c>
      <c r="G164" s="101" t="s">
        <v>43</v>
      </c>
      <c r="H164" s="95" t="s">
        <v>43</v>
      </c>
      <c r="I164" s="103">
        <f>160007.34*10%/365*1</f>
        <v>43.837627397260277</v>
      </c>
      <c r="J164" s="104" t="s">
        <v>219</v>
      </c>
      <c r="K164" s="97" t="s">
        <v>68</v>
      </c>
      <c r="L164" s="105" t="s">
        <v>75</v>
      </c>
    </row>
    <row r="165" spans="1:12" s="91" customFormat="1" ht="64">
      <c r="A165" s="98">
        <v>46081</v>
      </c>
      <c r="B165" s="100"/>
      <c r="C165" s="99" t="s">
        <v>71</v>
      </c>
      <c r="D165" s="99"/>
      <c r="E165" s="101">
        <v>7151</v>
      </c>
      <c r="F165" s="101">
        <v>51322</v>
      </c>
      <c r="G165" s="101" t="s">
        <v>43</v>
      </c>
      <c r="H165" s="95" t="s">
        <v>43</v>
      </c>
      <c r="I165" s="103">
        <f>1180.49*1%/365*1</f>
        <v>3.234219178082192E-2</v>
      </c>
      <c r="J165" s="104" t="s">
        <v>220</v>
      </c>
      <c r="K165" s="97" t="s">
        <v>68</v>
      </c>
      <c r="L165" s="105" t="s">
        <v>77</v>
      </c>
    </row>
    <row r="166" spans="1:12" s="91" customFormat="1" ht="64">
      <c r="A166" s="98">
        <v>46081</v>
      </c>
      <c r="B166" s="100"/>
      <c r="C166" s="99" t="s">
        <v>47</v>
      </c>
      <c r="D166" s="99"/>
      <c r="E166" s="101">
        <v>51321</v>
      </c>
      <c r="F166" s="101" t="s">
        <v>78</v>
      </c>
      <c r="G166" s="95" t="s">
        <v>43</v>
      </c>
      <c r="H166" s="95" t="s">
        <v>43</v>
      </c>
      <c r="I166" s="106">
        <f>1211.08*6%</f>
        <v>72.6648</v>
      </c>
      <c r="J166" s="104" t="s">
        <v>221</v>
      </c>
      <c r="K166" s="97" t="s">
        <v>68</v>
      </c>
      <c r="L166" s="107" t="s">
        <v>103</v>
      </c>
    </row>
    <row r="167" spans="1:12" s="91" customFormat="1" ht="64">
      <c r="A167" s="98">
        <v>46081</v>
      </c>
      <c r="B167" s="100"/>
      <c r="C167" s="99" t="s">
        <v>80</v>
      </c>
      <c r="D167" s="99"/>
      <c r="E167" s="101">
        <v>51322</v>
      </c>
      <c r="F167" s="101" t="s">
        <v>78</v>
      </c>
      <c r="G167" s="95" t="s">
        <v>43</v>
      </c>
      <c r="H167" s="95" t="s">
        <v>43</v>
      </c>
      <c r="I167" s="106">
        <f>0.81*6%</f>
        <v>4.8600000000000004E-2</v>
      </c>
      <c r="J167" s="104" t="s">
        <v>222</v>
      </c>
      <c r="K167" s="97" t="s">
        <v>68</v>
      </c>
      <c r="L167" s="107" t="s">
        <v>105</v>
      </c>
    </row>
    <row r="168" spans="1:12" s="91" customFormat="1" ht="64">
      <c r="A168" s="98">
        <v>46081</v>
      </c>
      <c r="B168" s="100"/>
      <c r="C168" s="99" t="s">
        <v>82</v>
      </c>
      <c r="D168" s="99"/>
      <c r="E168" s="101">
        <v>51321</v>
      </c>
      <c r="F168" s="101">
        <v>51332</v>
      </c>
      <c r="G168" s="101" t="s">
        <v>43</v>
      </c>
      <c r="H168" s="95" t="s">
        <v>43</v>
      </c>
      <c r="I168" s="109">
        <f>1211.08-72.66</f>
        <v>1138.4199999999998</v>
      </c>
      <c r="J168" s="104" t="s">
        <v>223</v>
      </c>
      <c r="K168" s="97" t="s">
        <v>68</v>
      </c>
      <c r="L168" s="110" t="s">
        <v>107</v>
      </c>
    </row>
    <row r="169" spans="1:12" s="91" customFormat="1" ht="64">
      <c r="A169" s="98">
        <v>46081</v>
      </c>
      <c r="B169" s="100"/>
      <c r="C169" s="99" t="s">
        <v>85</v>
      </c>
      <c r="D169" s="99"/>
      <c r="E169" s="101">
        <v>51322</v>
      </c>
      <c r="F169" s="101">
        <v>51332</v>
      </c>
      <c r="G169" s="101" t="s">
        <v>43</v>
      </c>
      <c r="H169" s="95" t="s">
        <v>43</v>
      </c>
      <c r="I169" s="120">
        <f>0.81-0.05</f>
        <v>0.76</v>
      </c>
      <c r="J169" s="104" t="s">
        <v>224</v>
      </c>
      <c r="K169" s="97" t="s">
        <v>68</v>
      </c>
      <c r="L169" s="110" t="s">
        <v>109</v>
      </c>
    </row>
    <row r="170" spans="1:12" s="91" customFormat="1">
      <c r="A170" s="99"/>
      <c r="B170" s="100"/>
      <c r="C170" s="99"/>
      <c r="D170" s="99"/>
      <c r="E170" s="101"/>
      <c r="F170" s="101"/>
      <c r="G170" s="101"/>
      <c r="H170" s="95"/>
      <c r="I170" s="95"/>
      <c r="J170" s="95"/>
      <c r="K170" s="95"/>
      <c r="L170" s="95"/>
    </row>
    <row r="171" spans="1:12" s="91" customFormat="1" ht="64">
      <c r="A171" s="98" t="s">
        <v>225</v>
      </c>
      <c r="B171" s="100"/>
      <c r="C171" s="99" t="s">
        <v>45</v>
      </c>
      <c r="D171" s="99"/>
      <c r="E171" s="101">
        <v>7151</v>
      </c>
      <c r="F171" s="101">
        <v>51321</v>
      </c>
      <c r="G171" s="101" t="s">
        <v>43</v>
      </c>
      <c r="H171" s="95" t="s">
        <v>43</v>
      </c>
      <c r="I171" s="103">
        <f>160007.34*10%/365*3</f>
        <v>131.51288219178082</v>
      </c>
      <c r="J171" s="104" t="s">
        <v>226</v>
      </c>
      <c r="K171" s="97" t="s">
        <v>68</v>
      </c>
      <c r="L171" s="105" t="s">
        <v>75</v>
      </c>
    </row>
    <row r="172" spans="1:12" s="91" customFormat="1" ht="32">
      <c r="A172" s="98" t="s">
        <v>225</v>
      </c>
      <c r="B172" s="100"/>
      <c r="C172" s="99" t="s">
        <v>71</v>
      </c>
      <c r="D172" s="99"/>
      <c r="E172" s="101">
        <v>7151</v>
      </c>
      <c r="F172" s="101">
        <v>51322</v>
      </c>
      <c r="G172" s="101" t="s">
        <v>43</v>
      </c>
      <c r="H172" s="95" t="s">
        <v>43</v>
      </c>
      <c r="I172" s="103">
        <f>2319.67*1%/365*3</f>
        <v>0.1906578082191781</v>
      </c>
      <c r="J172" s="97" t="s">
        <v>227</v>
      </c>
      <c r="K172" s="97"/>
      <c r="L172" s="105" t="s">
        <v>77</v>
      </c>
    </row>
    <row r="173" spans="1:12" s="91" customFormat="1" ht="64">
      <c r="A173" s="98">
        <v>46085</v>
      </c>
      <c r="B173" s="100"/>
      <c r="C173" s="99" t="s">
        <v>127</v>
      </c>
      <c r="D173" s="99"/>
      <c r="E173" s="101">
        <v>5131</v>
      </c>
      <c r="F173" s="101">
        <v>51331</v>
      </c>
      <c r="G173" s="101" t="s">
        <v>43</v>
      </c>
      <c r="H173" s="95" t="s">
        <v>43</v>
      </c>
      <c r="I173" s="115">
        <v>160007.34</v>
      </c>
      <c r="J173" s="104"/>
      <c r="K173" s="97" t="s">
        <v>68</v>
      </c>
      <c r="L173" s="116" t="s">
        <v>169</v>
      </c>
    </row>
    <row r="174" spans="1:12" s="91" customFormat="1" ht="64">
      <c r="A174" s="98">
        <v>46085</v>
      </c>
      <c r="B174" s="100"/>
      <c r="C174" s="99" t="s">
        <v>47</v>
      </c>
      <c r="D174" s="99"/>
      <c r="E174" s="101">
        <v>51321</v>
      </c>
      <c r="F174" s="101" t="s">
        <v>78</v>
      </c>
      <c r="G174" s="95" t="s">
        <v>43</v>
      </c>
      <c r="H174" s="95" t="s">
        <v>43</v>
      </c>
      <c r="I174" s="106">
        <f>175.36*6%</f>
        <v>10.521600000000001</v>
      </c>
      <c r="J174" s="104" t="s">
        <v>228</v>
      </c>
      <c r="K174" s="97" t="s">
        <v>68</v>
      </c>
      <c r="L174" s="107" t="s">
        <v>103</v>
      </c>
    </row>
    <row r="175" spans="1:12" s="91" customFormat="1" ht="64">
      <c r="A175" s="98">
        <v>45720</v>
      </c>
      <c r="B175" s="100"/>
      <c r="C175" s="99" t="s">
        <v>80</v>
      </c>
      <c r="D175" s="99"/>
      <c r="E175" s="101">
        <v>51322</v>
      </c>
      <c r="F175" s="101" t="s">
        <v>78</v>
      </c>
      <c r="G175" s="95" t="s">
        <v>43</v>
      </c>
      <c r="H175" s="95" t="s">
        <v>43</v>
      </c>
      <c r="I175" s="106">
        <f>0.21*6%</f>
        <v>1.2599999999999998E-2</v>
      </c>
      <c r="J175" s="104" t="s">
        <v>229</v>
      </c>
      <c r="K175" s="97" t="s">
        <v>68</v>
      </c>
      <c r="L175" s="107" t="s">
        <v>105</v>
      </c>
    </row>
    <row r="176" spans="1:12" s="91" customFormat="1" ht="64">
      <c r="A176" s="98">
        <v>46085</v>
      </c>
      <c r="B176" s="100"/>
      <c r="C176" s="99" t="s">
        <v>82</v>
      </c>
      <c r="D176" s="99"/>
      <c r="E176" s="101">
        <v>51321</v>
      </c>
      <c r="F176" s="101">
        <v>51332</v>
      </c>
      <c r="G176" s="101" t="s">
        <v>43</v>
      </c>
      <c r="H176" s="95" t="s">
        <v>43</v>
      </c>
      <c r="I176" s="109">
        <f>175.36-10.52</f>
        <v>164.84</v>
      </c>
      <c r="J176" s="104" t="s">
        <v>223</v>
      </c>
      <c r="K176" s="97" t="s">
        <v>68</v>
      </c>
      <c r="L176" s="110" t="s">
        <v>107</v>
      </c>
    </row>
    <row r="177" spans="1:12" s="91" customFormat="1" ht="64">
      <c r="A177" s="98">
        <v>46085</v>
      </c>
      <c r="B177" s="100"/>
      <c r="C177" s="99" t="s">
        <v>85</v>
      </c>
      <c r="D177" s="99"/>
      <c r="E177" s="101">
        <v>51322</v>
      </c>
      <c r="F177" s="101">
        <v>51332</v>
      </c>
      <c r="G177" s="101" t="s">
        <v>43</v>
      </c>
      <c r="H177" s="95" t="s">
        <v>43</v>
      </c>
      <c r="I177" s="120">
        <f>0.21-0.06</f>
        <v>0.15</v>
      </c>
      <c r="J177" s="104" t="s">
        <v>224</v>
      </c>
      <c r="K177" s="97" t="s">
        <v>68</v>
      </c>
      <c r="L177" s="110" t="s">
        <v>109</v>
      </c>
    </row>
    <row r="178" spans="1:12" s="91" customFormat="1">
      <c r="A178" s="98"/>
      <c r="B178" s="100"/>
      <c r="C178" s="99"/>
      <c r="D178" s="99"/>
      <c r="E178" s="121"/>
      <c r="F178" s="101"/>
      <c r="G178" s="101"/>
      <c r="H178" s="95"/>
      <c r="I178" s="96"/>
      <c r="J178" s="104"/>
      <c r="K178" s="97"/>
      <c r="L178" s="92"/>
    </row>
    <row r="179" spans="1:12" s="91" customFormat="1" ht="64">
      <c r="A179" s="98">
        <v>46085</v>
      </c>
      <c r="B179" s="100"/>
      <c r="C179" s="99" t="s">
        <v>233</v>
      </c>
      <c r="D179" s="99"/>
      <c r="E179" s="121">
        <f>F173</f>
        <v>51331</v>
      </c>
      <c r="F179" s="101">
        <v>2411</v>
      </c>
      <c r="G179" s="101" t="s">
        <v>43</v>
      </c>
      <c r="H179" s="95" t="s">
        <v>43</v>
      </c>
      <c r="I179" s="96">
        <f>I173</f>
        <v>160007.34</v>
      </c>
      <c r="J179" s="104"/>
      <c r="K179" s="97" t="s">
        <v>231</v>
      </c>
      <c r="L179" s="99" t="s">
        <v>232</v>
      </c>
    </row>
    <row r="180" spans="1:12" s="91" customFormat="1" ht="64">
      <c r="A180" s="98">
        <v>46085</v>
      </c>
      <c r="B180" s="100"/>
      <c r="C180" s="99" t="s">
        <v>230</v>
      </c>
      <c r="D180" s="99"/>
      <c r="E180" s="121">
        <f>F176</f>
        <v>51332</v>
      </c>
      <c r="F180" s="101">
        <v>2411</v>
      </c>
      <c r="G180" s="101" t="s">
        <v>43</v>
      </c>
      <c r="H180" s="95" t="s">
        <v>43</v>
      </c>
      <c r="I180" s="96">
        <v>2484.6999999999998</v>
      </c>
      <c r="J180" s="104"/>
      <c r="K180" s="97" t="s">
        <v>231</v>
      </c>
      <c r="L180" s="99" t="s">
        <v>232</v>
      </c>
    </row>
    <row r="181" spans="1:12" s="91" customFormat="1" ht="64">
      <c r="A181" s="113">
        <v>46085</v>
      </c>
      <c r="B181" s="100"/>
      <c r="C181" s="99" t="s">
        <v>94</v>
      </c>
      <c r="D181" s="99"/>
      <c r="E181" s="101">
        <v>5343</v>
      </c>
      <c r="F181" s="101">
        <v>2421</v>
      </c>
      <c r="G181" s="95" t="s">
        <v>43</v>
      </c>
      <c r="H181" s="95" t="s">
        <v>43</v>
      </c>
      <c r="I181" s="119">
        <v>83.24</v>
      </c>
      <c r="J181" s="104"/>
      <c r="K181" s="97" t="s">
        <v>95</v>
      </c>
      <c r="L181" s="107" t="s">
        <v>96</v>
      </c>
    </row>
  </sheetData>
  <pageMargins left="0.11811023622047245" right="0.31496062992125984" top="0.35433070866141736" bottom="0.35433070866141736" header="0.31496062992125984" footer="0.31496062992125984"/>
  <pageSetup paperSize="9" scale="90" fitToWidth="12" fitToHeight="1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C08B-79A2-4FF8-BCD5-F842DFC16BE6}">
  <dimension ref="A2:E26"/>
  <sheetViews>
    <sheetView workbookViewId="0">
      <selection activeCell="E27" sqref="E27"/>
    </sheetView>
  </sheetViews>
  <sheetFormatPr baseColWidth="10" defaultColWidth="8.83203125" defaultRowHeight="16"/>
  <cols>
    <col min="1" max="1" width="3" style="28" customWidth="1"/>
    <col min="2" max="2" width="8.83203125" style="51"/>
    <col min="3" max="3" width="107.6640625" style="6" bestFit="1" customWidth="1"/>
    <col min="4" max="4" width="14.5" style="6" bestFit="1" customWidth="1"/>
    <col min="5" max="5" width="94.83203125" style="28" customWidth="1"/>
    <col min="6" max="16384" width="8.83203125" style="32"/>
  </cols>
  <sheetData>
    <row r="2" spans="2:5" ht="17">
      <c r="B2" s="29">
        <v>414</v>
      </c>
      <c r="C2" s="30" t="s">
        <v>24</v>
      </c>
      <c r="D2" s="31"/>
    </row>
    <row r="3" spans="2:5">
      <c r="B3" s="33"/>
      <c r="C3" s="34"/>
      <c r="D3" s="34"/>
    </row>
    <row r="4" spans="2:5" ht="17">
      <c r="B4" s="35">
        <v>4141</v>
      </c>
      <c r="C4" s="36" t="s">
        <v>25</v>
      </c>
      <c r="D4" s="31"/>
    </row>
    <row r="5" spans="2:5" ht="17">
      <c r="B5" s="35">
        <v>4142</v>
      </c>
      <c r="C5" s="36" t="s">
        <v>26</v>
      </c>
      <c r="D5" s="31"/>
    </row>
    <row r="6" spans="2:5">
      <c r="B6" s="33"/>
      <c r="C6" s="34"/>
      <c r="D6" s="34"/>
    </row>
    <row r="7" spans="2:5" ht="17">
      <c r="B7" s="29">
        <v>513</v>
      </c>
      <c r="C7" s="30" t="s">
        <v>27</v>
      </c>
      <c r="D7" s="31"/>
    </row>
    <row r="8" spans="2:5">
      <c r="B8" s="33"/>
      <c r="C8" s="34"/>
      <c r="D8" s="34"/>
    </row>
    <row r="9" spans="2:5">
      <c r="B9" s="37">
        <v>5131</v>
      </c>
      <c r="C9" s="38" t="s">
        <v>28</v>
      </c>
      <c r="D9" s="31"/>
    </row>
    <row r="10" spans="2:5">
      <c r="B10" s="39"/>
      <c r="C10" s="40"/>
    </row>
    <row r="11" spans="2:5">
      <c r="B11" s="37">
        <v>5132</v>
      </c>
      <c r="C11" s="38" t="s">
        <v>29</v>
      </c>
      <c r="D11" s="31"/>
    </row>
    <row r="12" spans="2:5">
      <c r="B12" s="41">
        <v>51321</v>
      </c>
      <c r="C12" s="42" t="s">
        <v>30</v>
      </c>
      <c r="D12" s="43" t="s">
        <v>31</v>
      </c>
    </row>
    <row r="13" spans="2:5">
      <c r="B13" s="41">
        <v>51322</v>
      </c>
      <c r="C13" s="42" t="s">
        <v>32</v>
      </c>
      <c r="D13" s="43" t="s">
        <v>31</v>
      </c>
    </row>
    <row r="14" spans="2:5">
      <c r="B14" s="44"/>
      <c r="C14" s="45"/>
    </row>
    <row r="15" spans="2:5" ht="17">
      <c r="B15" s="46">
        <v>5133</v>
      </c>
      <c r="C15" s="47" t="s">
        <v>33</v>
      </c>
      <c r="D15" s="47" t="s">
        <v>34</v>
      </c>
      <c r="E15" s="48" t="s">
        <v>35</v>
      </c>
    </row>
    <row r="16" spans="2:5" ht="17">
      <c r="B16" s="41">
        <v>51331</v>
      </c>
      <c r="C16" s="42" t="s">
        <v>36</v>
      </c>
      <c r="D16" s="43" t="s">
        <v>31</v>
      </c>
      <c r="E16" s="48" t="s">
        <v>37</v>
      </c>
    </row>
    <row r="17" spans="2:5" ht="34">
      <c r="B17" s="41">
        <v>51332</v>
      </c>
      <c r="C17" s="42" t="s">
        <v>38</v>
      </c>
      <c r="D17" s="43" t="s">
        <v>31</v>
      </c>
      <c r="E17" s="48" t="s">
        <v>39</v>
      </c>
    </row>
    <row r="18" spans="2:5">
      <c r="B18" s="33"/>
      <c r="C18" s="34"/>
      <c r="D18" s="34"/>
    </row>
    <row r="19" spans="2:5" ht="17">
      <c r="B19" s="29">
        <v>715</v>
      </c>
      <c r="C19" s="30" t="s">
        <v>40</v>
      </c>
      <c r="D19" s="31"/>
    </row>
    <row r="20" spans="2:5" ht="17">
      <c r="B20" s="49">
        <v>7151</v>
      </c>
      <c r="C20" s="50" t="s">
        <v>41</v>
      </c>
      <c r="D20" s="31"/>
    </row>
    <row r="23" spans="2:5">
      <c r="C23" s="1" t="s">
        <v>5</v>
      </c>
    </row>
    <row r="24" spans="2:5">
      <c r="C24" s="2" t="s">
        <v>6</v>
      </c>
    </row>
    <row r="25" spans="2:5">
      <c r="C25" s="2" t="s">
        <v>7</v>
      </c>
    </row>
    <row r="26" spans="2:5">
      <c r="C26"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Conditii</vt:lpstr>
      <vt:lpstr>Simulare depunere_fin</vt:lpstr>
      <vt:lpstr>Inregistrari DE</vt:lpstr>
      <vt:lpstr>Conturi contabile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valeriu i</dc:creator>
  <cp:lastModifiedBy>PT</cp:lastModifiedBy>
  <cp:lastPrinted>2026-01-30T16:30:32Z</cp:lastPrinted>
  <dcterms:created xsi:type="dcterms:W3CDTF">2026-01-13T09:22:02Z</dcterms:created>
  <dcterms:modified xsi:type="dcterms:W3CDTF">2026-04-06T11:00:17Z</dcterms:modified>
</cp:coreProperties>
</file>