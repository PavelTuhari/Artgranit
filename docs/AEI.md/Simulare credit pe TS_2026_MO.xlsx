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esktop\ANC_RFC_temporar\EVIDA_Modernizare\Credite acordate\"/>
    </mc:Choice>
  </mc:AlternateContent>
  <xr:revisionPtr revIDLastSave="0" documentId="13_ncr:1_{F3DE7660-E34A-4BB8-BD3B-0F230CF73B61}" xr6:coauthVersionLast="47" xr6:coauthVersionMax="47" xr10:uidLastSave="{00000000-0000-0000-0000-000000000000}"/>
  <bookViews>
    <workbookView xWindow="43080" yWindow="-120" windowWidth="38640" windowHeight="15720" xr2:uid="{4ED2D412-37C2-41EB-B2A4-762B697E4170}"/>
  </bookViews>
  <sheets>
    <sheet name="1. Sold descrescato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00" i="1" l="1"/>
  <c r="AL100" i="1" s="1"/>
  <c r="AJ100" i="1"/>
  <c r="AK100" i="1"/>
  <c r="AI101" i="1"/>
  <c r="AJ101" i="1"/>
  <c r="AK101" i="1"/>
  <c r="AL101" i="1" s="1"/>
  <c r="AI102" i="1"/>
  <c r="AJ102" i="1"/>
  <c r="AK102" i="1"/>
  <c r="AI103" i="1"/>
  <c r="AJ103" i="1"/>
  <c r="AK103" i="1"/>
  <c r="AL103" i="1"/>
  <c r="AI104" i="1"/>
  <c r="AL104" i="1" s="1"/>
  <c r="AJ104" i="1"/>
  <c r="AK104" i="1"/>
  <c r="W8" i="1"/>
  <c r="AI372" i="1"/>
  <c r="AI341" i="1"/>
  <c r="AI311" i="1"/>
  <c r="AI280" i="1"/>
  <c r="AI250" i="1"/>
  <c r="AI219" i="1"/>
  <c r="AI188" i="1"/>
  <c r="AI158" i="1"/>
  <c r="AI127" i="1"/>
  <c r="AI68" i="1"/>
  <c r="AI37" i="1"/>
  <c r="AI96" i="1"/>
  <c r="AG96" i="1"/>
  <c r="K96" i="1"/>
  <c r="B96" i="1"/>
  <c r="B39" i="1"/>
  <c r="B40" i="1"/>
  <c r="B37" i="1"/>
  <c r="B38" i="1"/>
  <c r="AG66" i="1"/>
  <c r="AI66" i="1"/>
  <c r="AK66" i="1"/>
  <c r="AL66" i="1"/>
  <c r="AG67" i="1"/>
  <c r="AI67" i="1"/>
  <c r="AK67" i="1"/>
  <c r="B66" i="1"/>
  <c r="AG68" i="1"/>
  <c r="B68" i="1"/>
  <c r="AK39" i="1"/>
  <c r="AJ39" i="1"/>
  <c r="AI39" i="1"/>
  <c r="AG39" i="1"/>
  <c r="AK38" i="1"/>
  <c r="AJ38" i="1"/>
  <c r="AI38" i="1"/>
  <c r="AG38" i="1"/>
  <c r="AO37" i="1"/>
  <c r="AG37" i="1"/>
  <c r="AO39" i="1"/>
  <c r="O5" i="1"/>
  <c r="AI40" i="1"/>
  <c r="AG40" i="1"/>
  <c r="A8" i="1"/>
  <c r="AO40" i="1" s="1"/>
  <c r="S5" i="1"/>
  <c r="L374" i="1"/>
  <c r="AL102" i="1" l="1"/>
  <c r="AL67" i="1"/>
  <c r="AL38" i="1"/>
  <c r="AL39" i="1"/>
  <c r="K374" i="1"/>
  <c r="M8" i="1"/>
  <c r="O8" i="1" s="1"/>
  <c r="AA5" i="1"/>
  <c r="G5" i="1"/>
  <c r="M9" i="1" l="1"/>
  <c r="C5" i="1"/>
  <c r="D374" i="1"/>
  <c r="AG372" i="1"/>
  <c r="B372" i="1"/>
  <c r="AK371" i="1"/>
  <c r="AJ371" i="1"/>
  <c r="AI371" i="1"/>
  <c r="AG371" i="1"/>
  <c r="B371" i="1"/>
  <c r="AK370" i="1"/>
  <c r="AJ370" i="1"/>
  <c r="AI370" i="1"/>
  <c r="AG370" i="1"/>
  <c r="B370" i="1"/>
  <c r="AK369" i="1"/>
  <c r="AJ369" i="1"/>
  <c r="AI369" i="1"/>
  <c r="AG369" i="1"/>
  <c r="B369" i="1"/>
  <c r="AK368" i="1"/>
  <c r="AJ368" i="1"/>
  <c r="AI368" i="1"/>
  <c r="AG368" i="1"/>
  <c r="B368" i="1"/>
  <c r="AK367" i="1"/>
  <c r="AJ367" i="1"/>
  <c r="AI367" i="1"/>
  <c r="AG367" i="1"/>
  <c r="B367" i="1"/>
  <c r="AK366" i="1"/>
  <c r="AJ366" i="1"/>
  <c r="AI366" i="1"/>
  <c r="AG366" i="1"/>
  <c r="B366" i="1"/>
  <c r="AK365" i="1"/>
  <c r="AJ365" i="1"/>
  <c r="AI365" i="1"/>
  <c r="AG365" i="1"/>
  <c r="B365" i="1"/>
  <c r="AK364" i="1"/>
  <c r="AJ364" i="1"/>
  <c r="AI364" i="1"/>
  <c r="AG364" i="1"/>
  <c r="B364" i="1"/>
  <c r="AK363" i="1"/>
  <c r="AJ363" i="1"/>
  <c r="AI363" i="1"/>
  <c r="AG363" i="1"/>
  <c r="B363" i="1"/>
  <c r="AK362" i="1"/>
  <c r="AJ362" i="1"/>
  <c r="AI362" i="1"/>
  <c r="AG362" i="1"/>
  <c r="B362" i="1"/>
  <c r="AK361" i="1"/>
  <c r="AJ361" i="1"/>
  <c r="AI361" i="1"/>
  <c r="AG361" i="1"/>
  <c r="B361" i="1"/>
  <c r="AK360" i="1"/>
  <c r="AJ360" i="1"/>
  <c r="AI360" i="1"/>
  <c r="AG360" i="1"/>
  <c r="B360" i="1"/>
  <c r="AK359" i="1"/>
  <c r="AJ359" i="1"/>
  <c r="AI359" i="1"/>
  <c r="AG359" i="1"/>
  <c r="B359" i="1"/>
  <c r="AK358" i="1"/>
  <c r="AJ358" i="1"/>
  <c r="AI358" i="1"/>
  <c r="AG358" i="1"/>
  <c r="B358" i="1"/>
  <c r="AK357" i="1"/>
  <c r="AJ357" i="1"/>
  <c r="AI357" i="1"/>
  <c r="AG357" i="1"/>
  <c r="B357" i="1"/>
  <c r="AK356" i="1"/>
  <c r="AJ356" i="1"/>
  <c r="AI356" i="1"/>
  <c r="AG356" i="1"/>
  <c r="B356" i="1"/>
  <c r="AK355" i="1"/>
  <c r="AJ355" i="1"/>
  <c r="AI355" i="1"/>
  <c r="AG355" i="1"/>
  <c r="B355" i="1"/>
  <c r="AK354" i="1"/>
  <c r="AJ354" i="1"/>
  <c r="AI354" i="1"/>
  <c r="AG354" i="1"/>
  <c r="B354" i="1"/>
  <c r="AK353" i="1"/>
  <c r="AJ353" i="1"/>
  <c r="AI353" i="1"/>
  <c r="AG353" i="1"/>
  <c r="B353" i="1"/>
  <c r="AK352" i="1"/>
  <c r="AJ352" i="1"/>
  <c r="AI352" i="1"/>
  <c r="AG352" i="1"/>
  <c r="B352" i="1"/>
  <c r="AK351" i="1"/>
  <c r="AJ351" i="1"/>
  <c r="AI351" i="1"/>
  <c r="AG351" i="1"/>
  <c r="B351" i="1"/>
  <c r="AK350" i="1"/>
  <c r="AJ350" i="1"/>
  <c r="AI350" i="1"/>
  <c r="AG350" i="1"/>
  <c r="B350" i="1"/>
  <c r="AK349" i="1"/>
  <c r="AJ349" i="1"/>
  <c r="AI349" i="1"/>
  <c r="AG349" i="1"/>
  <c r="B349" i="1"/>
  <c r="AK348" i="1"/>
  <c r="AJ348" i="1"/>
  <c r="AI348" i="1"/>
  <c r="AG348" i="1"/>
  <c r="B348" i="1"/>
  <c r="AK347" i="1"/>
  <c r="AJ347" i="1"/>
  <c r="AI347" i="1"/>
  <c r="AG347" i="1"/>
  <c r="B347" i="1"/>
  <c r="AK346" i="1"/>
  <c r="AJ346" i="1"/>
  <c r="AI346" i="1"/>
  <c r="AG346" i="1"/>
  <c r="B346" i="1"/>
  <c r="AK345" i="1"/>
  <c r="AJ345" i="1"/>
  <c r="AI345" i="1"/>
  <c r="AG345" i="1"/>
  <c r="B345" i="1"/>
  <c r="AK344" i="1"/>
  <c r="AJ344" i="1"/>
  <c r="AI344" i="1"/>
  <c r="AG344" i="1"/>
  <c r="B344" i="1"/>
  <c r="AK343" i="1"/>
  <c r="AJ343" i="1"/>
  <c r="AI343" i="1"/>
  <c r="AG343" i="1"/>
  <c r="B343" i="1"/>
  <c r="AK342" i="1"/>
  <c r="AJ342" i="1"/>
  <c r="AI342" i="1"/>
  <c r="AG342" i="1"/>
  <c r="B342" i="1"/>
  <c r="AG341" i="1"/>
  <c r="B341" i="1"/>
  <c r="AK340" i="1"/>
  <c r="AJ340" i="1"/>
  <c r="AI340" i="1"/>
  <c r="AG340" i="1"/>
  <c r="B340" i="1"/>
  <c r="AK339" i="1"/>
  <c r="AJ339" i="1"/>
  <c r="AI339" i="1"/>
  <c r="AG339" i="1"/>
  <c r="B339" i="1"/>
  <c r="AK338" i="1"/>
  <c r="AJ338" i="1"/>
  <c r="AI338" i="1"/>
  <c r="AG338" i="1"/>
  <c r="B338" i="1"/>
  <c r="AK337" i="1"/>
  <c r="AJ337" i="1"/>
  <c r="AI337" i="1"/>
  <c r="AG337" i="1"/>
  <c r="B337" i="1"/>
  <c r="AK336" i="1"/>
  <c r="AJ336" i="1"/>
  <c r="AI336" i="1"/>
  <c r="AG336" i="1"/>
  <c r="B336" i="1"/>
  <c r="AK335" i="1"/>
  <c r="AJ335" i="1"/>
  <c r="AI335" i="1"/>
  <c r="AG335" i="1"/>
  <c r="B335" i="1"/>
  <c r="AK334" i="1"/>
  <c r="AJ334" i="1"/>
  <c r="AI334" i="1"/>
  <c r="AG334" i="1"/>
  <c r="B334" i="1"/>
  <c r="AK333" i="1"/>
  <c r="AJ333" i="1"/>
  <c r="AI333" i="1"/>
  <c r="AG333" i="1"/>
  <c r="B333" i="1"/>
  <c r="AK332" i="1"/>
  <c r="AJ332" i="1"/>
  <c r="AI332" i="1"/>
  <c r="AG332" i="1"/>
  <c r="B332" i="1"/>
  <c r="AK331" i="1"/>
  <c r="AJ331" i="1"/>
  <c r="AI331" i="1"/>
  <c r="AG331" i="1"/>
  <c r="B331" i="1"/>
  <c r="AK330" i="1"/>
  <c r="AJ330" i="1"/>
  <c r="AI330" i="1"/>
  <c r="AG330" i="1"/>
  <c r="B330" i="1"/>
  <c r="AK329" i="1"/>
  <c r="AJ329" i="1"/>
  <c r="AI329" i="1"/>
  <c r="AG329" i="1"/>
  <c r="B329" i="1"/>
  <c r="AK328" i="1"/>
  <c r="AJ328" i="1"/>
  <c r="AI328" i="1"/>
  <c r="AG328" i="1"/>
  <c r="B328" i="1"/>
  <c r="AK327" i="1"/>
  <c r="AJ327" i="1"/>
  <c r="AI327" i="1"/>
  <c r="AG327" i="1"/>
  <c r="B327" i="1"/>
  <c r="AK326" i="1"/>
  <c r="AJ326" i="1"/>
  <c r="AI326" i="1"/>
  <c r="AG326" i="1"/>
  <c r="B326" i="1"/>
  <c r="AK325" i="1"/>
  <c r="AJ325" i="1"/>
  <c r="AI325" i="1"/>
  <c r="AG325" i="1"/>
  <c r="B325" i="1"/>
  <c r="AK324" i="1"/>
  <c r="AJ324" i="1"/>
  <c r="AI324" i="1"/>
  <c r="AG324" i="1"/>
  <c r="B324" i="1"/>
  <c r="AK323" i="1"/>
  <c r="AJ323" i="1"/>
  <c r="AI323" i="1"/>
  <c r="AG323" i="1"/>
  <c r="B323" i="1"/>
  <c r="AK322" i="1"/>
  <c r="AJ322" i="1"/>
  <c r="AI322" i="1"/>
  <c r="AG322" i="1"/>
  <c r="B322" i="1"/>
  <c r="AK321" i="1"/>
  <c r="AJ321" i="1"/>
  <c r="AI321" i="1"/>
  <c r="AG321" i="1"/>
  <c r="B321" i="1"/>
  <c r="AK320" i="1"/>
  <c r="AJ320" i="1"/>
  <c r="AI320" i="1"/>
  <c r="AG320" i="1"/>
  <c r="B320" i="1"/>
  <c r="AK319" i="1"/>
  <c r="AJ319" i="1"/>
  <c r="AI319" i="1"/>
  <c r="AG319" i="1"/>
  <c r="B319" i="1"/>
  <c r="AK318" i="1"/>
  <c r="AJ318" i="1"/>
  <c r="AI318" i="1"/>
  <c r="AG318" i="1"/>
  <c r="B318" i="1"/>
  <c r="AK317" i="1"/>
  <c r="AJ317" i="1"/>
  <c r="AI317" i="1"/>
  <c r="AG317" i="1"/>
  <c r="B317" i="1"/>
  <c r="AK316" i="1"/>
  <c r="AJ316" i="1"/>
  <c r="AI316" i="1"/>
  <c r="AG316" i="1"/>
  <c r="B316" i="1"/>
  <c r="AK315" i="1"/>
  <c r="AJ315" i="1"/>
  <c r="AI315" i="1"/>
  <c r="AG315" i="1"/>
  <c r="B315" i="1"/>
  <c r="AK314" i="1"/>
  <c r="AJ314" i="1"/>
  <c r="AI314" i="1"/>
  <c r="AG314" i="1"/>
  <c r="B314" i="1"/>
  <c r="AK313" i="1"/>
  <c r="AJ313" i="1"/>
  <c r="AI313" i="1"/>
  <c r="AG313" i="1"/>
  <c r="B313" i="1"/>
  <c r="AK312" i="1"/>
  <c r="AJ312" i="1"/>
  <c r="AI312" i="1"/>
  <c r="AG312" i="1"/>
  <c r="B312" i="1"/>
  <c r="AG311" i="1"/>
  <c r="B311" i="1"/>
  <c r="AK310" i="1"/>
  <c r="AJ310" i="1"/>
  <c r="AI310" i="1"/>
  <c r="AG310" i="1"/>
  <c r="B310" i="1"/>
  <c r="AK309" i="1"/>
  <c r="AJ309" i="1"/>
  <c r="AI309" i="1"/>
  <c r="AG309" i="1"/>
  <c r="B309" i="1"/>
  <c r="AK308" i="1"/>
  <c r="AJ308" i="1"/>
  <c r="AI308" i="1"/>
  <c r="AG308" i="1"/>
  <c r="B308" i="1"/>
  <c r="AK307" i="1"/>
  <c r="AJ307" i="1"/>
  <c r="AI307" i="1"/>
  <c r="AG307" i="1"/>
  <c r="B307" i="1"/>
  <c r="AK306" i="1"/>
  <c r="AJ306" i="1"/>
  <c r="AI306" i="1"/>
  <c r="AG306" i="1"/>
  <c r="B306" i="1"/>
  <c r="AK305" i="1"/>
  <c r="AJ305" i="1"/>
  <c r="AI305" i="1"/>
  <c r="AG305" i="1"/>
  <c r="B305" i="1"/>
  <c r="AK304" i="1"/>
  <c r="AJ304" i="1"/>
  <c r="AI304" i="1"/>
  <c r="AG304" i="1"/>
  <c r="B304" i="1"/>
  <c r="AK303" i="1"/>
  <c r="AJ303" i="1"/>
  <c r="AI303" i="1"/>
  <c r="AG303" i="1"/>
  <c r="B303" i="1"/>
  <c r="AK302" i="1"/>
  <c r="AJ302" i="1"/>
  <c r="AI302" i="1"/>
  <c r="AG302" i="1"/>
  <c r="B302" i="1"/>
  <c r="AK301" i="1"/>
  <c r="AJ301" i="1"/>
  <c r="AI301" i="1"/>
  <c r="AG301" i="1"/>
  <c r="B301" i="1"/>
  <c r="AK300" i="1"/>
  <c r="AJ300" i="1"/>
  <c r="AI300" i="1"/>
  <c r="AG300" i="1"/>
  <c r="B300" i="1"/>
  <c r="AK299" i="1"/>
  <c r="AJ299" i="1"/>
  <c r="AI299" i="1"/>
  <c r="AG299" i="1"/>
  <c r="B299" i="1"/>
  <c r="AK298" i="1"/>
  <c r="AJ298" i="1"/>
  <c r="AI298" i="1"/>
  <c r="AG298" i="1"/>
  <c r="B298" i="1"/>
  <c r="AK297" i="1"/>
  <c r="AJ297" i="1"/>
  <c r="AI297" i="1"/>
  <c r="AG297" i="1"/>
  <c r="B297" i="1"/>
  <c r="AK296" i="1"/>
  <c r="AJ296" i="1"/>
  <c r="AI296" i="1"/>
  <c r="AG296" i="1"/>
  <c r="B296" i="1"/>
  <c r="AK295" i="1"/>
  <c r="AJ295" i="1"/>
  <c r="AI295" i="1"/>
  <c r="AG295" i="1"/>
  <c r="B295" i="1"/>
  <c r="AK294" i="1"/>
  <c r="AJ294" i="1"/>
  <c r="AI294" i="1"/>
  <c r="AG294" i="1"/>
  <c r="B294" i="1"/>
  <c r="AK293" i="1"/>
  <c r="AJ293" i="1"/>
  <c r="AI293" i="1"/>
  <c r="AG293" i="1"/>
  <c r="B293" i="1"/>
  <c r="AK292" i="1"/>
  <c r="AJ292" i="1"/>
  <c r="AI292" i="1"/>
  <c r="AG292" i="1"/>
  <c r="B292" i="1"/>
  <c r="AK291" i="1"/>
  <c r="AJ291" i="1"/>
  <c r="AI291" i="1"/>
  <c r="AG291" i="1"/>
  <c r="B291" i="1"/>
  <c r="AK290" i="1"/>
  <c r="AJ290" i="1"/>
  <c r="AI290" i="1"/>
  <c r="AG290" i="1"/>
  <c r="B290" i="1"/>
  <c r="AK289" i="1"/>
  <c r="AJ289" i="1"/>
  <c r="AI289" i="1"/>
  <c r="AG289" i="1"/>
  <c r="B289" i="1"/>
  <c r="AK288" i="1"/>
  <c r="AJ288" i="1"/>
  <c r="AI288" i="1"/>
  <c r="AG288" i="1"/>
  <c r="B288" i="1"/>
  <c r="AK287" i="1"/>
  <c r="AJ287" i="1"/>
  <c r="AI287" i="1"/>
  <c r="AG287" i="1"/>
  <c r="B287" i="1"/>
  <c r="AK286" i="1"/>
  <c r="AJ286" i="1"/>
  <c r="AI286" i="1"/>
  <c r="AG286" i="1"/>
  <c r="B286" i="1"/>
  <c r="AK285" i="1"/>
  <c r="AJ285" i="1"/>
  <c r="AI285" i="1"/>
  <c r="AG285" i="1"/>
  <c r="B285" i="1"/>
  <c r="AK284" i="1"/>
  <c r="AJ284" i="1"/>
  <c r="AI284" i="1"/>
  <c r="AG284" i="1"/>
  <c r="B284" i="1"/>
  <c r="AK283" i="1"/>
  <c r="AJ283" i="1"/>
  <c r="AI283" i="1"/>
  <c r="AG283" i="1"/>
  <c r="B283" i="1"/>
  <c r="AK282" i="1"/>
  <c r="AJ282" i="1"/>
  <c r="AI282" i="1"/>
  <c r="AG282" i="1"/>
  <c r="B282" i="1"/>
  <c r="AK281" i="1"/>
  <c r="AJ281" i="1"/>
  <c r="AI281" i="1"/>
  <c r="AG281" i="1"/>
  <c r="B281" i="1"/>
  <c r="AG280" i="1"/>
  <c r="B280" i="1"/>
  <c r="AK279" i="1"/>
  <c r="AJ279" i="1"/>
  <c r="AI279" i="1"/>
  <c r="AG279" i="1"/>
  <c r="B279" i="1"/>
  <c r="AK278" i="1"/>
  <c r="AJ278" i="1"/>
  <c r="AI278" i="1"/>
  <c r="AG278" i="1"/>
  <c r="B278" i="1"/>
  <c r="AK277" i="1"/>
  <c r="AJ277" i="1"/>
  <c r="AI277" i="1"/>
  <c r="AG277" i="1"/>
  <c r="B277" i="1"/>
  <c r="AK276" i="1"/>
  <c r="AJ276" i="1"/>
  <c r="AI276" i="1"/>
  <c r="AG276" i="1"/>
  <c r="B276" i="1"/>
  <c r="AK275" i="1"/>
  <c r="AJ275" i="1"/>
  <c r="AI275" i="1"/>
  <c r="AG275" i="1"/>
  <c r="B275" i="1"/>
  <c r="AK274" i="1"/>
  <c r="AJ274" i="1"/>
  <c r="AI274" i="1"/>
  <c r="AG274" i="1"/>
  <c r="B274" i="1"/>
  <c r="AK273" i="1"/>
  <c r="AJ273" i="1"/>
  <c r="AI273" i="1"/>
  <c r="AG273" i="1"/>
  <c r="B273" i="1"/>
  <c r="AK272" i="1"/>
  <c r="AJ272" i="1"/>
  <c r="AI272" i="1"/>
  <c r="AG272" i="1"/>
  <c r="B272" i="1"/>
  <c r="AK271" i="1"/>
  <c r="AJ271" i="1"/>
  <c r="AI271" i="1"/>
  <c r="AG271" i="1"/>
  <c r="B271" i="1"/>
  <c r="AK270" i="1"/>
  <c r="AJ270" i="1"/>
  <c r="AI270" i="1"/>
  <c r="AG270" i="1"/>
  <c r="B270" i="1"/>
  <c r="AK269" i="1"/>
  <c r="AJ269" i="1"/>
  <c r="AI269" i="1"/>
  <c r="AG269" i="1"/>
  <c r="B269" i="1"/>
  <c r="AK268" i="1"/>
  <c r="AJ268" i="1"/>
  <c r="AI268" i="1"/>
  <c r="AG268" i="1"/>
  <c r="B268" i="1"/>
  <c r="AK267" i="1"/>
  <c r="AJ267" i="1"/>
  <c r="AI267" i="1"/>
  <c r="AG267" i="1"/>
  <c r="B267" i="1"/>
  <c r="AK266" i="1"/>
  <c r="AJ266" i="1"/>
  <c r="AI266" i="1"/>
  <c r="AG266" i="1"/>
  <c r="B266" i="1"/>
  <c r="AK265" i="1"/>
  <c r="AJ265" i="1"/>
  <c r="AI265" i="1"/>
  <c r="AG265" i="1"/>
  <c r="B265" i="1"/>
  <c r="AK264" i="1"/>
  <c r="AJ264" i="1"/>
  <c r="AI264" i="1"/>
  <c r="AG264" i="1"/>
  <c r="B264" i="1"/>
  <c r="AK263" i="1"/>
  <c r="AJ263" i="1"/>
  <c r="AI263" i="1"/>
  <c r="AG263" i="1"/>
  <c r="B263" i="1"/>
  <c r="AK262" i="1"/>
  <c r="AJ262" i="1"/>
  <c r="AI262" i="1"/>
  <c r="AG262" i="1"/>
  <c r="B262" i="1"/>
  <c r="AK261" i="1"/>
  <c r="AJ261" i="1"/>
  <c r="AI261" i="1"/>
  <c r="AG261" i="1"/>
  <c r="B261" i="1"/>
  <c r="AK260" i="1"/>
  <c r="AJ260" i="1"/>
  <c r="AI260" i="1"/>
  <c r="AG260" i="1"/>
  <c r="B260" i="1"/>
  <c r="AK259" i="1"/>
  <c r="AJ259" i="1"/>
  <c r="AI259" i="1"/>
  <c r="AG259" i="1"/>
  <c r="B259" i="1"/>
  <c r="AK258" i="1"/>
  <c r="AJ258" i="1"/>
  <c r="AI258" i="1"/>
  <c r="AG258" i="1"/>
  <c r="B258" i="1"/>
  <c r="AK257" i="1"/>
  <c r="AJ257" i="1"/>
  <c r="AI257" i="1"/>
  <c r="AG257" i="1"/>
  <c r="B257" i="1"/>
  <c r="AK256" i="1"/>
  <c r="AJ256" i="1"/>
  <c r="AI256" i="1"/>
  <c r="AG256" i="1"/>
  <c r="B256" i="1"/>
  <c r="AK255" i="1"/>
  <c r="AJ255" i="1"/>
  <c r="AI255" i="1"/>
  <c r="AG255" i="1"/>
  <c r="B255" i="1"/>
  <c r="AK254" i="1"/>
  <c r="AJ254" i="1"/>
  <c r="AI254" i="1"/>
  <c r="AG254" i="1"/>
  <c r="B254" i="1"/>
  <c r="AK253" i="1"/>
  <c r="AJ253" i="1"/>
  <c r="AI253" i="1"/>
  <c r="AG253" i="1"/>
  <c r="B253" i="1"/>
  <c r="AK252" i="1"/>
  <c r="AJ252" i="1"/>
  <c r="AI252" i="1"/>
  <c r="AG252" i="1"/>
  <c r="B252" i="1"/>
  <c r="AK251" i="1"/>
  <c r="AJ251" i="1"/>
  <c r="AI251" i="1"/>
  <c r="AG251" i="1"/>
  <c r="B251" i="1"/>
  <c r="AG250" i="1"/>
  <c r="B250" i="1"/>
  <c r="AK249" i="1"/>
  <c r="AJ249" i="1"/>
  <c r="AI249" i="1"/>
  <c r="AG249" i="1"/>
  <c r="B249" i="1"/>
  <c r="AK248" i="1"/>
  <c r="AJ248" i="1"/>
  <c r="AI248" i="1"/>
  <c r="AG248" i="1"/>
  <c r="B248" i="1"/>
  <c r="AK247" i="1"/>
  <c r="AJ247" i="1"/>
  <c r="AI247" i="1"/>
  <c r="AG247" i="1"/>
  <c r="B247" i="1"/>
  <c r="AK246" i="1"/>
  <c r="AJ246" i="1"/>
  <c r="AI246" i="1"/>
  <c r="AG246" i="1"/>
  <c r="B246" i="1"/>
  <c r="AK245" i="1"/>
  <c r="AJ245" i="1"/>
  <c r="AI245" i="1"/>
  <c r="AG245" i="1"/>
  <c r="B245" i="1"/>
  <c r="AK244" i="1"/>
  <c r="AJ244" i="1"/>
  <c r="AI244" i="1"/>
  <c r="AG244" i="1"/>
  <c r="B244" i="1"/>
  <c r="AK243" i="1"/>
  <c r="AJ243" i="1"/>
  <c r="AI243" i="1"/>
  <c r="AG243" i="1"/>
  <c r="B243" i="1"/>
  <c r="AK242" i="1"/>
  <c r="AJ242" i="1"/>
  <c r="AI242" i="1"/>
  <c r="AG242" i="1"/>
  <c r="B242" i="1"/>
  <c r="AK241" i="1"/>
  <c r="AJ241" i="1"/>
  <c r="AI241" i="1"/>
  <c r="AG241" i="1"/>
  <c r="B241" i="1"/>
  <c r="AK240" i="1"/>
  <c r="AJ240" i="1"/>
  <c r="AI240" i="1"/>
  <c r="AG240" i="1"/>
  <c r="B240" i="1"/>
  <c r="AK239" i="1"/>
  <c r="AJ239" i="1"/>
  <c r="AI239" i="1"/>
  <c r="AG239" i="1"/>
  <c r="B239" i="1"/>
  <c r="AK238" i="1"/>
  <c r="AJ238" i="1"/>
  <c r="AI238" i="1"/>
  <c r="AG238" i="1"/>
  <c r="B238" i="1"/>
  <c r="AK237" i="1"/>
  <c r="AJ237" i="1"/>
  <c r="AI237" i="1"/>
  <c r="AG237" i="1"/>
  <c r="B237" i="1"/>
  <c r="AK236" i="1"/>
  <c r="AJ236" i="1"/>
  <c r="AI236" i="1"/>
  <c r="AG236" i="1"/>
  <c r="B236" i="1"/>
  <c r="AK235" i="1"/>
  <c r="AJ235" i="1"/>
  <c r="AI235" i="1"/>
  <c r="AG235" i="1"/>
  <c r="B235" i="1"/>
  <c r="AK234" i="1"/>
  <c r="AJ234" i="1"/>
  <c r="AI234" i="1"/>
  <c r="AG234" i="1"/>
  <c r="B234" i="1"/>
  <c r="AK233" i="1"/>
  <c r="AJ233" i="1"/>
  <c r="AI233" i="1"/>
  <c r="AG233" i="1"/>
  <c r="B233" i="1"/>
  <c r="AK232" i="1"/>
  <c r="AJ232" i="1"/>
  <c r="AI232" i="1"/>
  <c r="AG232" i="1"/>
  <c r="B232" i="1"/>
  <c r="AK231" i="1"/>
  <c r="AJ231" i="1"/>
  <c r="AI231" i="1"/>
  <c r="AG231" i="1"/>
  <c r="B231" i="1"/>
  <c r="AK230" i="1"/>
  <c r="AJ230" i="1"/>
  <c r="AI230" i="1"/>
  <c r="AG230" i="1"/>
  <c r="B230" i="1"/>
  <c r="AK229" i="1"/>
  <c r="AJ229" i="1"/>
  <c r="AI229" i="1"/>
  <c r="AG229" i="1"/>
  <c r="B229" i="1"/>
  <c r="AK228" i="1"/>
  <c r="AJ228" i="1"/>
  <c r="AI228" i="1"/>
  <c r="AG228" i="1"/>
  <c r="B228" i="1"/>
  <c r="AK227" i="1"/>
  <c r="AJ227" i="1"/>
  <c r="AI227" i="1"/>
  <c r="AG227" i="1"/>
  <c r="B227" i="1"/>
  <c r="AK226" i="1"/>
  <c r="AJ226" i="1"/>
  <c r="AI226" i="1"/>
  <c r="AG226" i="1"/>
  <c r="B226" i="1"/>
  <c r="AK225" i="1"/>
  <c r="AJ225" i="1"/>
  <c r="AI225" i="1"/>
  <c r="AG225" i="1"/>
  <c r="B225" i="1"/>
  <c r="AK224" i="1"/>
  <c r="AJ224" i="1"/>
  <c r="AI224" i="1"/>
  <c r="AG224" i="1"/>
  <c r="B224" i="1"/>
  <c r="AK223" i="1"/>
  <c r="AJ223" i="1"/>
  <c r="AI223" i="1"/>
  <c r="AG223" i="1"/>
  <c r="B223" i="1"/>
  <c r="AK222" i="1"/>
  <c r="AJ222" i="1"/>
  <c r="AI222" i="1"/>
  <c r="AG222" i="1"/>
  <c r="B222" i="1"/>
  <c r="AK221" i="1"/>
  <c r="AJ221" i="1"/>
  <c r="AI221" i="1"/>
  <c r="AG221" i="1"/>
  <c r="B221" i="1"/>
  <c r="AK220" i="1"/>
  <c r="AJ220" i="1"/>
  <c r="AI220" i="1"/>
  <c r="AG220" i="1"/>
  <c r="B220" i="1"/>
  <c r="AG219" i="1"/>
  <c r="B219" i="1"/>
  <c r="AK218" i="1"/>
  <c r="AJ218" i="1"/>
  <c r="AI218" i="1"/>
  <c r="AG218" i="1"/>
  <c r="B218" i="1"/>
  <c r="AK217" i="1"/>
  <c r="AJ217" i="1"/>
  <c r="AI217" i="1"/>
  <c r="AG217" i="1"/>
  <c r="B217" i="1"/>
  <c r="AK216" i="1"/>
  <c r="AJ216" i="1"/>
  <c r="AI216" i="1"/>
  <c r="AG216" i="1"/>
  <c r="B216" i="1"/>
  <c r="AK215" i="1"/>
  <c r="AJ215" i="1"/>
  <c r="AI215" i="1"/>
  <c r="AG215" i="1"/>
  <c r="B215" i="1"/>
  <c r="AK214" i="1"/>
  <c r="AJ214" i="1"/>
  <c r="AI214" i="1"/>
  <c r="AG214" i="1"/>
  <c r="B214" i="1"/>
  <c r="AK213" i="1"/>
  <c r="AJ213" i="1"/>
  <c r="AI213" i="1"/>
  <c r="AG213" i="1"/>
  <c r="B213" i="1"/>
  <c r="AK212" i="1"/>
  <c r="AJ212" i="1"/>
  <c r="AI212" i="1"/>
  <c r="AG212" i="1"/>
  <c r="B212" i="1"/>
  <c r="AK211" i="1"/>
  <c r="AJ211" i="1"/>
  <c r="AI211" i="1"/>
  <c r="AG211" i="1"/>
  <c r="B211" i="1"/>
  <c r="AK210" i="1"/>
  <c r="AJ210" i="1"/>
  <c r="AI210" i="1"/>
  <c r="AG210" i="1"/>
  <c r="B210" i="1"/>
  <c r="AK209" i="1"/>
  <c r="AJ209" i="1"/>
  <c r="AI209" i="1"/>
  <c r="AG209" i="1"/>
  <c r="B209" i="1"/>
  <c r="AK208" i="1"/>
  <c r="AJ208" i="1"/>
  <c r="AI208" i="1"/>
  <c r="AG208" i="1"/>
  <c r="B208" i="1"/>
  <c r="AK207" i="1"/>
  <c r="AJ207" i="1"/>
  <c r="AI207" i="1"/>
  <c r="AG207" i="1"/>
  <c r="B207" i="1"/>
  <c r="AK206" i="1"/>
  <c r="AJ206" i="1"/>
  <c r="AI206" i="1"/>
  <c r="AG206" i="1"/>
  <c r="B206" i="1"/>
  <c r="AK205" i="1"/>
  <c r="AJ205" i="1"/>
  <c r="AI205" i="1"/>
  <c r="AG205" i="1"/>
  <c r="B205" i="1"/>
  <c r="AK204" i="1"/>
  <c r="AJ204" i="1"/>
  <c r="AI204" i="1"/>
  <c r="AG204" i="1"/>
  <c r="B204" i="1"/>
  <c r="AK203" i="1"/>
  <c r="AJ203" i="1"/>
  <c r="AI203" i="1"/>
  <c r="AG203" i="1"/>
  <c r="B203" i="1"/>
  <c r="AK202" i="1"/>
  <c r="AJ202" i="1"/>
  <c r="AI202" i="1"/>
  <c r="AG202" i="1"/>
  <c r="B202" i="1"/>
  <c r="AK201" i="1"/>
  <c r="AJ201" i="1"/>
  <c r="AI201" i="1"/>
  <c r="AG201" i="1"/>
  <c r="B201" i="1"/>
  <c r="AK200" i="1"/>
  <c r="AJ200" i="1"/>
  <c r="AI200" i="1"/>
  <c r="AG200" i="1"/>
  <c r="B200" i="1"/>
  <c r="AK199" i="1"/>
  <c r="AJ199" i="1"/>
  <c r="AI199" i="1"/>
  <c r="AG199" i="1"/>
  <c r="B199" i="1"/>
  <c r="AK198" i="1"/>
  <c r="AJ198" i="1"/>
  <c r="AI198" i="1"/>
  <c r="AG198" i="1"/>
  <c r="B198" i="1"/>
  <c r="AK197" i="1"/>
  <c r="AJ197" i="1"/>
  <c r="AI197" i="1"/>
  <c r="AG197" i="1"/>
  <c r="B197" i="1"/>
  <c r="AK196" i="1"/>
  <c r="AJ196" i="1"/>
  <c r="AI196" i="1"/>
  <c r="AG196" i="1"/>
  <c r="B196" i="1"/>
  <c r="AK195" i="1"/>
  <c r="AJ195" i="1"/>
  <c r="AI195" i="1"/>
  <c r="AG195" i="1"/>
  <c r="B195" i="1"/>
  <c r="AK194" i="1"/>
  <c r="AJ194" i="1"/>
  <c r="AI194" i="1"/>
  <c r="AG194" i="1"/>
  <c r="B194" i="1"/>
  <c r="AK193" i="1"/>
  <c r="AJ193" i="1"/>
  <c r="AI193" i="1"/>
  <c r="AG193" i="1"/>
  <c r="B193" i="1"/>
  <c r="AK192" i="1"/>
  <c r="AJ192" i="1"/>
  <c r="AI192" i="1"/>
  <c r="AG192" i="1"/>
  <c r="B192" i="1"/>
  <c r="AK191" i="1"/>
  <c r="AJ191" i="1"/>
  <c r="AI191" i="1"/>
  <c r="AG191" i="1"/>
  <c r="B191" i="1"/>
  <c r="AK190" i="1"/>
  <c r="AJ190" i="1"/>
  <c r="AI190" i="1"/>
  <c r="AG190" i="1"/>
  <c r="B190" i="1"/>
  <c r="AK189" i="1"/>
  <c r="AJ189" i="1"/>
  <c r="AI189" i="1"/>
  <c r="AG189" i="1"/>
  <c r="B189" i="1"/>
  <c r="AG188" i="1"/>
  <c r="B188" i="1"/>
  <c r="AK187" i="1"/>
  <c r="AJ187" i="1"/>
  <c r="AI187" i="1"/>
  <c r="AG187" i="1"/>
  <c r="B187" i="1"/>
  <c r="AK186" i="1"/>
  <c r="AJ186" i="1"/>
  <c r="AI186" i="1"/>
  <c r="AG186" i="1"/>
  <c r="B186" i="1"/>
  <c r="AK185" i="1"/>
  <c r="AJ185" i="1"/>
  <c r="AI185" i="1"/>
  <c r="AG185" i="1"/>
  <c r="B185" i="1"/>
  <c r="AK184" i="1"/>
  <c r="AJ184" i="1"/>
  <c r="AI184" i="1"/>
  <c r="AG184" i="1"/>
  <c r="B184" i="1"/>
  <c r="AK183" i="1"/>
  <c r="AJ183" i="1"/>
  <c r="AI183" i="1"/>
  <c r="AG183" i="1"/>
  <c r="B183" i="1"/>
  <c r="AK182" i="1"/>
  <c r="AJ182" i="1"/>
  <c r="AI182" i="1"/>
  <c r="AG182" i="1"/>
  <c r="B182" i="1"/>
  <c r="AK181" i="1"/>
  <c r="AJ181" i="1"/>
  <c r="AI181" i="1"/>
  <c r="AG181" i="1"/>
  <c r="B181" i="1"/>
  <c r="AK180" i="1"/>
  <c r="AJ180" i="1"/>
  <c r="AI180" i="1"/>
  <c r="AG180" i="1"/>
  <c r="B180" i="1"/>
  <c r="AK179" i="1"/>
  <c r="AJ179" i="1"/>
  <c r="AI179" i="1"/>
  <c r="AG179" i="1"/>
  <c r="B179" i="1"/>
  <c r="AK178" i="1"/>
  <c r="AJ178" i="1"/>
  <c r="AI178" i="1"/>
  <c r="AG178" i="1"/>
  <c r="B178" i="1"/>
  <c r="AK177" i="1"/>
  <c r="AJ177" i="1"/>
  <c r="AI177" i="1"/>
  <c r="AG177" i="1"/>
  <c r="B177" i="1"/>
  <c r="AK176" i="1"/>
  <c r="AJ176" i="1"/>
  <c r="AI176" i="1"/>
  <c r="AG176" i="1"/>
  <c r="B176" i="1"/>
  <c r="AK175" i="1"/>
  <c r="AJ175" i="1"/>
  <c r="AI175" i="1"/>
  <c r="AG175" i="1"/>
  <c r="B175" i="1"/>
  <c r="AK174" i="1"/>
  <c r="AJ174" i="1"/>
  <c r="AI174" i="1"/>
  <c r="AG174" i="1"/>
  <c r="B174" i="1"/>
  <c r="AK173" i="1"/>
  <c r="AJ173" i="1"/>
  <c r="AI173" i="1"/>
  <c r="AG173" i="1"/>
  <c r="B173" i="1"/>
  <c r="AK172" i="1"/>
  <c r="AJ172" i="1"/>
  <c r="AI172" i="1"/>
  <c r="AG172" i="1"/>
  <c r="B172" i="1"/>
  <c r="AK171" i="1"/>
  <c r="AJ171" i="1"/>
  <c r="AI171" i="1"/>
  <c r="AG171" i="1"/>
  <c r="B171" i="1"/>
  <c r="AK170" i="1"/>
  <c r="AJ170" i="1"/>
  <c r="AI170" i="1"/>
  <c r="AG170" i="1"/>
  <c r="B170" i="1"/>
  <c r="AK169" i="1"/>
  <c r="AJ169" i="1"/>
  <c r="AI169" i="1"/>
  <c r="AG169" i="1"/>
  <c r="B169" i="1"/>
  <c r="AK168" i="1"/>
  <c r="AJ168" i="1"/>
  <c r="AI168" i="1"/>
  <c r="AG168" i="1"/>
  <c r="B168" i="1"/>
  <c r="AK167" i="1"/>
  <c r="AJ167" i="1"/>
  <c r="AI167" i="1"/>
  <c r="AG167" i="1"/>
  <c r="B167" i="1"/>
  <c r="AK166" i="1"/>
  <c r="AJ166" i="1"/>
  <c r="AI166" i="1"/>
  <c r="AG166" i="1"/>
  <c r="B166" i="1"/>
  <c r="AK165" i="1"/>
  <c r="AJ165" i="1"/>
  <c r="AI165" i="1"/>
  <c r="AG165" i="1"/>
  <c r="B165" i="1"/>
  <c r="AK164" i="1"/>
  <c r="AJ164" i="1"/>
  <c r="AI164" i="1"/>
  <c r="AG164" i="1"/>
  <c r="B164" i="1"/>
  <c r="AK163" i="1"/>
  <c r="AJ163" i="1"/>
  <c r="AI163" i="1"/>
  <c r="AG163" i="1"/>
  <c r="B163" i="1"/>
  <c r="AK162" i="1"/>
  <c r="AJ162" i="1"/>
  <c r="AI162" i="1"/>
  <c r="AG162" i="1"/>
  <c r="B162" i="1"/>
  <c r="AK161" i="1"/>
  <c r="AJ161" i="1"/>
  <c r="AI161" i="1"/>
  <c r="AG161" i="1"/>
  <c r="B161" i="1"/>
  <c r="AK160" i="1"/>
  <c r="AJ160" i="1"/>
  <c r="AI160" i="1"/>
  <c r="AG160" i="1"/>
  <c r="B160" i="1"/>
  <c r="AK159" i="1"/>
  <c r="AJ159" i="1"/>
  <c r="AI159" i="1"/>
  <c r="AG159" i="1"/>
  <c r="B159" i="1"/>
  <c r="AG158" i="1"/>
  <c r="B158" i="1"/>
  <c r="AK157" i="1"/>
  <c r="AJ157" i="1"/>
  <c r="AI157" i="1"/>
  <c r="AG157" i="1"/>
  <c r="B157" i="1"/>
  <c r="AK156" i="1"/>
  <c r="AJ156" i="1"/>
  <c r="AI156" i="1"/>
  <c r="AG156" i="1"/>
  <c r="B156" i="1"/>
  <c r="AK155" i="1"/>
  <c r="AJ155" i="1"/>
  <c r="AI155" i="1"/>
  <c r="AG155" i="1"/>
  <c r="B155" i="1"/>
  <c r="AK154" i="1"/>
  <c r="AJ154" i="1"/>
  <c r="AI154" i="1"/>
  <c r="AG154" i="1"/>
  <c r="B154" i="1"/>
  <c r="AK153" i="1"/>
  <c r="AJ153" i="1"/>
  <c r="AI153" i="1"/>
  <c r="AG153" i="1"/>
  <c r="B153" i="1"/>
  <c r="AK152" i="1"/>
  <c r="AJ152" i="1"/>
  <c r="AI152" i="1"/>
  <c r="AG152" i="1"/>
  <c r="B152" i="1"/>
  <c r="AK151" i="1"/>
  <c r="AJ151" i="1"/>
  <c r="AI151" i="1"/>
  <c r="AG151" i="1"/>
  <c r="B151" i="1"/>
  <c r="AK150" i="1"/>
  <c r="AJ150" i="1"/>
  <c r="AI150" i="1"/>
  <c r="AG150" i="1"/>
  <c r="B150" i="1"/>
  <c r="AK149" i="1"/>
  <c r="AJ149" i="1"/>
  <c r="AI149" i="1"/>
  <c r="AG149" i="1"/>
  <c r="B149" i="1"/>
  <c r="AK148" i="1"/>
  <c r="AJ148" i="1"/>
  <c r="AI148" i="1"/>
  <c r="AG148" i="1"/>
  <c r="B148" i="1"/>
  <c r="AK147" i="1"/>
  <c r="AJ147" i="1"/>
  <c r="AI147" i="1"/>
  <c r="AG147" i="1"/>
  <c r="B147" i="1"/>
  <c r="AK146" i="1"/>
  <c r="AJ146" i="1"/>
  <c r="AI146" i="1"/>
  <c r="AG146" i="1"/>
  <c r="B146" i="1"/>
  <c r="AK145" i="1"/>
  <c r="AJ145" i="1"/>
  <c r="AI145" i="1"/>
  <c r="AG145" i="1"/>
  <c r="B145" i="1"/>
  <c r="AK144" i="1"/>
  <c r="AJ144" i="1"/>
  <c r="AI144" i="1"/>
  <c r="AG144" i="1"/>
  <c r="B144" i="1"/>
  <c r="AK143" i="1"/>
  <c r="AJ143" i="1"/>
  <c r="AI143" i="1"/>
  <c r="AG143" i="1"/>
  <c r="B143" i="1"/>
  <c r="AK142" i="1"/>
  <c r="AJ142" i="1"/>
  <c r="AI142" i="1"/>
  <c r="AG142" i="1"/>
  <c r="B142" i="1"/>
  <c r="AK141" i="1"/>
  <c r="AJ141" i="1"/>
  <c r="AI141" i="1"/>
  <c r="AG141" i="1"/>
  <c r="B141" i="1"/>
  <c r="AK140" i="1"/>
  <c r="AJ140" i="1"/>
  <c r="AI140" i="1"/>
  <c r="AG140" i="1"/>
  <c r="B140" i="1"/>
  <c r="AK139" i="1"/>
  <c r="AJ139" i="1"/>
  <c r="AI139" i="1"/>
  <c r="AG139" i="1"/>
  <c r="B139" i="1"/>
  <c r="AK138" i="1"/>
  <c r="AJ138" i="1"/>
  <c r="AI138" i="1"/>
  <c r="AG138" i="1"/>
  <c r="B138" i="1"/>
  <c r="AK137" i="1"/>
  <c r="AJ137" i="1"/>
  <c r="AI137" i="1"/>
  <c r="AG137" i="1"/>
  <c r="B137" i="1"/>
  <c r="AK136" i="1"/>
  <c r="AJ136" i="1"/>
  <c r="AI136" i="1"/>
  <c r="AG136" i="1"/>
  <c r="B136" i="1"/>
  <c r="AK135" i="1"/>
  <c r="AJ135" i="1"/>
  <c r="AI135" i="1"/>
  <c r="AG135" i="1"/>
  <c r="B135" i="1"/>
  <c r="AK134" i="1"/>
  <c r="AJ134" i="1"/>
  <c r="AI134" i="1"/>
  <c r="AG134" i="1"/>
  <c r="B134" i="1"/>
  <c r="AK133" i="1"/>
  <c r="AJ133" i="1"/>
  <c r="AI133" i="1"/>
  <c r="AG133" i="1"/>
  <c r="B133" i="1"/>
  <c r="AK132" i="1"/>
  <c r="AJ132" i="1"/>
  <c r="AI132" i="1"/>
  <c r="AG132" i="1"/>
  <c r="B132" i="1"/>
  <c r="AK131" i="1"/>
  <c r="AJ131" i="1"/>
  <c r="AI131" i="1"/>
  <c r="AG131" i="1"/>
  <c r="B131" i="1"/>
  <c r="AK130" i="1"/>
  <c r="AJ130" i="1"/>
  <c r="AI130" i="1"/>
  <c r="AG130" i="1"/>
  <c r="B130" i="1"/>
  <c r="AK129" i="1"/>
  <c r="AJ129" i="1"/>
  <c r="AI129" i="1"/>
  <c r="AG129" i="1"/>
  <c r="B129" i="1"/>
  <c r="AK128" i="1"/>
  <c r="AJ128" i="1"/>
  <c r="AI128" i="1"/>
  <c r="AG128" i="1"/>
  <c r="B128" i="1"/>
  <c r="AG127" i="1"/>
  <c r="B127" i="1"/>
  <c r="AK126" i="1"/>
  <c r="AJ126" i="1"/>
  <c r="AI126" i="1"/>
  <c r="AG126" i="1"/>
  <c r="B126" i="1"/>
  <c r="AK125" i="1"/>
  <c r="AJ125" i="1"/>
  <c r="AI125" i="1"/>
  <c r="AG125" i="1"/>
  <c r="B125" i="1"/>
  <c r="AK124" i="1"/>
  <c r="AJ124" i="1"/>
  <c r="AI124" i="1"/>
  <c r="AG124" i="1"/>
  <c r="B124" i="1"/>
  <c r="AK123" i="1"/>
  <c r="AJ123" i="1"/>
  <c r="AI123" i="1"/>
  <c r="AG123" i="1"/>
  <c r="B123" i="1"/>
  <c r="AK122" i="1"/>
  <c r="AJ122" i="1"/>
  <c r="AI122" i="1"/>
  <c r="AG122" i="1"/>
  <c r="B122" i="1"/>
  <c r="AK121" i="1"/>
  <c r="AJ121" i="1"/>
  <c r="AI121" i="1"/>
  <c r="AG121" i="1"/>
  <c r="B121" i="1"/>
  <c r="AK120" i="1"/>
  <c r="AJ120" i="1"/>
  <c r="AI120" i="1"/>
  <c r="AG120" i="1"/>
  <c r="B120" i="1"/>
  <c r="AK119" i="1"/>
  <c r="AJ119" i="1"/>
  <c r="AI119" i="1"/>
  <c r="AG119" i="1"/>
  <c r="B119" i="1"/>
  <c r="AK118" i="1"/>
  <c r="AJ118" i="1"/>
  <c r="AI118" i="1"/>
  <c r="AG118" i="1"/>
  <c r="B118" i="1"/>
  <c r="AK117" i="1"/>
  <c r="AJ117" i="1"/>
  <c r="AI117" i="1"/>
  <c r="AG117" i="1"/>
  <c r="B117" i="1"/>
  <c r="AK116" i="1"/>
  <c r="AJ116" i="1"/>
  <c r="AI116" i="1"/>
  <c r="AG116" i="1"/>
  <c r="B116" i="1"/>
  <c r="AK115" i="1"/>
  <c r="AJ115" i="1"/>
  <c r="AI115" i="1"/>
  <c r="AG115" i="1"/>
  <c r="B115" i="1"/>
  <c r="AK114" i="1"/>
  <c r="AJ114" i="1"/>
  <c r="AI114" i="1"/>
  <c r="AG114" i="1"/>
  <c r="B114" i="1"/>
  <c r="AK113" i="1"/>
  <c r="AJ113" i="1"/>
  <c r="AI113" i="1"/>
  <c r="AG113" i="1"/>
  <c r="B113" i="1"/>
  <c r="AK112" i="1"/>
  <c r="AJ112" i="1"/>
  <c r="AI112" i="1"/>
  <c r="AG112" i="1"/>
  <c r="B112" i="1"/>
  <c r="AK111" i="1"/>
  <c r="AJ111" i="1"/>
  <c r="AI111" i="1"/>
  <c r="AG111" i="1"/>
  <c r="B111" i="1"/>
  <c r="AK110" i="1"/>
  <c r="AJ110" i="1"/>
  <c r="AI110" i="1"/>
  <c r="AG110" i="1"/>
  <c r="B110" i="1"/>
  <c r="AK109" i="1"/>
  <c r="AJ109" i="1"/>
  <c r="AI109" i="1"/>
  <c r="AG109" i="1"/>
  <c r="B109" i="1"/>
  <c r="AK108" i="1"/>
  <c r="AJ108" i="1"/>
  <c r="AI108" i="1"/>
  <c r="AG108" i="1"/>
  <c r="B108" i="1"/>
  <c r="AK107" i="1"/>
  <c r="AJ107" i="1"/>
  <c r="AI107" i="1"/>
  <c r="AG107" i="1"/>
  <c r="B107" i="1"/>
  <c r="AK106" i="1"/>
  <c r="AJ106" i="1"/>
  <c r="AI106" i="1"/>
  <c r="AG106" i="1"/>
  <c r="B106" i="1"/>
  <c r="AK105" i="1"/>
  <c r="AJ105" i="1"/>
  <c r="AI105" i="1"/>
  <c r="AG105" i="1"/>
  <c r="B105" i="1"/>
  <c r="AG104" i="1"/>
  <c r="B104" i="1"/>
  <c r="AG103" i="1"/>
  <c r="B103" i="1"/>
  <c r="AG102" i="1"/>
  <c r="B102" i="1"/>
  <c r="AG101" i="1"/>
  <c r="B101" i="1"/>
  <c r="AG100" i="1"/>
  <c r="B100" i="1"/>
  <c r="AK99" i="1"/>
  <c r="AJ99" i="1"/>
  <c r="AI99" i="1"/>
  <c r="AG99" i="1"/>
  <c r="B99" i="1"/>
  <c r="AK98" i="1"/>
  <c r="AJ98" i="1"/>
  <c r="AI98" i="1"/>
  <c r="AG98" i="1"/>
  <c r="B98" i="1"/>
  <c r="AI97" i="1"/>
  <c r="AG97" i="1"/>
  <c r="B97" i="1"/>
  <c r="AK95" i="1"/>
  <c r="AJ95" i="1"/>
  <c r="AI95" i="1"/>
  <c r="AG95" i="1"/>
  <c r="B95" i="1"/>
  <c r="AK94" i="1"/>
  <c r="AJ94" i="1"/>
  <c r="AI94" i="1"/>
  <c r="AG94" i="1"/>
  <c r="B94" i="1"/>
  <c r="AK93" i="1"/>
  <c r="AJ93" i="1"/>
  <c r="AI93" i="1"/>
  <c r="AG93" i="1"/>
  <c r="B93" i="1"/>
  <c r="AK92" i="1"/>
  <c r="AJ92" i="1"/>
  <c r="AI92" i="1"/>
  <c r="AG92" i="1"/>
  <c r="B92" i="1"/>
  <c r="AK91" i="1"/>
  <c r="AJ91" i="1"/>
  <c r="AI91" i="1"/>
  <c r="AG91" i="1"/>
  <c r="B91" i="1"/>
  <c r="AK90" i="1"/>
  <c r="AJ90" i="1"/>
  <c r="AI90" i="1"/>
  <c r="AG90" i="1"/>
  <c r="B90" i="1"/>
  <c r="AK89" i="1"/>
  <c r="AJ89" i="1"/>
  <c r="AI89" i="1"/>
  <c r="AG89" i="1"/>
  <c r="B89" i="1"/>
  <c r="AK88" i="1"/>
  <c r="AJ88" i="1"/>
  <c r="AI88" i="1"/>
  <c r="AG88" i="1"/>
  <c r="B88" i="1"/>
  <c r="AK87" i="1"/>
  <c r="AJ87" i="1"/>
  <c r="AI87" i="1"/>
  <c r="AG87" i="1"/>
  <c r="B87" i="1"/>
  <c r="AK86" i="1"/>
  <c r="AJ86" i="1"/>
  <c r="AI86" i="1"/>
  <c r="AG86" i="1"/>
  <c r="B86" i="1"/>
  <c r="AK85" i="1"/>
  <c r="AJ85" i="1"/>
  <c r="AI85" i="1"/>
  <c r="AG85" i="1"/>
  <c r="B85" i="1"/>
  <c r="AK84" i="1"/>
  <c r="AJ84" i="1"/>
  <c r="AI84" i="1"/>
  <c r="AG84" i="1"/>
  <c r="B84" i="1"/>
  <c r="AK83" i="1"/>
  <c r="AJ83" i="1"/>
  <c r="AI83" i="1"/>
  <c r="AG83" i="1"/>
  <c r="B83" i="1"/>
  <c r="AK82" i="1"/>
  <c r="AJ82" i="1"/>
  <c r="AI82" i="1"/>
  <c r="AG82" i="1"/>
  <c r="B82" i="1"/>
  <c r="AK81" i="1"/>
  <c r="AJ81" i="1"/>
  <c r="AI81" i="1"/>
  <c r="AG81" i="1"/>
  <c r="B81" i="1"/>
  <c r="AK80" i="1"/>
  <c r="AJ80" i="1"/>
  <c r="AI80" i="1"/>
  <c r="AG80" i="1"/>
  <c r="B80" i="1"/>
  <c r="AK79" i="1"/>
  <c r="AJ79" i="1"/>
  <c r="AI79" i="1"/>
  <c r="AG79" i="1"/>
  <c r="B79" i="1"/>
  <c r="AK78" i="1"/>
  <c r="AJ78" i="1"/>
  <c r="AI78" i="1"/>
  <c r="AG78" i="1"/>
  <c r="B78" i="1"/>
  <c r="AA78" i="1" s="1"/>
  <c r="AK77" i="1"/>
  <c r="AJ77" i="1"/>
  <c r="AI77" i="1"/>
  <c r="AG77" i="1"/>
  <c r="B77" i="1"/>
  <c r="AK76" i="1"/>
  <c r="AJ76" i="1"/>
  <c r="AI76" i="1"/>
  <c r="AG76" i="1"/>
  <c r="B76" i="1"/>
  <c r="AK75" i="1"/>
  <c r="AJ75" i="1"/>
  <c r="AI75" i="1"/>
  <c r="AG75" i="1"/>
  <c r="B75" i="1"/>
  <c r="AK74" i="1"/>
  <c r="AJ74" i="1"/>
  <c r="AI74" i="1"/>
  <c r="AG74" i="1"/>
  <c r="B74" i="1"/>
  <c r="AK73" i="1"/>
  <c r="AJ73" i="1"/>
  <c r="AI73" i="1"/>
  <c r="AG73" i="1"/>
  <c r="B73" i="1"/>
  <c r="AK72" i="1"/>
  <c r="AJ72" i="1"/>
  <c r="AI72" i="1"/>
  <c r="AG72" i="1"/>
  <c r="B72" i="1"/>
  <c r="AK71" i="1"/>
  <c r="AJ71" i="1"/>
  <c r="AI71" i="1"/>
  <c r="AG71" i="1"/>
  <c r="B71" i="1"/>
  <c r="AK70" i="1"/>
  <c r="AJ70" i="1"/>
  <c r="AI70" i="1"/>
  <c r="AG70" i="1"/>
  <c r="B70" i="1"/>
  <c r="AK69" i="1"/>
  <c r="AJ69" i="1"/>
  <c r="AI69" i="1"/>
  <c r="AG69" i="1"/>
  <c r="B69" i="1"/>
  <c r="B67" i="1"/>
  <c r="AK65" i="1"/>
  <c r="AJ65" i="1"/>
  <c r="AI65" i="1"/>
  <c r="AG65" i="1"/>
  <c r="B65" i="1"/>
  <c r="AK64" i="1"/>
  <c r="AJ64" i="1"/>
  <c r="AI64" i="1"/>
  <c r="AG64" i="1"/>
  <c r="B64" i="1"/>
  <c r="AK63" i="1"/>
  <c r="AJ63" i="1"/>
  <c r="AI63" i="1"/>
  <c r="AG63" i="1"/>
  <c r="B63" i="1"/>
  <c r="AK62" i="1"/>
  <c r="AJ62" i="1"/>
  <c r="AI62" i="1"/>
  <c r="AG62" i="1"/>
  <c r="B62" i="1"/>
  <c r="AK61" i="1"/>
  <c r="AJ61" i="1"/>
  <c r="AI61" i="1"/>
  <c r="AG61" i="1"/>
  <c r="B61" i="1"/>
  <c r="AK60" i="1"/>
  <c r="AJ60" i="1"/>
  <c r="AI60" i="1"/>
  <c r="AG60" i="1"/>
  <c r="B60" i="1"/>
  <c r="AK59" i="1"/>
  <c r="AJ59" i="1"/>
  <c r="AI59" i="1"/>
  <c r="AG59" i="1"/>
  <c r="B59" i="1"/>
  <c r="AK58" i="1"/>
  <c r="AJ58" i="1"/>
  <c r="AI58" i="1"/>
  <c r="AG58" i="1"/>
  <c r="B58" i="1"/>
  <c r="AK57" i="1"/>
  <c r="AJ57" i="1"/>
  <c r="AI57" i="1"/>
  <c r="AG57" i="1"/>
  <c r="B57" i="1"/>
  <c r="AK56" i="1"/>
  <c r="AJ56" i="1"/>
  <c r="AI56" i="1"/>
  <c r="AG56" i="1"/>
  <c r="B56" i="1"/>
  <c r="AK55" i="1"/>
  <c r="AJ55" i="1"/>
  <c r="AI55" i="1"/>
  <c r="AG55" i="1"/>
  <c r="B55" i="1"/>
  <c r="AK54" i="1"/>
  <c r="AJ54" i="1"/>
  <c r="AI54" i="1"/>
  <c r="AG54" i="1"/>
  <c r="B54" i="1"/>
  <c r="AK53" i="1"/>
  <c r="AJ53" i="1"/>
  <c r="AI53" i="1"/>
  <c r="AG53" i="1"/>
  <c r="B53" i="1"/>
  <c r="AK52" i="1"/>
  <c r="AJ52" i="1"/>
  <c r="AI52" i="1"/>
  <c r="AG52" i="1"/>
  <c r="B52" i="1"/>
  <c r="AA52" i="1" s="1"/>
  <c r="AK51" i="1"/>
  <c r="AJ51" i="1"/>
  <c r="AI51" i="1"/>
  <c r="AG51" i="1"/>
  <c r="B51" i="1"/>
  <c r="AK50" i="1"/>
  <c r="AJ50" i="1"/>
  <c r="AI50" i="1"/>
  <c r="AG50" i="1"/>
  <c r="B50" i="1"/>
  <c r="AK49" i="1"/>
  <c r="AJ49" i="1"/>
  <c r="AI49" i="1"/>
  <c r="AG49" i="1"/>
  <c r="B49" i="1"/>
  <c r="AK48" i="1"/>
  <c r="AJ48" i="1"/>
  <c r="AI48" i="1"/>
  <c r="AG48" i="1"/>
  <c r="B48" i="1"/>
  <c r="AK47" i="1"/>
  <c r="AJ47" i="1"/>
  <c r="AI47" i="1"/>
  <c r="AG47" i="1"/>
  <c r="B47" i="1"/>
  <c r="AK46" i="1"/>
  <c r="AJ46" i="1"/>
  <c r="AI46" i="1"/>
  <c r="AG46" i="1"/>
  <c r="B46" i="1"/>
  <c r="AK45" i="1"/>
  <c r="AJ45" i="1"/>
  <c r="AI45" i="1"/>
  <c r="AG45" i="1"/>
  <c r="B45" i="1"/>
  <c r="AK44" i="1"/>
  <c r="AJ44" i="1"/>
  <c r="AI44" i="1"/>
  <c r="AG44" i="1"/>
  <c r="B44" i="1"/>
  <c r="AK43" i="1"/>
  <c r="AJ43" i="1"/>
  <c r="AI43" i="1"/>
  <c r="AG43" i="1"/>
  <c r="B43" i="1"/>
  <c r="AK42" i="1"/>
  <c r="AJ42" i="1"/>
  <c r="AI42" i="1"/>
  <c r="AG42" i="1"/>
  <c r="B42" i="1"/>
  <c r="AK41" i="1"/>
  <c r="AJ41" i="1"/>
  <c r="AI41" i="1"/>
  <c r="AG41" i="1"/>
  <c r="B41" i="1"/>
  <c r="AK36" i="1"/>
  <c r="AJ36" i="1"/>
  <c r="AI36" i="1"/>
  <c r="AG36" i="1"/>
  <c r="B36" i="1"/>
  <c r="AK35" i="1"/>
  <c r="AJ35" i="1"/>
  <c r="AI35" i="1"/>
  <c r="AG35" i="1"/>
  <c r="B35" i="1"/>
  <c r="AK34" i="1"/>
  <c r="AJ34" i="1"/>
  <c r="AI34" i="1"/>
  <c r="AG34" i="1"/>
  <c r="B34" i="1"/>
  <c r="AK33" i="1"/>
  <c r="AJ33" i="1"/>
  <c r="AI33" i="1"/>
  <c r="AG33" i="1"/>
  <c r="B33" i="1"/>
  <c r="AK32" i="1"/>
  <c r="AJ32" i="1"/>
  <c r="AI32" i="1"/>
  <c r="AG32" i="1"/>
  <c r="B32" i="1"/>
  <c r="AK31" i="1"/>
  <c r="AJ31" i="1"/>
  <c r="AI31" i="1"/>
  <c r="AG31" i="1"/>
  <c r="B31" i="1"/>
  <c r="AK30" i="1"/>
  <c r="AJ30" i="1"/>
  <c r="AI30" i="1"/>
  <c r="AG30" i="1"/>
  <c r="B30" i="1"/>
  <c r="AK29" i="1"/>
  <c r="AJ29" i="1"/>
  <c r="AI29" i="1"/>
  <c r="AG29" i="1"/>
  <c r="B29" i="1"/>
  <c r="AK28" i="1"/>
  <c r="AJ28" i="1"/>
  <c r="AI28" i="1"/>
  <c r="AG28" i="1"/>
  <c r="B28" i="1"/>
  <c r="AK27" i="1"/>
  <c r="AJ27" i="1"/>
  <c r="AI27" i="1"/>
  <c r="AG27" i="1"/>
  <c r="B27" i="1"/>
  <c r="AK26" i="1"/>
  <c r="AJ26" i="1"/>
  <c r="AI26" i="1"/>
  <c r="AG26" i="1"/>
  <c r="B26" i="1"/>
  <c r="AK25" i="1"/>
  <c r="AJ25" i="1"/>
  <c r="AI25" i="1"/>
  <c r="AG25" i="1"/>
  <c r="B25" i="1"/>
  <c r="AK24" i="1"/>
  <c r="AJ24" i="1"/>
  <c r="AI24" i="1"/>
  <c r="AG24" i="1"/>
  <c r="B24" i="1"/>
  <c r="AK23" i="1"/>
  <c r="AJ23" i="1"/>
  <c r="AI23" i="1"/>
  <c r="AG23" i="1"/>
  <c r="B23" i="1"/>
  <c r="AK22" i="1"/>
  <c r="AJ22" i="1"/>
  <c r="AI22" i="1"/>
  <c r="AG22" i="1"/>
  <c r="B22" i="1"/>
  <c r="AK21" i="1"/>
  <c r="AJ21" i="1"/>
  <c r="AI21" i="1"/>
  <c r="AG21" i="1"/>
  <c r="B21" i="1"/>
  <c r="AK20" i="1"/>
  <c r="AJ20" i="1"/>
  <c r="AI20" i="1"/>
  <c r="AG20" i="1"/>
  <c r="B20" i="1"/>
  <c r="AK19" i="1"/>
  <c r="AJ19" i="1"/>
  <c r="AI19" i="1"/>
  <c r="AG19" i="1"/>
  <c r="B19" i="1"/>
  <c r="AK18" i="1"/>
  <c r="AJ18" i="1"/>
  <c r="AI18" i="1"/>
  <c r="AG18" i="1"/>
  <c r="B18" i="1"/>
  <c r="AK17" i="1"/>
  <c r="AJ17" i="1"/>
  <c r="AI17" i="1"/>
  <c r="AG17" i="1"/>
  <c r="B17" i="1"/>
  <c r="AK16" i="1"/>
  <c r="AJ16" i="1"/>
  <c r="AI16" i="1"/>
  <c r="AG16" i="1"/>
  <c r="B16" i="1"/>
  <c r="AK15" i="1"/>
  <c r="AJ15" i="1"/>
  <c r="AI15" i="1"/>
  <c r="AG15" i="1"/>
  <c r="B15" i="1"/>
  <c r="AK14" i="1"/>
  <c r="AJ14" i="1"/>
  <c r="AI14" i="1"/>
  <c r="AG14" i="1"/>
  <c r="B14" i="1"/>
  <c r="AK13" i="1"/>
  <c r="AJ13" i="1"/>
  <c r="AI13" i="1"/>
  <c r="AG13" i="1"/>
  <c r="B13" i="1"/>
  <c r="AK12" i="1"/>
  <c r="AJ12" i="1"/>
  <c r="AI12" i="1"/>
  <c r="AG12" i="1"/>
  <c r="B12" i="1"/>
  <c r="AK11" i="1"/>
  <c r="AJ11" i="1"/>
  <c r="AI11" i="1"/>
  <c r="AG11" i="1"/>
  <c r="B11" i="1"/>
  <c r="AK10" i="1"/>
  <c r="AJ10" i="1"/>
  <c r="AI10" i="1"/>
  <c r="AG10" i="1"/>
  <c r="B10" i="1"/>
  <c r="AK9" i="1"/>
  <c r="AJ9" i="1"/>
  <c r="AI9" i="1"/>
  <c r="AG9" i="1"/>
  <c r="B9" i="1"/>
  <c r="W9" i="1" s="1"/>
  <c r="AK8" i="1"/>
  <c r="AJ8" i="1"/>
  <c r="AI8" i="1"/>
  <c r="AG8" i="1"/>
  <c r="AA68" i="1" l="1"/>
  <c r="AA66" i="1"/>
  <c r="AA67" i="1"/>
  <c r="AA96" i="1"/>
  <c r="W10" i="1"/>
  <c r="O9" i="1"/>
  <c r="AA146" i="1"/>
  <c r="AA130" i="1"/>
  <c r="AA120" i="1"/>
  <c r="AA39" i="1"/>
  <c r="AA37" i="1"/>
  <c r="AA38" i="1"/>
  <c r="AA10" i="1"/>
  <c r="AA26" i="1"/>
  <c r="AA40" i="1"/>
  <c r="AA22" i="1"/>
  <c r="AA48" i="1"/>
  <c r="AA64" i="1"/>
  <c r="AA74" i="1"/>
  <c r="AA54" i="1"/>
  <c r="AA80" i="1"/>
  <c r="AA90" i="1"/>
  <c r="AA100" i="1"/>
  <c r="AA142" i="1"/>
  <c r="AA158" i="1"/>
  <c r="AA168" i="1"/>
  <c r="AA184" i="1"/>
  <c r="AA194" i="1"/>
  <c r="AA236" i="1"/>
  <c r="AA262" i="1"/>
  <c r="Q8" i="1"/>
  <c r="M10" i="1"/>
  <c r="AA49" i="1"/>
  <c r="AA114" i="1"/>
  <c r="AA17" i="1"/>
  <c r="AA33" i="1"/>
  <c r="AA43" i="1"/>
  <c r="AA111" i="1"/>
  <c r="AA127" i="1"/>
  <c r="AA137" i="1"/>
  <c r="AA20" i="1"/>
  <c r="AA36" i="1"/>
  <c r="AA46" i="1"/>
  <c r="AA62" i="1"/>
  <c r="AA140" i="1"/>
  <c r="AA14" i="1"/>
  <c r="AA30" i="1"/>
  <c r="AA108" i="1"/>
  <c r="AA124" i="1"/>
  <c r="AA134" i="1"/>
  <c r="AA202" i="1"/>
  <c r="AA218" i="1"/>
  <c r="AA228" i="1"/>
  <c r="AA244" i="1"/>
  <c r="AA254" i="1"/>
  <c r="AA296" i="1"/>
  <c r="AA23" i="1"/>
  <c r="AA11" i="1"/>
  <c r="AA27" i="1"/>
  <c r="AA95" i="1"/>
  <c r="AA105" i="1"/>
  <c r="AA121" i="1"/>
  <c r="AA131" i="1"/>
  <c r="AA199" i="1"/>
  <c r="AA215" i="1"/>
  <c r="AA225" i="1"/>
  <c r="AA241" i="1"/>
  <c r="AA251" i="1"/>
  <c r="AA293" i="1"/>
  <c r="AA309" i="1"/>
  <c r="AA143" i="1"/>
  <c r="C8" i="1"/>
  <c r="C374" i="1" s="1"/>
  <c r="AA76" i="1"/>
  <c r="AA92" i="1"/>
  <c r="AA102" i="1"/>
  <c r="AA118" i="1"/>
  <c r="AA128" i="1"/>
  <c r="AA170" i="1"/>
  <c r="AA186" i="1"/>
  <c r="AA196" i="1"/>
  <c r="AA212" i="1"/>
  <c r="AA222" i="1"/>
  <c r="AA238" i="1"/>
  <c r="AA280" i="1"/>
  <c r="AA290" i="1"/>
  <c r="AA306" i="1"/>
  <c r="AA316" i="1"/>
  <c r="AA65" i="1"/>
  <c r="AA169" i="1"/>
  <c r="AA73" i="1"/>
  <c r="AA89" i="1"/>
  <c r="AA99" i="1"/>
  <c r="AA115" i="1"/>
  <c r="AA60" i="1"/>
  <c r="AA70" i="1"/>
  <c r="AA86" i="1"/>
  <c r="AA112" i="1"/>
  <c r="AA117" i="1"/>
  <c r="AA106" i="1"/>
  <c r="AA25" i="1"/>
  <c r="AA51" i="1"/>
  <c r="AA77" i="1"/>
  <c r="AA93" i="1"/>
  <c r="AA103" i="1"/>
  <c r="AA145" i="1"/>
  <c r="AA171" i="1"/>
  <c r="AA35" i="1"/>
  <c r="AA71" i="1"/>
  <c r="AA87" i="1"/>
  <c r="AA126" i="1"/>
  <c r="AA136" i="1"/>
  <c r="AA152" i="1"/>
  <c r="AA162" i="1"/>
  <c r="AA178" i="1"/>
  <c r="AA19" i="1"/>
  <c r="AA45" i="1"/>
  <c r="AA61" i="1"/>
  <c r="AA139" i="1"/>
  <c r="AA155" i="1"/>
  <c r="AA165" i="1"/>
  <c r="AA16" i="1"/>
  <c r="AA32" i="1"/>
  <c r="AA42" i="1"/>
  <c r="AA58" i="1"/>
  <c r="AA84" i="1"/>
  <c r="AA13" i="1"/>
  <c r="AA29" i="1"/>
  <c r="AA55" i="1"/>
  <c r="AA81" i="1"/>
  <c r="AA123" i="1"/>
  <c r="AA133" i="1"/>
  <c r="AA149" i="1"/>
  <c r="AA159" i="1"/>
  <c r="AA175" i="1"/>
  <c r="AA187" i="1"/>
  <c r="AA197" i="1"/>
  <c r="AA213" i="1"/>
  <c r="AA265" i="1"/>
  <c r="AA217" i="1"/>
  <c r="AA227" i="1"/>
  <c r="AA243" i="1"/>
  <c r="AA253" i="1"/>
  <c r="AA269" i="1"/>
  <c r="AA337" i="1"/>
  <c r="AA347" i="1"/>
  <c r="AA363" i="1"/>
  <c r="AA211" i="1"/>
  <c r="AA221" i="1"/>
  <c r="AA237" i="1"/>
  <c r="AA263" i="1"/>
  <c r="AA315" i="1"/>
  <c r="AA332" i="1"/>
  <c r="AA358" i="1"/>
  <c r="AA181" i="1"/>
  <c r="AA191" i="1"/>
  <c r="AA249" i="1"/>
  <c r="AA259" i="1"/>
  <c r="AA275" i="1"/>
  <c r="AA285" i="1"/>
  <c r="AA301" i="1"/>
  <c r="AA230" i="1"/>
  <c r="AA246" i="1"/>
  <c r="AA256" i="1"/>
  <c r="AA272" i="1"/>
  <c r="AA282" i="1"/>
  <c r="AA172" i="1"/>
  <c r="AA188" i="1"/>
  <c r="AA214" i="1"/>
  <c r="AA224" i="1"/>
  <c r="AA240" i="1"/>
  <c r="AA266" i="1"/>
  <c r="AA167" i="1"/>
  <c r="AA183" i="1"/>
  <c r="AA193" i="1"/>
  <c r="AA209" i="1"/>
  <c r="AA235" i="1"/>
  <c r="AA154" i="1"/>
  <c r="AA164" i="1"/>
  <c r="AA180" i="1"/>
  <c r="AA190" i="1"/>
  <c r="AA206" i="1"/>
  <c r="AA232" i="1"/>
  <c r="AA274" i="1"/>
  <c r="AA284" i="1"/>
  <c r="AA300" i="1"/>
  <c r="AA326" i="1"/>
  <c r="AA352" i="1"/>
  <c r="AA368" i="1"/>
  <c r="AA353" i="1"/>
  <c r="AA340" i="1"/>
  <c r="AA366" i="1"/>
  <c r="AA8" i="1"/>
  <c r="AC8" i="1" s="1"/>
  <c r="AA334" i="1"/>
  <c r="AA344" i="1"/>
  <c r="AA360" i="1"/>
  <c r="AA331" i="1"/>
  <c r="AA322" i="1"/>
  <c r="AA319" i="1"/>
  <c r="AA277" i="1"/>
  <c r="AA287" i="1"/>
  <c r="AA303" i="1"/>
  <c r="AA313" i="1"/>
  <c r="AA329" i="1"/>
  <c r="AA355" i="1"/>
  <c r="AA371" i="1"/>
  <c r="AL109" i="1"/>
  <c r="AA291" i="1"/>
  <c r="AA307" i="1"/>
  <c r="AA317" i="1"/>
  <c r="AA343" i="1"/>
  <c r="AA359" i="1"/>
  <c r="AA278" i="1"/>
  <c r="AA288" i="1"/>
  <c r="AA304" i="1"/>
  <c r="AA372" i="1"/>
  <c r="AA57" i="1"/>
  <c r="AA83" i="1"/>
  <c r="AA109" i="1"/>
  <c r="AA151" i="1"/>
  <c r="AA161" i="1"/>
  <c r="AA177" i="1"/>
  <c r="AA203" i="1"/>
  <c r="AA219" i="1"/>
  <c r="AA271" i="1"/>
  <c r="AA281" i="1"/>
  <c r="AA297" i="1"/>
  <c r="AA323" i="1"/>
  <c r="AA349" i="1"/>
  <c r="AA148" i="1"/>
  <c r="AA174" i="1"/>
  <c r="AA200" i="1"/>
  <c r="AA268" i="1"/>
  <c r="AA294" i="1"/>
  <c r="AA310" i="1"/>
  <c r="AA320" i="1"/>
  <c r="AA346" i="1"/>
  <c r="AA156" i="1"/>
  <c r="AA166" i="1"/>
  <c r="AA208" i="1"/>
  <c r="AA234" i="1"/>
  <c r="AA250" i="1"/>
  <c r="AA260" i="1"/>
  <c r="AA312" i="1"/>
  <c r="AA354" i="1"/>
  <c r="AA205" i="1"/>
  <c r="AA231" i="1"/>
  <c r="AA247" i="1"/>
  <c r="AA257" i="1"/>
  <c r="AA299" i="1"/>
  <c r="AA325" i="1"/>
  <c r="AL54" i="1"/>
  <c r="AL271" i="1"/>
  <c r="AL185" i="1"/>
  <c r="AL144" i="1"/>
  <c r="AL226" i="1"/>
  <c r="AL317" i="1"/>
  <c r="AL304" i="1"/>
  <c r="AL10" i="1"/>
  <c r="AL118" i="1"/>
  <c r="AL48" i="1"/>
  <c r="AL214" i="1"/>
  <c r="AL272" i="1"/>
  <c r="AL28" i="1"/>
  <c r="AL31" i="1"/>
  <c r="AL113" i="1"/>
  <c r="AL247" i="1"/>
  <c r="AL328" i="1"/>
  <c r="AL303" i="1"/>
  <c r="AL82" i="1"/>
  <c r="AL206" i="1"/>
  <c r="AL358" i="1"/>
  <c r="AL46" i="1"/>
  <c r="AL18" i="1"/>
  <c r="AL50" i="1"/>
  <c r="AL120" i="1"/>
  <c r="AL133" i="1"/>
  <c r="AL139" i="1"/>
  <c r="AL292" i="1"/>
  <c r="AL44" i="1"/>
  <c r="AL302" i="1"/>
  <c r="AL305" i="1"/>
  <c r="AL334" i="1"/>
  <c r="AL337" i="1"/>
  <c r="AL57" i="1"/>
  <c r="AL80" i="1"/>
  <c r="AL178" i="1"/>
  <c r="AL290" i="1"/>
  <c r="AL45" i="1"/>
  <c r="AL106" i="1"/>
  <c r="AL150" i="1"/>
  <c r="AL217" i="1"/>
  <c r="AL262" i="1"/>
  <c r="AL284" i="1"/>
  <c r="AL316" i="1"/>
  <c r="AL122" i="1"/>
  <c r="AL147" i="1"/>
  <c r="AL20" i="1"/>
  <c r="AL52" i="1"/>
  <c r="AL246" i="1"/>
  <c r="AL11" i="1"/>
  <c r="AL78" i="1"/>
  <c r="AL281" i="1"/>
  <c r="AL307" i="1"/>
  <c r="AL342" i="1"/>
  <c r="AL354" i="1"/>
  <c r="AL285" i="1"/>
  <c r="AL364" i="1"/>
  <c r="AA24" i="1"/>
  <c r="AA59" i="1"/>
  <c r="AA69" i="1"/>
  <c r="AA72" i="1"/>
  <c r="AA75" i="1"/>
  <c r="AA97" i="1"/>
  <c r="AA113" i="1"/>
  <c r="AA116" i="1"/>
  <c r="AA119" i="1"/>
  <c r="AA125" i="1"/>
  <c r="AA153" i="1"/>
  <c r="AA163" i="1"/>
  <c r="AA185" i="1"/>
  <c r="AA207" i="1"/>
  <c r="AA210" i="1"/>
  <c r="AA216" i="1"/>
  <c r="AA229" i="1"/>
  <c r="AA264" i="1"/>
  <c r="AA267" i="1"/>
  <c r="AA298" i="1"/>
  <c r="AA314" i="1"/>
  <c r="AA342" i="1"/>
  <c r="AA351" i="1"/>
  <c r="AA357" i="1"/>
  <c r="Y8" i="1"/>
  <c r="AA9" i="1"/>
  <c r="AA21" i="1"/>
  <c r="AA56" i="1"/>
  <c r="AA94" i="1"/>
  <c r="AA110" i="1"/>
  <c r="AA122" i="1"/>
  <c r="AA138" i="1"/>
  <c r="AA141" i="1"/>
  <c r="AA144" i="1"/>
  <c r="AA147" i="1"/>
  <c r="AA150" i="1"/>
  <c r="AA160" i="1"/>
  <c r="AA182" i="1"/>
  <c r="AA204" i="1"/>
  <c r="AA226" i="1"/>
  <c r="AA248" i="1"/>
  <c r="AA261" i="1"/>
  <c r="AA270" i="1"/>
  <c r="AA273" i="1"/>
  <c r="AA276" i="1"/>
  <c r="AA279" i="1"/>
  <c r="AA292" i="1"/>
  <c r="AA295" i="1"/>
  <c r="AA345" i="1"/>
  <c r="AA348" i="1"/>
  <c r="AA12" i="1"/>
  <c r="AA15" i="1"/>
  <c r="AA18" i="1"/>
  <c r="AA53" i="1"/>
  <c r="AA91" i="1"/>
  <c r="AA101" i="1"/>
  <c r="AA104" i="1"/>
  <c r="AA107" i="1"/>
  <c r="AA135" i="1"/>
  <c r="AA179" i="1"/>
  <c r="AA192" i="1"/>
  <c r="AA195" i="1"/>
  <c r="AA198" i="1"/>
  <c r="AA201" i="1"/>
  <c r="AA220" i="1"/>
  <c r="AA223" i="1"/>
  <c r="AA245" i="1"/>
  <c r="AA258" i="1"/>
  <c r="AA289" i="1"/>
  <c r="AA308" i="1"/>
  <c r="AA336" i="1"/>
  <c r="AA339" i="1"/>
  <c r="AA370" i="1"/>
  <c r="AA34" i="1"/>
  <c r="AA50" i="1"/>
  <c r="AA88" i="1"/>
  <c r="AA98" i="1"/>
  <c r="AA129" i="1"/>
  <c r="AA132" i="1"/>
  <c r="AA176" i="1"/>
  <c r="AA189" i="1"/>
  <c r="AA242" i="1"/>
  <c r="AA255" i="1"/>
  <c r="AA286" i="1"/>
  <c r="AA305" i="1"/>
  <c r="AA311" i="1"/>
  <c r="AA321" i="1"/>
  <c r="AA330" i="1"/>
  <c r="AA333" i="1"/>
  <c r="AA367" i="1"/>
  <c r="AA28" i="1"/>
  <c r="AA31" i="1"/>
  <c r="AA41" i="1"/>
  <c r="AA44" i="1"/>
  <c r="AA47" i="1"/>
  <c r="AA63" i="1"/>
  <c r="AA79" i="1"/>
  <c r="AA82" i="1"/>
  <c r="AA85" i="1"/>
  <c r="AA157" i="1"/>
  <c r="AA173" i="1"/>
  <c r="AA233" i="1"/>
  <c r="AA239" i="1"/>
  <c r="AA252" i="1"/>
  <c r="AA283" i="1"/>
  <c r="AA302" i="1"/>
  <c r="AA318" i="1"/>
  <c r="AA324" i="1"/>
  <c r="AA327" i="1"/>
  <c r="AA361" i="1"/>
  <c r="AA364" i="1"/>
  <c r="AA328" i="1"/>
  <c r="AA362" i="1"/>
  <c r="AA365" i="1"/>
  <c r="AA350" i="1"/>
  <c r="AA356" i="1"/>
  <c r="AA335" i="1"/>
  <c r="AA338" i="1"/>
  <c r="AA341" i="1"/>
  <c r="AA369" i="1"/>
  <c r="AL75" i="1"/>
  <c r="AL84" i="1"/>
  <c r="AL180" i="1"/>
  <c r="AL243" i="1"/>
  <c r="AL295" i="1"/>
  <c r="AL310" i="1"/>
  <c r="AL63" i="1"/>
  <c r="AL140" i="1"/>
  <c r="AL143" i="1"/>
  <c r="AL152" i="1"/>
  <c r="AL162" i="1"/>
  <c r="AL165" i="1"/>
  <c r="AL235" i="1"/>
  <c r="AL340" i="1"/>
  <c r="AL73" i="1"/>
  <c r="AL79" i="1"/>
  <c r="AL128" i="1"/>
  <c r="AL134" i="1"/>
  <c r="AL184" i="1"/>
  <c r="AL211" i="1"/>
  <c r="AL241" i="1"/>
  <c r="AL314" i="1"/>
  <c r="AL335" i="1"/>
  <c r="AL371" i="1"/>
  <c r="AL296" i="1"/>
  <c r="AL365" i="1"/>
  <c r="AL181" i="1"/>
  <c r="AL293" i="1"/>
  <c r="AL88" i="1"/>
  <c r="AL107" i="1"/>
  <c r="AL125" i="1"/>
  <c r="AL308" i="1"/>
  <c r="AL329" i="1"/>
  <c r="AL338" i="1"/>
  <c r="AL347" i="1"/>
  <c r="AL356" i="1"/>
  <c r="AL362" i="1"/>
  <c r="AL69" i="1"/>
  <c r="AL24" i="1"/>
  <c r="AL58" i="1"/>
  <c r="AL61" i="1"/>
  <c r="AL92" i="1"/>
  <c r="AL221" i="1"/>
  <c r="AL282" i="1"/>
  <c r="AL344" i="1"/>
  <c r="AL77" i="1"/>
  <c r="AL111" i="1"/>
  <c r="AL117" i="1"/>
  <c r="AL182" i="1"/>
  <c r="AL227" i="1"/>
  <c r="AL233" i="1"/>
  <c r="AL242" i="1"/>
  <c r="AL245" i="1"/>
  <c r="AL288" i="1"/>
  <c r="AL297" i="1"/>
  <c r="AL306" i="1"/>
  <c r="AL309" i="1"/>
  <c r="AL321" i="1"/>
  <c r="AL330" i="1"/>
  <c r="AL366" i="1"/>
  <c r="AL369" i="1"/>
  <c r="AL191" i="1"/>
  <c r="AL49" i="1"/>
  <c r="AL114" i="1"/>
  <c r="AL126" i="1"/>
  <c r="AL129" i="1"/>
  <c r="AL239" i="1"/>
  <c r="AL261" i="1"/>
  <c r="AL327" i="1"/>
  <c r="AL336" i="1"/>
  <c r="AL339" i="1"/>
  <c r="AL289" i="1"/>
  <c r="AL19" i="1"/>
  <c r="AL157" i="1"/>
  <c r="AL173" i="1"/>
  <c r="AL176" i="1"/>
  <c r="AL255" i="1"/>
  <c r="AL348" i="1"/>
  <c r="AL16" i="1"/>
  <c r="AL62" i="1"/>
  <c r="AL93" i="1"/>
  <c r="AL154" i="1"/>
  <c r="AL164" i="1"/>
  <c r="AL170" i="1"/>
  <c r="AL189" i="1"/>
  <c r="AL195" i="1"/>
  <c r="AL207" i="1"/>
  <c r="AL357" i="1"/>
  <c r="AL56" i="1"/>
  <c r="AL145" i="1"/>
  <c r="AL148" i="1"/>
  <c r="AL151" i="1"/>
  <c r="AL201" i="1"/>
  <c r="AL222" i="1"/>
  <c r="AL234" i="1"/>
  <c r="AL240" i="1"/>
  <c r="AL301" i="1"/>
  <c r="AL370" i="1"/>
  <c r="AL22" i="1"/>
  <c r="AL25" i="1"/>
  <c r="AL34" i="1"/>
  <c r="AL14" i="1"/>
  <c r="AL17" i="1"/>
  <c r="AL12" i="1"/>
  <c r="AL15" i="1"/>
  <c r="AL23" i="1"/>
  <c r="AL29" i="1"/>
  <c r="AL32" i="1"/>
  <c r="AL35" i="1"/>
  <c r="AL27" i="1"/>
  <c r="AL30" i="1"/>
  <c r="AL33" i="1"/>
  <c r="AL42" i="1"/>
  <c r="AL51" i="1"/>
  <c r="AL43" i="1"/>
  <c r="AL60" i="1"/>
  <c r="AL55" i="1"/>
  <c r="AL41" i="1"/>
  <c r="AL47" i="1"/>
  <c r="AL64" i="1"/>
  <c r="AL53" i="1"/>
  <c r="AL85" i="1"/>
  <c r="AL91" i="1"/>
  <c r="AL72" i="1"/>
  <c r="AL83" i="1"/>
  <c r="AL94" i="1"/>
  <c r="AL81" i="1"/>
  <c r="AL76" i="1"/>
  <c r="AL95" i="1"/>
  <c r="AL87" i="1"/>
  <c r="AL90" i="1"/>
  <c r="AL110" i="1"/>
  <c r="AL116" i="1"/>
  <c r="AL121" i="1"/>
  <c r="AL124" i="1"/>
  <c r="AL99" i="1"/>
  <c r="AL119" i="1"/>
  <c r="AL112" i="1"/>
  <c r="AL131" i="1"/>
  <c r="AL137" i="1"/>
  <c r="AL149" i="1"/>
  <c r="AL132" i="1"/>
  <c r="AL146" i="1"/>
  <c r="AL135" i="1"/>
  <c r="AL130" i="1"/>
  <c r="AL156" i="1"/>
  <c r="AL153" i="1"/>
  <c r="AL136" i="1"/>
  <c r="AL161" i="1"/>
  <c r="AL186" i="1"/>
  <c r="AL179" i="1"/>
  <c r="AL168" i="1"/>
  <c r="AL160" i="1"/>
  <c r="AL174" i="1"/>
  <c r="AL177" i="1"/>
  <c r="AL210" i="1"/>
  <c r="AL199" i="1"/>
  <c r="AL213" i="1"/>
  <c r="AL218" i="1"/>
  <c r="AL205" i="1"/>
  <c r="AL194" i="1"/>
  <c r="AL202" i="1"/>
  <c r="AL197" i="1"/>
  <c r="AL203" i="1"/>
  <c r="AL190" i="1"/>
  <c r="AL198" i="1"/>
  <c r="AL193" i="1"/>
  <c r="AL215" i="1"/>
  <c r="AL230" i="1"/>
  <c r="AL238" i="1"/>
  <c r="AL244" i="1"/>
  <c r="AL225" i="1"/>
  <c r="AL228" i="1"/>
  <c r="AL223" i="1"/>
  <c r="AL237" i="1"/>
  <c r="AL248" i="1"/>
  <c r="AL253" i="1"/>
  <c r="AL279" i="1"/>
  <c r="AL276" i="1"/>
  <c r="AL256" i="1"/>
  <c r="AL259" i="1"/>
  <c r="AL268" i="1"/>
  <c r="AL251" i="1"/>
  <c r="AL277" i="1"/>
  <c r="AL263" i="1"/>
  <c r="AL260" i="1"/>
  <c r="AL275" i="1"/>
  <c r="AL252" i="1"/>
  <c r="AL267" i="1"/>
  <c r="AL270" i="1"/>
  <c r="AL264" i="1"/>
  <c r="AL299" i="1"/>
  <c r="AL283" i="1"/>
  <c r="AL294" i="1"/>
  <c r="AL286" i="1"/>
  <c r="AL300" i="1"/>
  <c r="AL298" i="1"/>
  <c r="AL325" i="1"/>
  <c r="AL331" i="1"/>
  <c r="AL326" i="1"/>
  <c r="AL312" i="1"/>
  <c r="AL318" i="1"/>
  <c r="AL332" i="1"/>
  <c r="AL333" i="1"/>
  <c r="AL322" i="1"/>
  <c r="AL345" i="1"/>
  <c r="AL351" i="1"/>
  <c r="AL367" i="1"/>
  <c r="AL346" i="1"/>
  <c r="AL349" i="1"/>
  <c r="AL352" i="1"/>
  <c r="AL355" i="1"/>
  <c r="AL360" i="1"/>
  <c r="AL368" i="1"/>
  <c r="AL350" i="1"/>
  <c r="AL353" i="1"/>
  <c r="AL26" i="1"/>
  <c r="AL59" i="1"/>
  <c r="AL36" i="1"/>
  <c r="AL142" i="1"/>
  <c r="AL324" i="1"/>
  <c r="AI374" i="1"/>
  <c r="AL70" i="1"/>
  <c r="AL8" i="1"/>
  <c r="AL21" i="1"/>
  <c r="AL89" i="1"/>
  <c r="AL98" i="1"/>
  <c r="AL108" i="1"/>
  <c r="AL141" i="1"/>
  <c r="AL172" i="1"/>
  <c r="AL359" i="1"/>
  <c r="B374" i="1"/>
  <c r="AL86" i="1"/>
  <c r="AL115" i="1"/>
  <c r="AL123" i="1"/>
  <c r="AL216" i="1"/>
  <c r="AL105" i="1"/>
  <c r="AL167" i="1"/>
  <c r="AL249" i="1"/>
  <c r="AL212" i="1"/>
  <c r="AL13" i="1"/>
  <c r="AL74" i="1"/>
  <c r="AL138" i="1"/>
  <c r="AL169" i="1"/>
  <c r="AL171" i="1"/>
  <c r="AL257" i="1"/>
  <c r="AL9" i="1"/>
  <c r="AL71" i="1"/>
  <c r="AL313" i="1"/>
  <c r="AL163" i="1"/>
  <c r="AL166" i="1"/>
  <c r="AL175" i="1"/>
  <c r="AL192" i="1"/>
  <c r="AL209" i="1"/>
  <c r="AL65" i="1"/>
  <c r="AL155" i="1"/>
  <c r="AL159" i="1"/>
  <c r="AL183" i="1"/>
  <c r="AL266" i="1"/>
  <c r="AL220" i="1"/>
  <c r="AL229" i="1"/>
  <c r="AL187" i="1"/>
  <c r="AL196" i="1"/>
  <c r="AL231" i="1"/>
  <c r="AL254" i="1"/>
  <c r="AL269" i="1"/>
  <c r="AL273" i="1"/>
  <c r="AL287" i="1"/>
  <c r="AL291" i="1"/>
  <c r="AL208" i="1"/>
  <c r="AL232" i="1"/>
  <c r="AL320" i="1"/>
  <c r="AL361" i="1"/>
  <c r="AL200" i="1"/>
  <c r="AL319" i="1"/>
  <c r="AL343" i="1"/>
  <c r="AL258" i="1"/>
  <c r="AL265" i="1"/>
  <c r="AL363" i="1"/>
  <c r="AL236" i="1"/>
  <c r="AL204" i="1"/>
  <c r="AL224" i="1"/>
  <c r="AL323" i="1"/>
  <c r="AL274" i="1"/>
  <c r="AL278" i="1"/>
  <c r="AL315" i="1"/>
  <c r="W11" i="1" l="1"/>
  <c r="O10" i="1"/>
  <c r="Q9" i="1"/>
  <c r="M11" i="1"/>
  <c r="E8" i="1"/>
  <c r="G8" i="1" s="1"/>
  <c r="AC9" i="1"/>
  <c r="AC10" i="1" s="1"/>
  <c r="AC11" i="1" s="1"/>
  <c r="AC12" i="1" s="1"/>
  <c r="AC13" i="1" s="1"/>
  <c r="AC14" i="1" s="1"/>
  <c r="AC15" i="1" s="1"/>
  <c r="AC16" i="1" s="1"/>
  <c r="AC17" i="1" s="1"/>
  <c r="AC18" i="1" s="1"/>
  <c r="AC19" i="1" s="1"/>
  <c r="AC20" i="1" s="1"/>
  <c r="AC21" i="1" s="1"/>
  <c r="AC22" i="1" s="1"/>
  <c r="AC23" i="1" s="1"/>
  <c r="AC24" i="1" s="1"/>
  <c r="AC25" i="1" s="1"/>
  <c r="AC26" i="1" s="1"/>
  <c r="AC27" i="1" s="1"/>
  <c r="AC28" i="1" s="1"/>
  <c r="AC29" i="1" s="1"/>
  <c r="AC30" i="1" s="1"/>
  <c r="AC31" i="1" s="1"/>
  <c r="AC32" i="1" s="1"/>
  <c r="AC33" i="1" s="1"/>
  <c r="AC34" i="1" s="1"/>
  <c r="AC35" i="1" s="1"/>
  <c r="AC36" i="1" s="1"/>
  <c r="Y9" i="1"/>
  <c r="Y10" i="1" s="1"/>
  <c r="AA374" i="1"/>
  <c r="Y11" i="1" l="1"/>
  <c r="W12" i="1"/>
  <c r="O11" i="1"/>
  <c r="AK37" i="1"/>
  <c r="AB37" i="1"/>
  <c r="AC37" i="1"/>
  <c r="AC38" i="1" s="1"/>
  <c r="AC39" i="1" s="1"/>
  <c r="AC40" i="1" s="1"/>
  <c r="AH8" i="1"/>
  <c r="I8" i="1"/>
  <c r="Q10" i="1"/>
  <c r="U8" i="1"/>
  <c r="U9" i="1" s="1"/>
  <c r="U10" i="1" s="1"/>
  <c r="M12" i="1"/>
  <c r="E9" i="1"/>
  <c r="G9" i="1" s="1"/>
  <c r="O12" i="1" l="1"/>
  <c r="W13" i="1"/>
  <c r="Y12" i="1"/>
  <c r="AK40" i="1"/>
  <c r="AC41" i="1"/>
  <c r="AC42" i="1" s="1"/>
  <c r="AC43" i="1" s="1"/>
  <c r="AC44" i="1" s="1"/>
  <c r="AC45" i="1" s="1"/>
  <c r="AC46" i="1" s="1"/>
  <c r="AC47" i="1" s="1"/>
  <c r="AC48" i="1" s="1"/>
  <c r="AC49" i="1" s="1"/>
  <c r="AC50" i="1" s="1"/>
  <c r="AC51" i="1" s="1"/>
  <c r="AC52" i="1" s="1"/>
  <c r="AC53" i="1" s="1"/>
  <c r="AC54" i="1" s="1"/>
  <c r="AC55" i="1" s="1"/>
  <c r="AC56" i="1" s="1"/>
  <c r="AC57" i="1" s="1"/>
  <c r="AC58" i="1" s="1"/>
  <c r="AC59" i="1" s="1"/>
  <c r="AC60" i="1" s="1"/>
  <c r="AC61" i="1" s="1"/>
  <c r="AC62" i="1" s="1"/>
  <c r="AC63" i="1" s="1"/>
  <c r="AC64" i="1" s="1"/>
  <c r="AC65" i="1" s="1"/>
  <c r="AC66" i="1" s="1"/>
  <c r="AC67" i="1" s="1"/>
  <c r="Q11" i="1"/>
  <c r="M13" i="1"/>
  <c r="I9" i="1"/>
  <c r="E10" i="1"/>
  <c r="G10" i="1" s="1"/>
  <c r="AH9" i="1"/>
  <c r="AK68" i="1" l="1"/>
  <c r="AB68" i="1"/>
  <c r="O13" i="1"/>
  <c r="W14" i="1"/>
  <c r="Y13" i="1"/>
  <c r="Y14" i="1" s="1"/>
  <c r="E11" i="1"/>
  <c r="G11" i="1" s="1"/>
  <c r="I10" i="1"/>
  <c r="U11" i="1"/>
  <c r="U12" i="1" s="1"/>
  <c r="Q12" i="1"/>
  <c r="M14" i="1"/>
  <c r="AH10" i="1"/>
  <c r="O14" i="1" l="1"/>
  <c r="W15" i="1"/>
  <c r="Y15" i="1"/>
  <c r="I11" i="1"/>
  <c r="E12" i="1"/>
  <c r="G12" i="1" s="1"/>
  <c r="AH11" i="1"/>
  <c r="Q13" i="1"/>
  <c r="U13" i="1"/>
  <c r="M15" i="1"/>
  <c r="O15" i="1" l="1"/>
  <c r="W16" i="1"/>
  <c r="E13" i="1"/>
  <c r="G13" i="1" s="1"/>
  <c r="AC68" i="1"/>
  <c r="AC69" i="1" s="1"/>
  <c r="AC70" i="1" s="1"/>
  <c r="AC71" i="1" s="1"/>
  <c r="AC72" i="1" s="1"/>
  <c r="AC73" i="1" s="1"/>
  <c r="AC74" i="1" s="1"/>
  <c r="AC75" i="1" s="1"/>
  <c r="AC76" i="1" s="1"/>
  <c r="AC77" i="1" s="1"/>
  <c r="AC78" i="1" s="1"/>
  <c r="AC79" i="1" s="1"/>
  <c r="AC80" i="1" s="1"/>
  <c r="AC81" i="1" s="1"/>
  <c r="AC82" i="1" s="1"/>
  <c r="AC83" i="1" s="1"/>
  <c r="AC84" i="1" s="1"/>
  <c r="AC85" i="1" s="1"/>
  <c r="AC86" i="1" s="1"/>
  <c r="AC87" i="1" s="1"/>
  <c r="AC88" i="1" s="1"/>
  <c r="AC89" i="1" s="1"/>
  <c r="AC90" i="1" s="1"/>
  <c r="AC91" i="1" s="1"/>
  <c r="AC92" i="1" s="1"/>
  <c r="AC93" i="1" s="1"/>
  <c r="AC94" i="1" s="1"/>
  <c r="AC95" i="1" s="1"/>
  <c r="AK96" i="1" s="1"/>
  <c r="Y16" i="1"/>
  <c r="AH13" i="1"/>
  <c r="AH12" i="1"/>
  <c r="I12" i="1"/>
  <c r="U14" i="1"/>
  <c r="Q14" i="1"/>
  <c r="M16" i="1"/>
  <c r="E14" i="1" l="1"/>
  <c r="G14" i="1" s="1"/>
  <c r="Q15" i="1"/>
  <c r="O16" i="1"/>
  <c r="W17" i="1"/>
  <c r="AK97" i="1"/>
  <c r="AC96" i="1"/>
  <c r="AC97" i="1" s="1"/>
  <c r="AC98" i="1" s="1"/>
  <c r="AC99" i="1" s="1"/>
  <c r="AC100" i="1" s="1"/>
  <c r="AC101" i="1" s="1"/>
  <c r="AC102" i="1" s="1"/>
  <c r="AC103" i="1" s="1"/>
  <c r="AC104" i="1" s="1"/>
  <c r="AC105" i="1" s="1"/>
  <c r="AC106" i="1" s="1"/>
  <c r="AC107" i="1" s="1"/>
  <c r="AC108" i="1" s="1"/>
  <c r="AC109" i="1" s="1"/>
  <c r="AC110" i="1" s="1"/>
  <c r="AC111" i="1" s="1"/>
  <c r="AC112" i="1" s="1"/>
  <c r="AC113" i="1" s="1"/>
  <c r="AC114" i="1" s="1"/>
  <c r="AC115" i="1" s="1"/>
  <c r="AC116" i="1" s="1"/>
  <c r="AC117" i="1" s="1"/>
  <c r="AC118" i="1" s="1"/>
  <c r="AC119" i="1" s="1"/>
  <c r="AC120" i="1" s="1"/>
  <c r="AC121" i="1" s="1"/>
  <c r="AC122" i="1" s="1"/>
  <c r="AC123" i="1" s="1"/>
  <c r="AC124" i="1" s="1"/>
  <c r="AC125" i="1" s="1"/>
  <c r="AC126" i="1" s="1"/>
  <c r="AB127" i="1" s="1"/>
  <c r="Q16" i="1"/>
  <c r="Y17" i="1"/>
  <c r="I13" i="1"/>
  <c r="U15" i="1"/>
  <c r="U16" i="1" s="1"/>
  <c r="M17" i="1"/>
  <c r="AH14" i="1" l="1"/>
  <c r="E15" i="1"/>
  <c r="I14" i="1"/>
  <c r="O17" i="1"/>
  <c r="W18" i="1"/>
  <c r="AC127" i="1"/>
  <c r="AC128" i="1" s="1"/>
  <c r="AC129" i="1" s="1"/>
  <c r="AC130" i="1" s="1"/>
  <c r="AC131" i="1" s="1"/>
  <c r="AC132" i="1" s="1"/>
  <c r="AC133" i="1" s="1"/>
  <c r="AC134" i="1" s="1"/>
  <c r="AC135" i="1" s="1"/>
  <c r="AC136" i="1" s="1"/>
  <c r="AC137" i="1" s="1"/>
  <c r="AC138" i="1" s="1"/>
  <c r="AC139" i="1" s="1"/>
  <c r="AC140" i="1" s="1"/>
  <c r="AC141" i="1" s="1"/>
  <c r="AC142" i="1" s="1"/>
  <c r="AC143" i="1" s="1"/>
  <c r="AC144" i="1" s="1"/>
  <c r="AC145" i="1" s="1"/>
  <c r="AC146" i="1" s="1"/>
  <c r="AC147" i="1" s="1"/>
  <c r="AC148" i="1" s="1"/>
  <c r="AC149" i="1" s="1"/>
  <c r="AC150" i="1" s="1"/>
  <c r="AC151" i="1" s="1"/>
  <c r="AC152" i="1" s="1"/>
  <c r="AC153" i="1" s="1"/>
  <c r="AC154" i="1" s="1"/>
  <c r="AC155" i="1" s="1"/>
  <c r="AC156" i="1" s="1"/>
  <c r="AC157" i="1" s="1"/>
  <c r="AK127" i="1"/>
  <c r="Y18" i="1"/>
  <c r="U17" i="1"/>
  <c r="Q17" i="1"/>
  <c r="M18" i="1"/>
  <c r="G15" i="1" l="1"/>
  <c r="I15" i="1" s="1"/>
  <c r="AH15" i="1"/>
  <c r="E16" i="1"/>
  <c r="O18" i="1"/>
  <c r="W19" i="1"/>
  <c r="AK158" i="1"/>
  <c r="AB158" i="1"/>
  <c r="Y19" i="1"/>
  <c r="Q18" i="1"/>
  <c r="U18" i="1"/>
  <c r="M19" i="1"/>
  <c r="G16" i="1" l="1"/>
  <c r="AH16" i="1"/>
  <c r="E17" i="1"/>
  <c r="I16" i="1"/>
  <c r="O19" i="1"/>
  <c r="Q19" i="1" s="1"/>
  <c r="W20" i="1"/>
  <c r="Y20" i="1"/>
  <c r="U19" i="1"/>
  <c r="M20" i="1"/>
  <c r="AC158" i="1"/>
  <c r="AC159" i="1" s="1"/>
  <c r="AC160" i="1" s="1"/>
  <c r="AC161" i="1" s="1"/>
  <c r="AC162" i="1" s="1"/>
  <c r="AC163" i="1" s="1"/>
  <c r="AC164" i="1" s="1"/>
  <c r="AC165" i="1" s="1"/>
  <c r="AC166" i="1" s="1"/>
  <c r="AC167" i="1" s="1"/>
  <c r="AC168" i="1" s="1"/>
  <c r="AC169" i="1" s="1"/>
  <c r="AC170" i="1" s="1"/>
  <c r="AC171" i="1" s="1"/>
  <c r="AC172" i="1" s="1"/>
  <c r="AC173" i="1" s="1"/>
  <c r="AC174" i="1" s="1"/>
  <c r="AC175" i="1" s="1"/>
  <c r="AC176" i="1" s="1"/>
  <c r="AC177" i="1" s="1"/>
  <c r="AC178" i="1" s="1"/>
  <c r="AC179" i="1" s="1"/>
  <c r="AC180" i="1" s="1"/>
  <c r="AC181" i="1" s="1"/>
  <c r="AC182" i="1" s="1"/>
  <c r="AC183" i="1" s="1"/>
  <c r="AC184" i="1" s="1"/>
  <c r="AC185" i="1" s="1"/>
  <c r="AC186" i="1" s="1"/>
  <c r="AC187" i="1" s="1"/>
  <c r="G17" i="1" l="1"/>
  <c r="I17" i="1" s="1"/>
  <c r="E18" i="1"/>
  <c r="AH17" i="1"/>
  <c r="O20" i="1"/>
  <c r="W21" i="1"/>
  <c r="AK188" i="1"/>
  <c r="AB188" i="1"/>
  <c r="Q20" i="1"/>
  <c r="Y21" i="1"/>
  <c r="U20" i="1"/>
  <c r="M21" i="1"/>
  <c r="G18" i="1" l="1"/>
  <c r="I18" i="1" s="1"/>
  <c r="E19" i="1"/>
  <c r="AH18" i="1"/>
  <c r="O21" i="1"/>
  <c r="W22" i="1"/>
  <c r="Y22" i="1" s="1"/>
  <c r="Q21" i="1"/>
  <c r="U21" i="1"/>
  <c r="M22" i="1"/>
  <c r="AC188" i="1"/>
  <c r="AC189" i="1" s="1"/>
  <c r="AC190" i="1" s="1"/>
  <c r="AC191" i="1" s="1"/>
  <c r="AC192" i="1" s="1"/>
  <c r="AC193" i="1" s="1"/>
  <c r="AC194" i="1" s="1"/>
  <c r="AC195" i="1" s="1"/>
  <c r="AC196" i="1" s="1"/>
  <c r="AC197" i="1" s="1"/>
  <c r="AC198" i="1" s="1"/>
  <c r="AC199" i="1" s="1"/>
  <c r="AC200" i="1" s="1"/>
  <c r="AC201" i="1" s="1"/>
  <c r="AC202" i="1" s="1"/>
  <c r="AC203" i="1" s="1"/>
  <c r="AC204" i="1" s="1"/>
  <c r="AC205" i="1" s="1"/>
  <c r="AC206" i="1" s="1"/>
  <c r="AC207" i="1" s="1"/>
  <c r="AC208" i="1" s="1"/>
  <c r="AC209" i="1" s="1"/>
  <c r="AC210" i="1" s="1"/>
  <c r="AC211" i="1" s="1"/>
  <c r="AC212" i="1" s="1"/>
  <c r="AC213" i="1" s="1"/>
  <c r="AC214" i="1" s="1"/>
  <c r="AC215" i="1" s="1"/>
  <c r="AC216" i="1" s="1"/>
  <c r="AC217" i="1" s="1"/>
  <c r="AC218" i="1" s="1"/>
  <c r="AB219" i="1" s="1"/>
  <c r="G19" i="1" l="1"/>
  <c r="I19" i="1" s="1"/>
  <c r="AH19" i="1"/>
  <c r="E20" i="1"/>
  <c r="W23" i="1"/>
  <c r="O22" i="1"/>
  <c r="AK219" i="1"/>
  <c r="Y23" i="1"/>
  <c r="Q22" i="1"/>
  <c r="U22" i="1"/>
  <c r="M23" i="1"/>
  <c r="AC219" i="1"/>
  <c r="AC220" i="1" s="1"/>
  <c r="AC221" i="1" s="1"/>
  <c r="AC222" i="1" s="1"/>
  <c r="AC223" i="1" s="1"/>
  <c r="AC224" i="1" s="1"/>
  <c r="AC225" i="1" s="1"/>
  <c r="AC226" i="1" s="1"/>
  <c r="AC227" i="1" s="1"/>
  <c r="AC228" i="1" s="1"/>
  <c r="AC229" i="1" s="1"/>
  <c r="AC230" i="1" s="1"/>
  <c r="AC231" i="1" s="1"/>
  <c r="AC232" i="1" s="1"/>
  <c r="AC233" i="1" s="1"/>
  <c r="AC234" i="1" s="1"/>
  <c r="AC235" i="1" s="1"/>
  <c r="AC236" i="1" s="1"/>
  <c r="AC237" i="1" s="1"/>
  <c r="AC238" i="1" s="1"/>
  <c r="AC239" i="1" s="1"/>
  <c r="AC240" i="1" s="1"/>
  <c r="AC241" i="1" s="1"/>
  <c r="AC242" i="1" s="1"/>
  <c r="AC243" i="1" s="1"/>
  <c r="AC244" i="1" s="1"/>
  <c r="AC245" i="1" s="1"/>
  <c r="AC246" i="1" s="1"/>
  <c r="AC247" i="1" s="1"/>
  <c r="AC248" i="1" s="1"/>
  <c r="AC249" i="1" s="1"/>
  <c r="G20" i="1" l="1"/>
  <c r="I20" i="1" s="1"/>
  <c r="AH20" i="1"/>
  <c r="E21" i="1"/>
  <c r="W24" i="1"/>
  <c r="O23" i="1"/>
  <c r="AK250" i="1"/>
  <c r="AB250" i="1"/>
  <c r="Y24" i="1"/>
  <c r="Q23" i="1"/>
  <c r="U23" i="1"/>
  <c r="M24" i="1"/>
  <c r="G21" i="1" l="1"/>
  <c r="I21" i="1" s="1"/>
  <c r="AH21" i="1"/>
  <c r="E22" i="1"/>
  <c r="W25" i="1"/>
  <c r="O24" i="1"/>
  <c r="Y25" i="1"/>
  <c r="U24" i="1"/>
  <c r="Q24" i="1"/>
  <c r="M25" i="1"/>
  <c r="AC250" i="1"/>
  <c r="AC251" i="1" s="1"/>
  <c r="AC252" i="1" s="1"/>
  <c r="AC253" i="1" s="1"/>
  <c r="AC254" i="1" s="1"/>
  <c r="AC255" i="1" s="1"/>
  <c r="AC256" i="1" s="1"/>
  <c r="AC257" i="1" s="1"/>
  <c r="AC258" i="1" s="1"/>
  <c r="AC259" i="1" s="1"/>
  <c r="AC260" i="1" s="1"/>
  <c r="AC261" i="1" s="1"/>
  <c r="AC262" i="1" s="1"/>
  <c r="AC263" i="1" s="1"/>
  <c r="AC264" i="1" s="1"/>
  <c r="AC265" i="1" s="1"/>
  <c r="AC266" i="1" s="1"/>
  <c r="AC267" i="1" s="1"/>
  <c r="AC268" i="1" s="1"/>
  <c r="AC269" i="1" s="1"/>
  <c r="AC270" i="1" s="1"/>
  <c r="AC271" i="1" s="1"/>
  <c r="AC272" i="1" s="1"/>
  <c r="AC273" i="1" s="1"/>
  <c r="AC274" i="1" s="1"/>
  <c r="AC275" i="1" s="1"/>
  <c r="AC276" i="1" s="1"/>
  <c r="AC277" i="1" s="1"/>
  <c r="AC278" i="1" s="1"/>
  <c r="AC279" i="1" s="1"/>
  <c r="AB280" i="1" s="1"/>
  <c r="G22" i="1" l="1"/>
  <c r="I22" i="1" s="1"/>
  <c r="AH22" i="1"/>
  <c r="E23" i="1"/>
  <c r="W26" i="1"/>
  <c r="O25" i="1"/>
  <c r="AC280" i="1"/>
  <c r="AC281" i="1" s="1"/>
  <c r="AC282" i="1" s="1"/>
  <c r="AC283" i="1" s="1"/>
  <c r="AC284" i="1" s="1"/>
  <c r="AC285" i="1" s="1"/>
  <c r="AC286" i="1" s="1"/>
  <c r="AC287" i="1" s="1"/>
  <c r="AC288" i="1" s="1"/>
  <c r="AC289" i="1" s="1"/>
  <c r="AC290" i="1" s="1"/>
  <c r="AC291" i="1" s="1"/>
  <c r="AC292" i="1" s="1"/>
  <c r="AC293" i="1" s="1"/>
  <c r="AC294" i="1" s="1"/>
  <c r="AC295" i="1" s="1"/>
  <c r="AC296" i="1" s="1"/>
  <c r="AC297" i="1" s="1"/>
  <c r="AC298" i="1" s="1"/>
  <c r="AC299" i="1" s="1"/>
  <c r="AC300" i="1" s="1"/>
  <c r="AC301" i="1" s="1"/>
  <c r="AC302" i="1" s="1"/>
  <c r="AC303" i="1" s="1"/>
  <c r="AC304" i="1" s="1"/>
  <c r="AC305" i="1" s="1"/>
  <c r="AC306" i="1" s="1"/>
  <c r="AC307" i="1" s="1"/>
  <c r="AC308" i="1" s="1"/>
  <c r="AC309" i="1" s="1"/>
  <c r="AC310" i="1" s="1"/>
  <c r="AK280" i="1"/>
  <c r="U25" i="1"/>
  <c r="Y26" i="1"/>
  <c r="Q25" i="1"/>
  <c r="M26" i="1"/>
  <c r="G23" i="1" l="1"/>
  <c r="I23" i="1" s="1"/>
  <c r="AH23" i="1"/>
  <c r="E24" i="1"/>
  <c r="W27" i="1"/>
  <c r="O26" i="1"/>
  <c r="AK311" i="1"/>
  <c r="AB311" i="1"/>
  <c r="U26" i="1"/>
  <c r="U27" i="1" s="1"/>
  <c r="Y27" i="1"/>
  <c r="Q26" i="1"/>
  <c r="M27" i="1"/>
  <c r="AH24" i="1" l="1"/>
  <c r="E25" i="1"/>
  <c r="G24" i="1"/>
  <c r="I24" i="1" s="1"/>
  <c r="W28" i="1"/>
  <c r="Y28" i="1" s="1"/>
  <c r="O27" i="1"/>
  <c r="Q27" i="1" s="1"/>
  <c r="U28" i="1"/>
  <c r="M28" i="1"/>
  <c r="AC311" i="1"/>
  <c r="AC312" i="1" s="1"/>
  <c r="AC313" i="1" s="1"/>
  <c r="AC314" i="1" s="1"/>
  <c r="AC315" i="1" s="1"/>
  <c r="AC316" i="1" s="1"/>
  <c r="AC317" i="1" s="1"/>
  <c r="AC318" i="1" s="1"/>
  <c r="AC319" i="1" s="1"/>
  <c r="AC320" i="1" s="1"/>
  <c r="AC321" i="1" s="1"/>
  <c r="AC322" i="1" s="1"/>
  <c r="AC323" i="1" s="1"/>
  <c r="AC324" i="1" s="1"/>
  <c r="AC325" i="1" s="1"/>
  <c r="AC326" i="1" s="1"/>
  <c r="AC327" i="1" s="1"/>
  <c r="AC328" i="1" s="1"/>
  <c r="AC329" i="1" s="1"/>
  <c r="AC330" i="1" s="1"/>
  <c r="AC331" i="1" s="1"/>
  <c r="AC332" i="1" s="1"/>
  <c r="AC333" i="1" s="1"/>
  <c r="AC334" i="1" s="1"/>
  <c r="AC335" i="1" s="1"/>
  <c r="AC336" i="1" s="1"/>
  <c r="AC337" i="1" s="1"/>
  <c r="AC338" i="1" s="1"/>
  <c r="AC339" i="1" s="1"/>
  <c r="AC340" i="1" s="1"/>
  <c r="G25" i="1" l="1"/>
  <c r="I25" i="1" s="1"/>
  <c r="E26" i="1"/>
  <c r="AH25" i="1"/>
  <c r="O28" i="1"/>
  <c r="W29" i="1"/>
  <c r="Y29" i="1" s="1"/>
  <c r="AK341" i="1"/>
  <c r="AB341" i="1"/>
  <c r="Q28" i="1"/>
  <c r="U29" i="1"/>
  <c r="M29" i="1"/>
  <c r="G26" i="1" l="1"/>
  <c r="I26" i="1" s="1"/>
  <c r="AH26" i="1"/>
  <c r="E27" i="1"/>
  <c r="O29" i="1"/>
  <c r="Q29" i="1" s="1"/>
  <c r="W30" i="1"/>
  <c r="Y30" i="1" s="1"/>
  <c r="U30" i="1"/>
  <c r="M30" i="1"/>
  <c r="AC341" i="1"/>
  <c r="AC342" i="1" s="1"/>
  <c r="AC343" i="1" s="1"/>
  <c r="AC344" i="1" s="1"/>
  <c r="AC345" i="1" s="1"/>
  <c r="AC346" i="1" s="1"/>
  <c r="AC347" i="1" s="1"/>
  <c r="AC348" i="1" s="1"/>
  <c r="AC349" i="1" s="1"/>
  <c r="AC350" i="1" s="1"/>
  <c r="AC351" i="1" s="1"/>
  <c r="AC352" i="1" s="1"/>
  <c r="AC353" i="1" s="1"/>
  <c r="AC354" i="1" s="1"/>
  <c r="AC355" i="1" s="1"/>
  <c r="AC356" i="1" s="1"/>
  <c r="AC357" i="1" s="1"/>
  <c r="AC358" i="1" s="1"/>
  <c r="AC359" i="1" s="1"/>
  <c r="AC360" i="1" s="1"/>
  <c r="AC361" i="1" s="1"/>
  <c r="AC362" i="1" s="1"/>
  <c r="AC363" i="1" s="1"/>
  <c r="AC364" i="1" s="1"/>
  <c r="AC365" i="1" s="1"/>
  <c r="AC366" i="1" s="1"/>
  <c r="AC367" i="1" s="1"/>
  <c r="AC368" i="1" s="1"/>
  <c r="AC369" i="1" s="1"/>
  <c r="AC370" i="1" s="1"/>
  <c r="AC371" i="1" s="1"/>
  <c r="G27" i="1" l="1"/>
  <c r="I27" i="1" s="1"/>
  <c r="E28" i="1"/>
  <c r="AH27" i="1"/>
  <c r="O30" i="1"/>
  <c r="W31" i="1"/>
  <c r="AK372" i="1"/>
  <c r="AB372" i="1"/>
  <c r="Y31" i="1"/>
  <c r="Q30" i="1"/>
  <c r="U31" i="1"/>
  <c r="M31" i="1"/>
  <c r="G28" i="1" l="1"/>
  <c r="I28" i="1" s="1"/>
  <c r="AH28" i="1"/>
  <c r="E29" i="1"/>
  <c r="O31" i="1"/>
  <c r="Q31" i="1" s="1"/>
  <c r="W32" i="1"/>
  <c r="Y32" i="1" s="1"/>
  <c r="U32" i="1"/>
  <c r="M32" i="1"/>
  <c r="AK374" i="1"/>
  <c r="AB374" i="1"/>
  <c r="AC372" i="1"/>
  <c r="G29" i="1" l="1"/>
  <c r="I29" i="1" s="1"/>
  <c r="E30" i="1"/>
  <c r="AH29" i="1"/>
  <c r="O32" i="1"/>
  <c r="Q32" i="1" s="1"/>
  <c r="W33" i="1"/>
  <c r="Y33" i="1" s="1"/>
  <c r="U33" i="1"/>
  <c r="M33" i="1"/>
  <c r="G30" i="1" l="1"/>
  <c r="I30" i="1" s="1"/>
  <c r="AH30" i="1"/>
  <c r="E31" i="1"/>
  <c r="O33" i="1"/>
  <c r="Q33" i="1" s="1"/>
  <c r="W34" i="1"/>
  <c r="Y34" i="1" s="1"/>
  <c r="U34" i="1"/>
  <c r="M34" i="1"/>
  <c r="G31" i="1" l="1"/>
  <c r="I31" i="1" s="1"/>
  <c r="E32" i="1"/>
  <c r="AH31" i="1"/>
  <c r="O34" i="1"/>
  <c r="Q34" i="1" s="1"/>
  <c r="W35" i="1"/>
  <c r="Y35" i="1" s="1"/>
  <c r="U35" i="1"/>
  <c r="M35" i="1"/>
  <c r="AH32" i="1" l="1"/>
  <c r="E33" i="1"/>
  <c r="G32" i="1"/>
  <c r="I32" i="1" s="1"/>
  <c r="O35" i="1"/>
  <c r="Q35" i="1" s="1"/>
  <c r="U36" i="1" s="1"/>
  <c r="W36" i="1"/>
  <c r="Y36" i="1"/>
  <c r="M36" i="1"/>
  <c r="G33" i="1" l="1"/>
  <c r="I33" i="1" s="1"/>
  <c r="E34" i="1"/>
  <c r="AH33" i="1"/>
  <c r="O36" i="1"/>
  <c r="W37" i="1"/>
  <c r="X37" i="1"/>
  <c r="Y37" i="1" s="1"/>
  <c r="M37" i="1"/>
  <c r="Q36" i="1"/>
  <c r="T37" i="1" s="1"/>
  <c r="U37" i="1" s="1"/>
  <c r="G34" i="1" l="1"/>
  <c r="I34" i="1" s="1"/>
  <c r="E35" i="1"/>
  <c r="AH34" i="1"/>
  <c r="O37" i="1"/>
  <c r="W38" i="1"/>
  <c r="Y38" i="1" s="1"/>
  <c r="M38" i="1"/>
  <c r="Q37" i="1"/>
  <c r="U38" i="1" s="1"/>
  <c r="G35" i="1" l="1"/>
  <c r="I35" i="1" s="1"/>
  <c r="E36" i="1"/>
  <c r="AH35" i="1"/>
  <c r="O38" i="1"/>
  <c r="Q38" i="1" s="1"/>
  <c r="U39" i="1" s="1"/>
  <c r="W39" i="1"/>
  <c r="M39" i="1"/>
  <c r="G36" i="1" l="1"/>
  <c r="E37" i="1"/>
  <c r="AH36" i="1"/>
  <c r="I36" i="1"/>
  <c r="W40" i="1"/>
  <c r="O39" i="1"/>
  <c r="Q39" i="1" s="1"/>
  <c r="M40" i="1"/>
  <c r="Y39" i="1"/>
  <c r="X40" i="1" s="1"/>
  <c r="Y40" i="1" s="1"/>
  <c r="T40" i="1"/>
  <c r="U40" i="1" s="1"/>
  <c r="AJ40" i="1"/>
  <c r="AL40" i="1" s="1"/>
  <c r="AM40" i="1" s="1"/>
  <c r="H37" i="1" l="1"/>
  <c r="AJ37" i="1" s="1"/>
  <c r="AL37" i="1" s="1"/>
  <c r="AM37" i="1" s="1"/>
  <c r="G37" i="1"/>
  <c r="I37" i="1" s="1"/>
  <c r="E38" i="1"/>
  <c r="AH37" i="1"/>
  <c r="W41" i="1"/>
  <c r="Y41" i="1" s="1"/>
  <c r="O40" i="1"/>
  <c r="Q40" i="1" s="1"/>
  <c r="M41" i="1"/>
  <c r="U41" i="1"/>
  <c r="G38" i="1" l="1"/>
  <c r="I38" i="1" s="1"/>
  <c r="AH38" i="1"/>
  <c r="E39" i="1"/>
  <c r="W42" i="1"/>
  <c r="Y42" i="1" s="1"/>
  <c r="O41" i="1"/>
  <c r="Q41" i="1"/>
  <c r="M42" i="1"/>
  <c r="G39" i="1" l="1"/>
  <c r="I39" i="1" s="1"/>
  <c r="E40" i="1"/>
  <c r="AH39" i="1"/>
  <c r="W43" i="1"/>
  <c r="Y43" i="1" s="1"/>
  <c r="O42" i="1"/>
  <c r="Q42" i="1" s="1"/>
  <c r="M43" i="1"/>
  <c r="U42" i="1"/>
  <c r="G40" i="1" l="1"/>
  <c r="I40" i="1" s="1"/>
  <c r="AH40" i="1"/>
  <c r="E41" i="1"/>
  <c r="W44" i="1"/>
  <c r="Y44" i="1" s="1"/>
  <c r="O43" i="1"/>
  <c r="U43" i="1"/>
  <c r="Q43" i="1"/>
  <c r="M44" i="1"/>
  <c r="G41" i="1" l="1"/>
  <c r="I41" i="1" s="1"/>
  <c r="AH41" i="1"/>
  <c r="E42" i="1"/>
  <c r="O44" i="1"/>
  <c r="W45" i="1"/>
  <c r="Y45" i="1" s="1"/>
  <c r="Q44" i="1"/>
  <c r="M45" i="1"/>
  <c r="U44" i="1"/>
  <c r="G42" i="1" l="1"/>
  <c r="I42" i="1" s="1"/>
  <c r="E43" i="1"/>
  <c r="AH42" i="1"/>
  <c r="O45" i="1"/>
  <c r="W46" i="1"/>
  <c r="Y46" i="1" s="1"/>
  <c r="U45" i="1"/>
  <c r="Q45" i="1"/>
  <c r="M46" i="1"/>
  <c r="G43" i="1" l="1"/>
  <c r="I43" i="1" s="1"/>
  <c r="AH43" i="1"/>
  <c r="E44" i="1"/>
  <c r="O46" i="1"/>
  <c r="W47" i="1"/>
  <c r="Y47" i="1" s="1"/>
  <c r="U46" i="1"/>
  <c r="Q46" i="1"/>
  <c r="M47" i="1"/>
  <c r="G44" i="1" l="1"/>
  <c r="I44" i="1" s="1"/>
  <c r="E45" i="1"/>
  <c r="AH44" i="1"/>
  <c r="O47" i="1"/>
  <c r="W48" i="1"/>
  <c r="Y48" i="1" s="1"/>
  <c r="U47" i="1"/>
  <c r="Q47" i="1"/>
  <c r="M48" i="1"/>
  <c r="G45" i="1" l="1"/>
  <c r="I45" i="1" s="1"/>
  <c r="E46" i="1"/>
  <c r="AH45" i="1"/>
  <c r="O48" i="1"/>
  <c r="W49" i="1"/>
  <c r="Y49" i="1" s="1"/>
  <c r="U48" i="1"/>
  <c r="Q48" i="1"/>
  <c r="M49" i="1"/>
  <c r="G46" i="1" l="1"/>
  <c r="I46" i="1" s="1"/>
  <c r="E47" i="1"/>
  <c r="AH46" i="1"/>
  <c r="O49" i="1"/>
  <c r="W50" i="1"/>
  <c r="Y50" i="1" s="1"/>
  <c r="U49" i="1"/>
  <c r="Q49" i="1"/>
  <c r="M50" i="1"/>
  <c r="G47" i="1" l="1"/>
  <c r="I47" i="1" s="1"/>
  <c r="AH47" i="1"/>
  <c r="E48" i="1"/>
  <c r="O50" i="1"/>
  <c r="W51" i="1"/>
  <c r="Y51" i="1" s="1"/>
  <c r="M51" i="1"/>
  <c r="U50" i="1"/>
  <c r="Q50" i="1"/>
  <c r="G48" i="1" l="1"/>
  <c r="I48" i="1" s="1"/>
  <c r="E49" i="1"/>
  <c r="AH48" i="1"/>
  <c r="O51" i="1"/>
  <c r="W52" i="1"/>
  <c r="Y52" i="1" s="1"/>
  <c r="U51" i="1"/>
  <c r="Q51" i="1"/>
  <c r="M52" i="1"/>
  <c r="G49" i="1" l="1"/>
  <c r="I49" i="1" s="1"/>
  <c r="AH49" i="1"/>
  <c r="E50" i="1"/>
  <c r="O52" i="1"/>
  <c r="Q52" i="1" s="1"/>
  <c r="W53" i="1"/>
  <c r="Y53" i="1" s="1"/>
  <c r="U52" i="1"/>
  <c r="M53" i="1"/>
  <c r="G50" i="1" l="1"/>
  <c r="I50" i="1" s="1"/>
  <c r="E51" i="1"/>
  <c r="AH50" i="1"/>
  <c r="O53" i="1"/>
  <c r="Q53" i="1" s="1"/>
  <c r="W54" i="1"/>
  <c r="Y54" i="1" s="1"/>
  <c r="M54" i="1"/>
  <c r="U53" i="1"/>
  <c r="G51" i="1" l="1"/>
  <c r="E52" i="1"/>
  <c r="AH51" i="1"/>
  <c r="I51" i="1"/>
  <c r="O54" i="1"/>
  <c r="Q54" i="1" s="1"/>
  <c r="W55" i="1"/>
  <c r="Y55" i="1" s="1"/>
  <c r="U54" i="1"/>
  <c r="M55" i="1"/>
  <c r="G52" i="1" l="1"/>
  <c r="I52" i="1" s="1"/>
  <c r="E53" i="1"/>
  <c r="AH52" i="1"/>
  <c r="W56" i="1"/>
  <c r="Y56" i="1" s="1"/>
  <c r="O55" i="1"/>
  <c r="Q55" i="1" s="1"/>
  <c r="M56" i="1"/>
  <c r="U55" i="1"/>
  <c r="G53" i="1" l="1"/>
  <c r="I53" i="1" s="1"/>
  <c r="E54" i="1"/>
  <c r="AH53" i="1"/>
  <c r="W57" i="1"/>
  <c r="Y57" i="1" s="1"/>
  <c r="O56" i="1"/>
  <c r="Q56" i="1" s="1"/>
  <c r="M57" i="1"/>
  <c r="U56" i="1"/>
  <c r="G54" i="1" l="1"/>
  <c r="E55" i="1"/>
  <c r="AH54" i="1"/>
  <c r="I54" i="1"/>
  <c r="W58" i="1"/>
  <c r="Y58" i="1" s="1"/>
  <c r="O57" i="1"/>
  <c r="Q57" i="1"/>
  <c r="U57" i="1"/>
  <c r="U58" i="1" s="1"/>
  <c r="M58" i="1"/>
  <c r="G55" i="1" l="1"/>
  <c r="I55" i="1" s="1"/>
  <c r="E56" i="1"/>
  <c r="AH55" i="1"/>
  <c r="W59" i="1"/>
  <c r="Y59" i="1" s="1"/>
  <c r="O58" i="1"/>
  <c r="Q58" i="1" s="1"/>
  <c r="U59" i="1"/>
  <c r="M59" i="1"/>
  <c r="G56" i="1" l="1"/>
  <c r="I56" i="1" s="1"/>
  <c r="E57" i="1"/>
  <c r="AH56" i="1"/>
  <c r="W60" i="1"/>
  <c r="Y60" i="1" s="1"/>
  <c r="O59" i="1"/>
  <c r="Q59" i="1" s="1"/>
  <c r="U60" i="1"/>
  <c r="M60" i="1"/>
  <c r="G57" i="1" l="1"/>
  <c r="I57" i="1" s="1"/>
  <c r="AH57" i="1"/>
  <c r="E58" i="1"/>
  <c r="O60" i="1"/>
  <c r="Q60" i="1" s="1"/>
  <c r="W61" i="1"/>
  <c r="Y61" i="1" s="1"/>
  <c r="M61" i="1"/>
  <c r="U61" i="1"/>
  <c r="U62" i="1" s="1"/>
  <c r="G58" i="1" l="1"/>
  <c r="I58" i="1" s="1"/>
  <c r="E59" i="1"/>
  <c r="AH58" i="1"/>
  <c r="O61" i="1"/>
  <c r="Q61" i="1" s="1"/>
  <c r="W62" i="1"/>
  <c r="Y62" i="1" s="1"/>
  <c r="M62" i="1"/>
  <c r="G59" i="1" l="1"/>
  <c r="I59" i="1" s="1"/>
  <c r="AH59" i="1"/>
  <c r="E60" i="1"/>
  <c r="O62" i="1"/>
  <c r="Q62" i="1" s="1"/>
  <c r="U63" i="1" s="1"/>
  <c r="W63" i="1"/>
  <c r="Y63" i="1" s="1"/>
  <c r="M63" i="1"/>
  <c r="G60" i="1" l="1"/>
  <c r="I60" i="1" s="1"/>
  <c r="E61" i="1"/>
  <c r="AH60" i="1"/>
  <c r="O63" i="1"/>
  <c r="Q63" i="1" s="1"/>
  <c r="U64" i="1" s="1"/>
  <c r="W64" i="1"/>
  <c r="Y64" i="1" s="1"/>
  <c r="M64" i="1"/>
  <c r="G61" i="1" l="1"/>
  <c r="I61" i="1" s="1"/>
  <c r="E62" i="1"/>
  <c r="AH61" i="1"/>
  <c r="O64" i="1"/>
  <c r="Q64" i="1" s="1"/>
  <c r="U65" i="1" s="1"/>
  <c r="W65" i="1"/>
  <c r="Y65" i="1" s="1"/>
  <c r="M65" i="1"/>
  <c r="G62" i="1" l="1"/>
  <c r="AH62" i="1"/>
  <c r="E63" i="1"/>
  <c r="I62" i="1"/>
  <c r="O65" i="1"/>
  <c r="Q65" i="1" s="1"/>
  <c r="W66" i="1"/>
  <c r="Y66" i="1" s="1"/>
  <c r="M66" i="1"/>
  <c r="U66" i="1"/>
  <c r="G63" i="1" l="1"/>
  <c r="I63" i="1" s="1"/>
  <c r="E64" i="1"/>
  <c r="AH63" i="1"/>
  <c r="O66" i="1"/>
  <c r="Q66" i="1" s="1"/>
  <c r="W67" i="1"/>
  <c r="Y67" i="1" s="1"/>
  <c r="M67" i="1"/>
  <c r="U67" i="1"/>
  <c r="G64" i="1" l="1"/>
  <c r="I64" i="1" s="1"/>
  <c r="AH64" i="1"/>
  <c r="E65" i="1"/>
  <c r="O67" i="1"/>
  <c r="Q67" i="1" s="1"/>
  <c r="W68" i="1"/>
  <c r="X68" i="1" s="1"/>
  <c r="Y68" i="1" s="1"/>
  <c r="M68" i="1"/>
  <c r="G65" i="1" l="1"/>
  <c r="I65" i="1" s="1"/>
  <c r="AH65" i="1"/>
  <c r="E66" i="1"/>
  <c r="M69" i="1"/>
  <c r="O68" i="1"/>
  <c r="P68" i="1" s="1"/>
  <c r="Q68" i="1" s="1"/>
  <c r="W69" i="1"/>
  <c r="Y69" i="1" s="1"/>
  <c r="U68" i="1"/>
  <c r="M70" i="1"/>
  <c r="G66" i="1" l="1"/>
  <c r="E67" i="1"/>
  <c r="AH66" i="1"/>
  <c r="I66" i="1"/>
  <c r="O70" i="1"/>
  <c r="W71" i="1"/>
  <c r="O69" i="1"/>
  <c r="Q69" i="1" s="1"/>
  <c r="W70" i="1"/>
  <c r="Y70" i="1" s="1"/>
  <c r="Y71" i="1" s="1"/>
  <c r="U69" i="1"/>
  <c r="U70" i="1" s="1"/>
  <c r="U71" i="1" s="1"/>
  <c r="Q70" i="1"/>
  <c r="M71" i="1"/>
  <c r="G67" i="1" l="1"/>
  <c r="I67" i="1" s="1"/>
  <c r="AH67" i="1"/>
  <c r="E68" i="1"/>
  <c r="W72" i="1"/>
  <c r="Y72" i="1" s="1"/>
  <c r="O71" i="1"/>
  <c r="Q71" i="1" s="1"/>
  <c r="U72" i="1"/>
  <c r="M72" i="1"/>
  <c r="AH68" i="1" l="1"/>
  <c r="G68" i="1"/>
  <c r="E69" i="1"/>
  <c r="H68" i="1"/>
  <c r="AJ68" i="1" s="1"/>
  <c r="AL68" i="1" s="1"/>
  <c r="AM68" i="1" s="1"/>
  <c r="I68" i="1"/>
  <c r="W73" i="1"/>
  <c r="Y73" i="1" s="1"/>
  <c r="O72" i="1"/>
  <c r="Q72" i="1"/>
  <c r="U73" i="1"/>
  <c r="M73" i="1"/>
  <c r="G69" i="1" l="1"/>
  <c r="I69" i="1" s="1"/>
  <c r="E70" i="1"/>
  <c r="AH69" i="1"/>
  <c r="W74" i="1"/>
  <c r="Y74" i="1" s="1"/>
  <c r="O73" i="1"/>
  <c r="Q73" i="1"/>
  <c r="U74" i="1"/>
  <c r="M74" i="1"/>
  <c r="G70" i="1" l="1"/>
  <c r="AH70" i="1"/>
  <c r="E71" i="1"/>
  <c r="I70" i="1"/>
  <c r="W75" i="1"/>
  <c r="Y75" i="1" s="1"/>
  <c r="O74" i="1"/>
  <c r="Q74" i="1" s="1"/>
  <c r="U75" i="1"/>
  <c r="M75" i="1"/>
  <c r="G71" i="1" l="1"/>
  <c r="I71" i="1" s="1"/>
  <c r="AH71" i="1"/>
  <c r="E72" i="1"/>
  <c r="W76" i="1"/>
  <c r="Y76" i="1" s="1"/>
  <c r="O75" i="1"/>
  <c r="Q75" i="1" s="1"/>
  <c r="U76" i="1"/>
  <c r="M76" i="1"/>
  <c r="G72" i="1" l="1"/>
  <c r="I72" i="1" s="1"/>
  <c r="E73" i="1"/>
  <c r="AH72" i="1"/>
  <c r="O76" i="1"/>
  <c r="Q76" i="1" s="1"/>
  <c r="W77" i="1"/>
  <c r="Y77" i="1" s="1"/>
  <c r="U77" i="1"/>
  <c r="M77" i="1"/>
  <c r="G73" i="1" l="1"/>
  <c r="I73" i="1" s="1"/>
  <c r="AH73" i="1"/>
  <c r="E74" i="1"/>
  <c r="O77" i="1"/>
  <c r="Q77" i="1" s="1"/>
  <c r="W78" i="1"/>
  <c r="Y78" i="1" s="1"/>
  <c r="U78" i="1"/>
  <c r="M78" i="1"/>
  <c r="G74" i="1" l="1"/>
  <c r="I74" i="1" s="1"/>
  <c r="E75" i="1"/>
  <c r="AH74" i="1"/>
  <c r="O78" i="1"/>
  <c r="Q78" i="1" s="1"/>
  <c r="W79" i="1"/>
  <c r="Y79" i="1" s="1"/>
  <c r="U79" i="1"/>
  <c r="M79" i="1"/>
  <c r="G75" i="1" l="1"/>
  <c r="I75" i="1" s="1"/>
  <c r="AH75" i="1"/>
  <c r="E76" i="1"/>
  <c r="O79" i="1"/>
  <c r="Q79" i="1" s="1"/>
  <c r="W80" i="1"/>
  <c r="Y80" i="1" s="1"/>
  <c r="U80" i="1"/>
  <c r="M80" i="1"/>
  <c r="G76" i="1" l="1"/>
  <c r="I76" i="1" s="1"/>
  <c r="AH76" i="1"/>
  <c r="E77" i="1"/>
  <c r="O80" i="1"/>
  <c r="Q80" i="1" s="1"/>
  <c r="W81" i="1"/>
  <c r="Y81" i="1" s="1"/>
  <c r="U81" i="1"/>
  <c r="M81" i="1"/>
  <c r="G77" i="1" l="1"/>
  <c r="I77" i="1" s="1"/>
  <c r="E78" i="1"/>
  <c r="AH77" i="1"/>
  <c r="O81" i="1"/>
  <c r="Q81" i="1" s="1"/>
  <c r="W82" i="1"/>
  <c r="Y82" i="1" s="1"/>
  <c r="U82" i="1"/>
  <c r="M82" i="1"/>
  <c r="G78" i="1" l="1"/>
  <c r="I78" i="1" s="1"/>
  <c r="E79" i="1"/>
  <c r="AH78" i="1"/>
  <c r="O82" i="1"/>
  <c r="Q82" i="1" s="1"/>
  <c r="W83" i="1"/>
  <c r="Y83" i="1" s="1"/>
  <c r="U83" i="1"/>
  <c r="M83" i="1"/>
  <c r="G79" i="1" l="1"/>
  <c r="I79" i="1" s="1"/>
  <c r="AH79" i="1"/>
  <c r="E80" i="1"/>
  <c r="O83" i="1"/>
  <c r="Q83" i="1" s="1"/>
  <c r="W84" i="1"/>
  <c r="Y84" i="1" s="1"/>
  <c r="U84" i="1"/>
  <c r="M84" i="1"/>
  <c r="G80" i="1" l="1"/>
  <c r="I80" i="1" s="1"/>
  <c r="AH80" i="1"/>
  <c r="E81" i="1"/>
  <c r="O84" i="1"/>
  <c r="Q84" i="1" s="1"/>
  <c r="W85" i="1"/>
  <c r="Y85" i="1" s="1"/>
  <c r="U85" i="1"/>
  <c r="M85" i="1"/>
  <c r="G81" i="1" l="1"/>
  <c r="I81" i="1" s="1"/>
  <c r="E82" i="1"/>
  <c r="AH81" i="1"/>
  <c r="O85" i="1"/>
  <c r="Q85" i="1" s="1"/>
  <c r="W86" i="1"/>
  <c r="Y86" i="1" s="1"/>
  <c r="U86" i="1"/>
  <c r="M86" i="1"/>
  <c r="G82" i="1" l="1"/>
  <c r="I82" i="1" s="1"/>
  <c r="AH82" i="1"/>
  <c r="E83" i="1"/>
  <c r="O86" i="1"/>
  <c r="Q86" i="1" s="1"/>
  <c r="W87" i="1"/>
  <c r="Y87" i="1" s="1"/>
  <c r="U87" i="1"/>
  <c r="M87" i="1"/>
  <c r="G83" i="1" l="1"/>
  <c r="I83" i="1" s="1"/>
  <c r="E84" i="1"/>
  <c r="AH83" i="1"/>
  <c r="W88" i="1"/>
  <c r="Y88" i="1" s="1"/>
  <c r="O87" i="1"/>
  <c r="Q87" i="1" s="1"/>
  <c r="U88" i="1"/>
  <c r="M88" i="1"/>
  <c r="G84" i="1" l="1"/>
  <c r="AH84" i="1"/>
  <c r="E85" i="1"/>
  <c r="I84" i="1"/>
  <c r="W89" i="1"/>
  <c r="Y89" i="1" s="1"/>
  <c r="O88" i="1"/>
  <c r="Q88" i="1" s="1"/>
  <c r="U89" i="1"/>
  <c r="M89" i="1"/>
  <c r="G85" i="1" l="1"/>
  <c r="I85" i="1" s="1"/>
  <c r="AH85" i="1"/>
  <c r="E86" i="1"/>
  <c r="W90" i="1"/>
  <c r="Y90" i="1" s="1"/>
  <c r="O89" i="1"/>
  <c r="Q89" i="1" s="1"/>
  <c r="U90" i="1"/>
  <c r="M90" i="1"/>
  <c r="G86" i="1" l="1"/>
  <c r="E87" i="1"/>
  <c r="AH86" i="1"/>
  <c r="I86" i="1"/>
  <c r="W91" i="1"/>
  <c r="Y91" i="1" s="1"/>
  <c r="O90" i="1"/>
  <c r="Q90" i="1" s="1"/>
  <c r="U91" i="1"/>
  <c r="M91" i="1"/>
  <c r="G87" i="1" l="1"/>
  <c r="I87" i="1" s="1"/>
  <c r="E88" i="1"/>
  <c r="AH87" i="1"/>
  <c r="W92" i="1"/>
  <c r="Y92" i="1" s="1"/>
  <c r="O91" i="1"/>
  <c r="Q91" i="1" s="1"/>
  <c r="U92" i="1"/>
  <c r="M92" i="1"/>
  <c r="G88" i="1" l="1"/>
  <c r="E89" i="1"/>
  <c r="AH88" i="1"/>
  <c r="I88" i="1"/>
  <c r="O92" i="1"/>
  <c r="Q92" i="1" s="1"/>
  <c r="W93" i="1"/>
  <c r="Y93" i="1" s="1"/>
  <c r="U93" i="1"/>
  <c r="M93" i="1"/>
  <c r="G89" i="1" l="1"/>
  <c r="I89" i="1" s="1"/>
  <c r="E90" i="1"/>
  <c r="AH89" i="1"/>
  <c r="O93" i="1"/>
  <c r="Q93" i="1" s="1"/>
  <c r="W94" i="1"/>
  <c r="Y94" i="1" s="1"/>
  <c r="U94" i="1"/>
  <c r="M94" i="1"/>
  <c r="G90" i="1" l="1"/>
  <c r="E91" i="1"/>
  <c r="AH90" i="1"/>
  <c r="I90" i="1"/>
  <c r="O94" i="1"/>
  <c r="Q94" i="1" s="1"/>
  <c r="W95" i="1"/>
  <c r="Y95" i="1" s="1"/>
  <c r="U95" i="1"/>
  <c r="M95" i="1"/>
  <c r="G91" i="1" l="1"/>
  <c r="I91" i="1" s="1"/>
  <c r="E92" i="1"/>
  <c r="AH91" i="1"/>
  <c r="W96" i="1"/>
  <c r="Y96" i="1" s="1"/>
  <c r="O95" i="1"/>
  <c r="Q95" i="1" s="1"/>
  <c r="M96" i="1"/>
  <c r="G92" i="1" l="1"/>
  <c r="I92" i="1" s="1"/>
  <c r="E93" i="1"/>
  <c r="AH92" i="1"/>
  <c r="W97" i="1"/>
  <c r="Y97" i="1" s="1"/>
  <c r="O96" i="1"/>
  <c r="Q96" i="1" s="1"/>
  <c r="M97" i="1"/>
  <c r="G93" i="1" l="1"/>
  <c r="I93" i="1" s="1"/>
  <c r="E94" i="1"/>
  <c r="AH93" i="1"/>
  <c r="O97" i="1"/>
  <c r="W98" i="1"/>
  <c r="Y98" i="1" s="1"/>
  <c r="Q97" i="1"/>
  <c r="M98" i="1"/>
  <c r="G94" i="1" l="1"/>
  <c r="I94" i="1" s="1"/>
  <c r="AH94" i="1"/>
  <c r="E95" i="1"/>
  <c r="O98" i="1"/>
  <c r="W99" i="1"/>
  <c r="Y99" i="1" s="1"/>
  <c r="Q98" i="1"/>
  <c r="AJ97" i="1"/>
  <c r="M99" i="1"/>
  <c r="AL97" i="1"/>
  <c r="AM97" i="1" s="1"/>
  <c r="AH95" i="1" l="1"/>
  <c r="G95" i="1"/>
  <c r="I95" i="1" s="1"/>
  <c r="H96" i="1" s="1"/>
  <c r="E96" i="1"/>
  <c r="O99" i="1"/>
  <c r="W100" i="1"/>
  <c r="Y100" i="1" s="1"/>
  <c r="Q99" i="1"/>
  <c r="M100" i="1"/>
  <c r="AH96" i="1" l="1"/>
  <c r="G96" i="1"/>
  <c r="I96" i="1" s="1"/>
  <c r="E97" i="1"/>
  <c r="S96" i="1"/>
  <c r="U96" i="1" s="1"/>
  <c r="U97" i="1" s="1"/>
  <c r="U98" i="1" s="1"/>
  <c r="U99" i="1" s="1"/>
  <c r="AJ96" i="1"/>
  <c r="AL96" i="1" s="1"/>
  <c r="AM96" i="1" s="1"/>
  <c r="O100" i="1"/>
  <c r="W101" i="1"/>
  <c r="X101" i="1" s="1"/>
  <c r="Q100" i="1"/>
  <c r="U100" i="1"/>
  <c r="M101" i="1"/>
  <c r="W102" i="1" s="1"/>
  <c r="G97" i="1" l="1"/>
  <c r="E98" i="1"/>
  <c r="AH97" i="1"/>
  <c r="I97" i="1"/>
  <c r="Y101" i="1"/>
  <c r="AM101" i="1"/>
  <c r="O101" i="1"/>
  <c r="Q101" i="1" s="1"/>
  <c r="U101" i="1"/>
  <c r="M102" i="1"/>
  <c r="W103" i="1" s="1"/>
  <c r="G98" i="1" l="1"/>
  <c r="AH98" i="1"/>
  <c r="E99" i="1"/>
  <c r="I98" i="1"/>
  <c r="O102" i="1"/>
  <c r="Y102" i="1"/>
  <c r="U102" i="1"/>
  <c r="Q102" i="1"/>
  <c r="M103" i="1"/>
  <c r="W104" i="1" s="1"/>
  <c r="G99" i="1" l="1"/>
  <c r="I99" i="1" s="1"/>
  <c r="E100" i="1"/>
  <c r="AH99" i="1"/>
  <c r="Y103" i="1"/>
  <c r="O103" i="1"/>
  <c r="Q103" i="1" s="1"/>
  <c r="Y104" i="1"/>
  <c r="U103" i="1"/>
  <c r="M104" i="1"/>
  <c r="W105" i="1" s="1"/>
  <c r="G100" i="1" l="1"/>
  <c r="I100" i="1" s="1"/>
  <c r="AH100" i="1"/>
  <c r="E101" i="1"/>
  <c r="O104" i="1"/>
  <c r="Q104" i="1" s="1"/>
  <c r="Y105" i="1"/>
  <c r="U104" i="1"/>
  <c r="U105" i="1"/>
  <c r="M105" i="1"/>
  <c r="W106" i="1" s="1"/>
  <c r="G101" i="1" l="1"/>
  <c r="I101" i="1" s="1"/>
  <c r="E102" i="1"/>
  <c r="AH101" i="1"/>
  <c r="O105" i="1"/>
  <c r="Q105" i="1" s="1"/>
  <c r="U106" i="1"/>
  <c r="M106" i="1"/>
  <c r="W107" i="1" s="1"/>
  <c r="G102" i="1" l="1"/>
  <c r="I102" i="1" s="1"/>
  <c r="E103" i="1"/>
  <c r="AH102" i="1"/>
  <c r="O106" i="1"/>
  <c r="Q106" i="1" s="1"/>
  <c r="Y106" i="1"/>
  <c r="Y107" i="1" s="1"/>
  <c r="U107" i="1"/>
  <c r="M107" i="1"/>
  <c r="W108" i="1" s="1"/>
  <c r="G103" i="1" l="1"/>
  <c r="I103" i="1" s="1"/>
  <c r="E104" i="1"/>
  <c r="AH103" i="1"/>
  <c r="O107" i="1"/>
  <c r="Q107" i="1" s="1"/>
  <c r="Y108" i="1"/>
  <c r="U108" i="1"/>
  <c r="M108" i="1"/>
  <c r="W109" i="1" s="1"/>
  <c r="G104" i="1" l="1"/>
  <c r="I104" i="1" s="1"/>
  <c r="E105" i="1"/>
  <c r="AH104" i="1"/>
  <c r="O108" i="1"/>
  <c r="Q108" i="1" s="1"/>
  <c r="U109" i="1" s="1"/>
  <c r="Y109" i="1"/>
  <c r="M109" i="1"/>
  <c r="W110" i="1" s="1"/>
  <c r="G105" i="1" l="1"/>
  <c r="I105" i="1" s="1"/>
  <c r="E106" i="1"/>
  <c r="AH105" i="1"/>
  <c r="O109" i="1"/>
  <c r="Q109" i="1" s="1"/>
  <c r="U110" i="1" s="1"/>
  <c r="Y110" i="1"/>
  <c r="M110" i="1"/>
  <c r="W111" i="1" s="1"/>
  <c r="G106" i="1" l="1"/>
  <c r="I106" i="1" s="1"/>
  <c r="E107" i="1"/>
  <c r="AH106" i="1"/>
  <c r="O110" i="1"/>
  <c r="Q110" i="1" s="1"/>
  <c r="U111" i="1" s="1"/>
  <c r="Y111" i="1"/>
  <c r="M111" i="1"/>
  <c r="W112" i="1" s="1"/>
  <c r="G107" i="1" l="1"/>
  <c r="I107" i="1" s="1"/>
  <c r="AH107" i="1"/>
  <c r="E108" i="1"/>
  <c r="O111" i="1"/>
  <c r="Q111" i="1" s="1"/>
  <c r="U112" i="1" s="1"/>
  <c r="Y112" i="1"/>
  <c r="M112" i="1"/>
  <c r="W113" i="1" s="1"/>
  <c r="G108" i="1" l="1"/>
  <c r="I108" i="1" s="1"/>
  <c r="AH108" i="1"/>
  <c r="E109" i="1"/>
  <c r="O112" i="1"/>
  <c r="Q112" i="1" s="1"/>
  <c r="U113" i="1" s="1"/>
  <c r="Y113" i="1"/>
  <c r="M113" i="1"/>
  <c r="W114" i="1" s="1"/>
  <c r="G109" i="1" l="1"/>
  <c r="I109" i="1" s="1"/>
  <c r="E110" i="1"/>
  <c r="AH109" i="1"/>
  <c r="O113" i="1"/>
  <c r="Q113" i="1" s="1"/>
  <c r="U114" i="1" s="1"/>
  <c r="Y114" i="1"/>
  <c r="M114" i="1"/>
  <c r="W115" i="1" s="1"/>
  <c r="G110" i="1" l="1"/>
  <c r="AH110" i="1"/>
  <c r="E111" i="1"/>
  <c r="I110" i="1"/>
  <c r="O114" i="1"/>
  <c r="Q114" i="1" s="1"/>
  <c r="U115" i="1" s="1"/>
  <c r="Y115" i="1"/>
  <c r="M115" i="1"/>
  <c r="W116" i="1" s="1"/>
  <c r="G111" i="1" l="1"/>
  <c r="I111" i="1" s="1"/>
  <c r="AH111" i="1"/>
  <c r="E112" i="1"/>
  <c r="O115" i="1"/>
  <c r="Q115" i="1" s="1"/>
  <c r="U116" i="1" s="1"/>
  <c r="Y116" i="1"/>
  <c r="M116" i="1"/>
  <c r="W117" i="1" s="1"/>
  <c r="G112" i="1" l="1"/>
  <c r="AH112" i="1"/>
  <c r="E113" i="1"/>
  <c r="I112" i="1"/>
  <c r="O116" i="1"/>
  <c r="Q116" i="1" s="1"/>
  <c r="U117" i="1" s="1"/>
  <c r="M117" i="1"/>
  <c r="G113" i="1" l="1"/>
  <c r="I113" i="1" s="1"/>
  <c r="AH113" i="1"/>
  <c r="E114" i="1"/>
  <c r="O117" i="1"/>
  <c r="Q117" i="1" s="1"/>
  <c r="U118" i="1" s="1"/>
  <c r="W118" i="1"/>
  <c r="Y117" i="1"/>
  <c r="Y118" i="1" s="1"/>
  <c r="M118" i="1"/>
  <c r="G114" i="1" l="1"/>
  <c r="I114" i="1" s="1"/>
  <c r="AH114" i="1"/>
  <c r="E115" i="1"/>
  <c r="O118" i="1"/>
  <c r="Q118" i="1" s="1"/>
  <c r="U119" i="1" s="1"/>
  <c r="W119" i="1"/>
  <c r="Y119" i="1" s="1"/>
  <c r="X374" i="1"/>
  <c r="M119" i="1"/>
  <c r="G115" i="1" l="1"/>
  <c r="I115" i="1" s="1"/>
  <c r="AH115" i="1"/>
  <c r="E116" i="1"/>
  <c r="O119" i="1"/>
  <c r="Q119" i="1" s="1"/>
  <c r="U120" i="1" s="1"/>
  <c r="W120" i="1"/>
  <c r="Y120" i="1"/>
  <c r="M120" i="1"/>
  <c r="G116" i="1" l="1"/>
  <c r="I116" i="1" s="1"/>
  <c r="E117" i="1"/>
  <c r="AH116" i="1"/>
  <c r="O120" i="1"/>
  <c r="Q120" i="1" s="1"/>
  <c r="U121" i="1" s="1"/>
  <c r="W121" i="1"/>
  <c r="Y121" i="1" s="1"/>
  <c r="M121" i="1"/>
  <c r="G117" i="1" l="1"/>
  <c r="E118" i="1"/>
  <c r="AH117" i="1"/>
  <c r="I117" i="1"/>
  <c r="O121" i="1"/>
  <c r="Q121" i="1" s="1"/>
  <c r="U122" i="1" s="1"/>
  <c r="W122" i="1"/>
  <c r="M122" i="1"/>
  <c r="G118" i="1" l="1"/>
  <c r="I118" i="1" s="1"/>
  <c r="AH118" i="1"/>
  <c r="E119" i="1"/>
  <c r="O122" i="1"/>
  <c r="Q122" i="1" s="1"/>
  <c r="U123" i="1" s="1"/>
  <c r="W123" i="1"/>
  <c r="Y122" i="1"/>
  <c r="M123" i="1"/>
  <c r="Y123" i="1" l="1"/>
  <c r="G119" i="1"/>
  <c r="I119" i="1" s="1"/>
  <c r="AH119" i="1"/>
  <c r="E120" i="1"/>
  <c r="O123" i="1"/>
  <c r="Q123" i="1" s="1"/>
  <c r="U124" i="1" s="1"/>
  <c r="W124" i="1"/>
  <c r="Y124" i="1"/>
  <c r="M124" i="1"/>
  <c r="G120" i="1" l="1"/>
  <c r="I120" i="1" s="1"/>
  <c r="E121" i="1"/>
  <c r="AH120" i="1"/>
  <c r="O124" i="1"/>
  <c r="Q124" i="1" s="1"/>
  <c r="U125" i="1" s="1"/>
  <c r="W125" i="1"/>
  <c r="Y125" i="1" s="1"/>
  <c r="M125" i="1"/>
  <c r="G121" i="1" l="1"/>
  <c r="I121" i="1" s="1"/>
  <c r="AH121" i="1"/>
  <c r="E122" i="1"/>
  <c r="O125" i="1"/>
  <c r="Q125" i="1" s="1"/>
  <c r="U126" i="1" s="1"/>
  <c r="W126" i="1"/>
  <c r="Y126" i="1" s="1"/>
  <c r="M126" i="1"/>
  <c r="G122" i="1" l="1"/>
  <c r="I122" i="1" s="1"/>
  <c r="AH122" i="1"/>
  <c r="E123" i="1"/>
  <c r="O126" i="1"/>
  <c r="Q126" i="1" s="1"/>
  <c r="U127" i="1" s="1"/>
  <c r="W127" i="1"/>
  <c r="Y127" i="1" s="1"/>
  <c r="M127" i="1"/>
  <c r="G123" i="1" l="1"/>
  <c r="E124" i="1"/>
  <c r="AH123" i="1"/>
  <c r="I123" i="1"/>
  <c r="O127" i="1"/>
  <c r="P127" i="1" s="1"/>
  <c r="Q127" i="1" s="1"/>
  <c r="W128" i="1"/>
  <c r="Y128" i="1" s="1"/>
  <c r="M128" i="1"/>
  <c r="U128" i="1"/>
  <c r="G124" i="1" l="1"/>
  <c r="I124" i="1" s="1"/>
  <c r="E125" i="1"/>
  <c r="AH124" i="1"/>
  <c r="O128" i="1"/>
  <c r="Q128" i="1" s="1"/>
  <c r="W129" i="1"/>
  <c r="Y129" i="1" s="1"/>
  <c r="U129" i="1"/>
  <c r="M129" i="1"/>
  <c r="G125" i="1" l="1"/>
  <c r="I125" i="1" s="1"/>
  <c r="E126" i="1"/>
  <c r="AH125" i="1"/>
  <c r="O129" i="1"/>
  <c r="Q129" i="1" s="1"/>
  <c r="W130" i="1"/>
  <c r="Y130" i="1" s="1"/>
  <c r="U130" i="1"/>
  <c r="M130" i="1"/>
  <c r="G126" i="1" l="1"/>
  <c r="I126" i="1" s="1"/>
  <c r="H127" i="1" s="1"/>
  <c r="AJ127" i="1" s="1"/>
  <c r="AL127" i="1" s="1"/>
  <c r="AM127" i="1" s="1"/>
  <c r="E127" i="1"/>
  <c r="AH126" i="1"/>
  <c r="O130" i="1"/>
  <c r="Q130" i="1" s="1"/>
  <c r="W131" i="1"/>
  <c r="Y131" i="1" s="1"/>
  <c r="U131" i="1"/>
  <c r="M131" i="1"/>
  <c r="G127" i="1" l="1"/>
  <c r="I127" i="1" s="1"/>
  <c r="E128" i="1"/>
  <c r="AH127" i="1"/>
  <c r="O131" i="1"/>
  <c r="Q131" i="1" s="1"/>
  <c r="U132" i="1" s="1"/>
  <c r="W132" i="1"/>
  <c r="Y132" i="1" s="1"/>
  <c r="M132" i="1"/>
  <c r="G128" i="1" l="1"/>
  <c r="AH128" i="1"/>
  <c r="E129" i="1"/>
  <c r="I128" i="1"/>
  <c r="O132" i="1"/>
  <c r="Q132" i="1" s="1"/>
  <c r="U133" i="1" s="1"/>
  <c r="W133" i="1"/>
  <c r="Y133" i="1" s="1"/>
  <c r="M133" i="1"/>
  <c r="G129" i="1" l="1"/>
  <c r="I129" i="1" s="1"/>
  <c r="E130" i="1"/>
  <c r="AH129" i="1"/>
  <c r="O133" i="1"/>
  <c r="Q133" i="1" s="1"/>
  <c r="U134" i="1" s="1"/>
  <c r="W134" i="1"/>
  <c r="Y134" i="1" s="1"/>
  <c r="M134" i="1"/>
  <c r="G130" i="1" l="1"/>
  <c r="I130" i="1" s="1"/>
  <c r="E131" i="1"/>
  <c r="AH130" i="1"/>
  <c r="O134" i="1"/>
  <c r="Q134" i="1" s="1"/>
  <c r="U135" i="1" s="1"/>
  <c r="W135" i="1"/>
  <c r="Y135" i="1" s="1"/>
  <c r="M135" i="1"/>
  <c r="G131" i="1" l="1"/>
  <c r="I131" i="1" s="1"/>
  <c r="E132" i="1"/>
  <c r="AH131" i="1"/>
  <c r="O135" i="1"/>
  <c r="Q135" i="1" s="1"/>
  <c r="U136" i="1" s="1"/>
  <c r="W136" i="1"/>
  <c r="Y136" i="1" s="1"/>
  <c r="M136" i="1"/>
  <c r="G132" i="1" l="1"/>
  <c r="E133" i="1"/>
  <c r="AH132" i="1"/>
  <c r="I132" i="1"/>
  <c r="O136" i="1"/>
  <c r="Q136" i="1" s="1"/>
  <c r="U137" i="1" s="1"/>
  <c r="W137" i="1"/>
  <c r="Y137" i="1" s="1"/>
  <c r="M137" i="1"/>
  <c r="G133" i="1" l="1"/>
  <c r="I133" i="1" s="1"/>
  <c r="E134" i="1"/>
  <c r="AH133" i="1"/>
  <c r="O137" i="1"/>
  <c r="Q137" i="1" s="1"/>
  <c r="U138" i="1" s="1"/>
  <c r="W138" i="1"/>
  <c r="Y138" i="1" s="1"/>
  <c r="M138" i="1"/>
  <c r="G134" i="1" l="1"/>
  <c r="I134" i="1" s="1"/>
  <c r="E135" i="1"/>
  <c r="AH134" i="1"/>
  <c r="O138" i="1"/>
  <c r="Q138" i="1" s="1"/>
  <c r="U139" i="1" s="1"/>
  <c r="W139" i="1"/>
  <c r="Y139" i="1" s="1"/>
  <c r="M139" i="1"/>
  <c r="G135" i="1" l="1"/>
  <c r="I135" i="1" s="1"/>
  <c r="E136" i="1"/>
  <c r="AH135" i="1"/>
  <c r="O139" i="1"/>
  <c r="Q139" i="1" s="1"/>
  <c r="U140" i="1" s="1"/>
  <c r="W140" i="1"/>
  <c r="Y140" i="1" s="1"/>
  <c r="M140" i="1"/>
  <c r="G136" i="1" l="1"/>
  <c r="I136" i="1" s="1"/>
  <c r="E137" i="1"/>
  <c r="AH136" i="1"/>
  <c r="O140" i="1"/>
  <c r="Q140" i="1" s="1"/>
  <c r="U141" i="1" s="1"/>
  <c r="W141" i="1"/>
  <c r="Y141" i="1" s="1"/>
  <c r="M141" i="1"/>
  <c r="G137" i="1" l="1"/>
  <c r="I137" i="1" s="1"/>
  <c r="AH137" i="1"/>
  <c r="E138" i="1"/>
  <c r="O141" i="1"/>
  <c r="Q141" i="1" s="1"/>
  <c r="U142" i="1" s="1"/>
  <c r="W142" i="1"/>
  <c r="Y142" i="1" s="1"/>
  <c r="M142" i="1"/>
  <c r="G138" i="1" l="1"/>
  <c r="I138" i="1" s="1"/>
  <c r="E139" i="1"/>
  <c r="AH138" i="1"/>
  <c r="O142" i="1"/>
  <c r="Q142" i="1" s="1"/>
  <c r="U143" i="1" s="1"/>
  <c r="W143" i="1"/>
  <c r="Y143" i="1" s="1"/>
  <c r="M143" i="1"/>
  <c r="G139" i="1" l="1"/>
  <c r="AH139" i="1"/>
  <c r="E140" i="1"/>
  <c r="I139" i="1"/>
  <c r="O143" i="1"/>
  <c r="Q143" i="1" s="1"/>
  <c r="U144" i="1" s="1"/>
  <c r="W144" i="1"/>
  <c r="Y144" i="1" s="1"/>
  <c r="M144" i="1"/>
  <c r="G140" i="1" l="1"/>
  <c r="I140" i="1" s="1"/>
  <c r="AH140" i="1"/>
  <c r="E141" i="1"/>
  <c r="O144" i="1"/>
  <c r="Q144" i="1" s="1"/>
  <c r="U145" i="1" s="1"/>
  <c r="W145" i="1"/>
  <c r="Y145" i="1" s="1"/>
  <c r="M145" i="1"/>
  <c r="G141" i="1" l="1"/>
  <c r="I141" i="1" s="1"/>
  <c r="AH141" i="1"/>
  <c r="E142" i="1"/>
  <c r="O145" i="1"/>
  <c r="Q145" i="1" s="1"/>
  <c r="U146" i="1" s="1"/>
  <c r="W146" i="1"/>
  <c r="Y146" i="1" s="1"/>
  <c r="M146" i="1"/>
  <c r="G142" i="1" l="1"/>
  <c r="I142" i="1" s="1"/>
  <c r="AH142" i="1"/>
  <c r="E143" i="1"/>
  <c r="O146" i="1"/>
  <c r="Q146" i="1" s="1"/>
  <c r="U147" i="1" s="1"/>
  <c r="W147" i="1"/>
  <c r="Y147" i="1" s="1"/>
  <c r="M147" i="1"/>
  <c r="G143" i="1" l="1"/>
  <c r="I143" i="1" s="1"/>
  <c r="AH143" i="1"/>
  <c r="E144" i="1"/>
  <c r="O147" i="1"/>
  <c r="Q147" i="1" s="1"/>
  <c r="U148" i="1" s="1"/>
  <c r="W148" i="1"/>
  <c r="Y148" i="1" s="1"/>
  <c r="M148" i="1"/>
  <c r="G144" i="1" l="1"/>
  <c r="I144" i="1" s="1"/>
  <c r="AH144" i="1"/>
  <c r="E145" i="1"/>
  <c r="O148" i="1"/>
  <c r="Q148" i="1" s="1"/>
  <c r="U149" i="1" s="1"/>
  <c r="W149" i="1"/>
  <c r="Y149" i="1" s="1"/>
  <c r="M149" i="1"/>
  <c r="G145" i="1" l="1"/>
  <c r="I145" i="1" s="1"/>
  <c r="AH145" i="1"/>
  <c r="E146" i="1"/>
  <c r="O149" i="1"/>
  <c r="Q149" i="1" s="1"/>
  <c r="U150" i="1" s="1"/>
  <c r="W150" i="1"/>
  <c r="Y150" i="1" s="1"/>
  <c r="M150" i="1"/>
  <c r="G146" i="1" l="1"/>
  <c r="I146" i="1" s="1"/>
  <c r="E147" i="1"/>
  <c r="AH146" i="1"/>
  <c r="O150" i="1"/>
  <c r="Q150" i="1" s="1"/>
  <c r="U151" i="1" s="1"/>
  <c r="W151" i="1"/>
  <c r="Y151" i="1" s="1"/>
  <c r="M151" i="1"/>
  <c r="G147" i="1" l="1"/>
  <c r="AH147" i="1"/>
  <c r="E148" i="1"/>
  <c r="I147" i="1"/>
  <c r="O151" i="1"/>
  <c r="Q151" i="1" s="1"/>
  <c r="U152" i="1" s="1"/>
  <c r="W152" i="1"/>
  <c r="Y152" i="1" s="1"/>
  <c r="M152" i="1"/>
  <c r="G148" i="1" l="1"/>
  <c r="I148" i="1" s="1"/>
  <c r="AH148" i="1"/>
  <c r="E149" i="1"/>
  <c r="O152" i="1"/>
  <c r="Q152" i="1" s="1"/>
  <c r="U153" i="1" s="1"/>
  <c r="W153" i="1"/>
  <c r="Y153" i="1" s="1"/>
  <c r="M153" i="1"/>
  <c r="G149" i="1" l="1"/>
  <c r="I149" i="1" s="1"/>
  <c r="E150" i="1"/>
  <c r="AH149" i="1"/>
  <c r="O153" i="1"/>
  <c r="Q153" i="1" s="1"/>
  <c r="U154" i="1" s="1"/>
  <c r="W154" i="1"/>
  <c r="Y154" i="1" s="1"/>
  <c r="M154" i="1"/>
  <c r="G150" i="1" l="1"/>
  <c r="I150" i="1" s="1"/>
  <c r="E151" i="1"/>
  <c r="AH150" i="1"/>
  <c r="O154" i="1"/>
  <c r="Q154" i="1" s="1"/>
  <c r="U155" i="1" s="1"/>
  <c r="W155" i="1"/>
  <c r="Y155" i="1" s="1"/>
  <c r="M155" i="1"/>
  <c r="G151" i="1" l="1"/>
  <c r="I151" i="1" s="1"/>
  <c r="E152" i="1"/>
  <c r="AH151" i="1"/>
  <c r="O155" i="1"/>
  <c r="Q155" i="1" s="1"/>
  <c r="U156" i="1" s="1"/>
  <c r="W156" i="1"/>
  <c r="Y156" i="1" s="1"/>
  <c r="M156" i="1"/>
  <c r="G152" i="1" l="1"/>
  <c r="I152" i="1" s="1"/>
  <c r="AH152" i="1"/>
  <c r="E153" i="1"/>
  <c r="O156" i="1"/>
  <c r="Q156" i="1" s="1"/>
  <c r="U157" i="1" s="1"/>
  <c r="W157" i="1"/>
  <c r="Y157" i="1" s="1"/>
  <c r="M157" i="1"/>
  <c r="G153" i="1" l="1"/>
  <c r="I153" i="1" s="1"/>
  <c r="AH153" i="1"/>
  <c r="E154" i="1"/>
  <c r="O157" i="1"/>
  <c r="Q157" i="1" s="1"/>
  <c r="T158" i="1" s="1"/>
  <c r="W158" i="1"/>
  <c r="Y158" i="1" s="1"/>
  <c r="M158" i="1"/>
  <c r="U158" i="1"/>
  <c r="G154" i="1" l="1"/>
  <c r="I154" i="1" s="1"/>
  <c r="AH154" i="1"/>
  <c r="E155" i="1"/>
  <c r="O158" i="1"/>
  <c r="P158" i="1" s="1"/>
  <c r="Q158" i="1" s="1"/>
  <c r="W159" i="1"/>
  <c r="Y159" i="1" s="1"/>
  <c r="U159" i="1"/>
  <c r="M159" i="1"/>
  <c r="G155" i="1" l="1"/>
  <c r="I155" i="1" s="1"/>
  <c r="AH155" i="1"/>
  <c r="E156" i="1"/>
  <c r="O159" i="1"/>
  <c r="Q159" i="1" s="1"/>
  <c r="W160" i="1"/>
  <c r="Y160" i="1" s="1"/>
  <c r="U160" i="1"/>
  <c r="M160" i="1"/>
  <c r="G156" i="1" l="1"/>
  <c r="I156" i="1" s="1"/>
  <c r="AH156" i="1"/>
  <c r="E157" i="1"/>
  <c r="O160" i="1"/>
  <c r="Q160" i="1" s="1"/>
  <c r="W161" i="1"/>
  <c r="Y161" i="1" s="1"/>
  <c r="U161" i="1"/>
  <c r="M161" i="1"/>
  <c r="G157" i="1" l="1"/>
  <c r="I157" i="1" s="1"/>
  <c r="H158" i="1" s="1"/>
  <c r="AJ158" i="1" s="1"/>
  <c r="AL158" i="1" s="1"/>
  <c r="AM158" i="1" s="1"/>
  <c r="AH157" i="1"/>
  <c r="E158" i="1"/>
  <c r="O161" i="1"/>
  <c r="Q161" i="1" s="1"/>
  <c r="W162" i="1"/>
  <c r="Y162" i="1" s="1"/>
  <c r="U162" i="1"/>
  <c r="M162" i="1"/>
  <c r="G158" i="1" l="1"/>
  <c r="I158" i="1" s="1"/>
  <c r="E159" i="1"/>
  <c r="AH158" i="1"/>
  <c r="O162" i="1"/>
  <c r="Q162" i="1" s="1"/>
  <c r="U163" i="1" s="1"/>
  <c r="W163" i="1"/>
  <c r="Y163" i="1" s="1"/>
  <c r="M163" i="1"/>
  <c r="G159" i="1" l="1"/>
  <c r="E160" i="1"/>
  <c r="AH159" i="1"/>
  <c r="I159" i="1"/>
  <c r="O163" i="1"/>
  <c r="Q163" i="1" s="1"/>
  <c r="U164" i="1" s="1"/>
  <c r="W164" i="1"/>
  <c r="Y164" i="1" s="1"/>
  <c r="M164" i="1"/>
  <c r="G160" i="1" l="1"/>
  <c r="I160" i="1" s="1"/>
  <c r="E161" i="1"/>
  <c r="AH160" i="1"/>
  <c r="O164" i="1"/>
  <c r="Q164" i="1" s="1"/>
  <c r="U165" i="1" s="1"/>
  <c r="W165" i="1"/>
  <c r="Y165" i="1" s="1"/>
  <c r="M165" i="1"/>
  <c r="G161" i="1" l="1"/>
  <c r="I161" i="1" s="1"/>
  <c r="E162" i="1"/>
  <c r="AH161" i="1"/>
  <c r="O165" i="1"/>
  <c r="Q165" i="1" s="1"/>
  <c r="U166" i="1" s="1"/>
  <c r="W166" i="1"/>
  <c r="Y166" i="1" s="1"/>
  <c r="M166" i="1"/>
  <c r="G162" i="1" l="1"/>
  <c r="I162" i="1" s="1"/>
  <c r="AH162" i="1"/>
  <c r="E163" i="1"/>
  <c r="O166" i="1"/>
  <c r="Q166" i="1" s="1"/>
  <c r="U167" i="1" s="1"/>
  <c r="W167" i="1"/>
  <c r="Y167" i="1" s="1"/>
  <c r="M167" i="1"/>
  <c r="G163" i="1" l="1"/>
  <c r="I163" i="1" s="1"/>
  <c r="AH163" i="1"/>
  <c r="E164" i="1"/>
  <c r="O167" i="1"/>
  <c r="Q167" i="1" s="1"/>
  <c r="U168" i="1" s="1"/>
  <c r="W168" i="1"/>
  <c r="Y168" i="1" s="1"/>
  <c r="M168" i="1"/>
  <c r="G164" i="1" l="1"/>
  <c r="I164" i="1" s="1"/>
  <c r="E165" i="1"/>
  <c r="AH164" i="1"/>
  <c r="O168" i="1"/>
  <c r="Q168" i="1" s="1"/>
  <c r="U169" i="1" s="1"/>
  <c r="W169" i="1"/>
  <c r="Y169" i="1" s="1"/>
  <c r="M169" i="1"/>
  <c r="G165" i="1" l="1"/>
  <c r="I165" i="1" s="1"/>
  <c r="AH165" i="1"/>
  <c r="E166" i="1"/>
  <c r="O169" i="1"/>
  <c r="Q169" i="1" s="1"/>
  <c r="U170" i="1" s="1"/>
  <c r="W170" i="1"/>
  <c r="Y170" i="1" s="1"/>
  <c r="M170" i="1"/>
  <c r="G166" i="1" l="1"/>
  <c r="I166" i="1" s="1"/>
  <c r="E167" i="1"/>
  <c r="AH166" i="1"/>
  <c r="O170" i="1"/>
  <c r="Q170" i="1" s="1"/>
  <c r="U171" i="1" s="1"/>
  <c r="W171" i="1"/>
  <c r="Y171" i="1" s="1"/>
  <c r="M171" i="1"/>
  <c r="G167" i="1" l="1"/>
  <c r="I167" i="1" s="1"/>
  <c r="E168" i="1"/>
  <c r="AH167" i="1"/>
  <c r="O171" i="1"/>
  <c r="Q171" i="1" s="1"/>
  <c r="U172" i="1" s="1"/>
  <c r="W172" i="1"/>
  <c r="Y172" i="1" s="1"/>
  <c r="M172" i="1"/>
  <c r="G168" i="1" l="1"/>
  <c r="AH168" i="1"/>
  <c r="E169" i="1"/>
  <c r="I168" i="1"/>
  <c r="O172" i="1"/>
  <c r="Q172" i="1" s="1"/>
  <c r="U173" i="1" s="1"/>
  <c r="W173" i="1"/>
  <c r="Y173" i="1" s="1"/>
  <c r="M173" i="1"/>
  <c r="G169" i="1" l="1"/>
  <c r="I169" i="1" s="1"/>
  <c r="AH169" i="1"/>
  <c r="E170" i="1"/>
  <c r="O173" i="1"/>
  <c r="Q173" i="1" s="1"/>
  <c r="U174" i="1" s="1"/>
  <c r="W174" i="1"/>
  <c r="Y174" i="1" s="1"/>
  <c r="M174" i="1"/>
  <c r="G170" i="1" l="1"/>
  <c r="I170" i="1" s="1"/>
  <c r="AH170" i="1"/>
  <c r="E171" i="1"/>
  <c r="O174" i="1"/>
  <c r="Q174" i="1" s="1"/>
  <c r="U175" i="1" s="1"/>
  <c r="W175" i="1"/>
  <c r="Y175" i="1" s="1"/>
  <c r="M175" i="1"/>
  <c r="G171" i="1" l="1"/>
  <c r="E172" i="1"/>
  <c r="AH171" i="1"/>
  <c r="I171" i="1"/>
  <c r="O175" i="1"/>
  <c r="Q175" i="1" s="1"/>
  <c r="U176" i="1" s="1"/>
  <c r="W176" i="1"/>
  <c r="Y176" i="1" s="1"/>
  <c r="M176" i="1"/>
  <c r="G172" i="1" l="1"/>
  <c r="I172" i="1" s="1"/>
  <c r="E173" i="1"/>
  <c r="AH172" i="1"/>
  <c r="O176" i="1"/>
  <c r="Q176" i="1" s="1"/>
  <c r="U177" i="1" s="1"/>
  <c r="W177" i="1"/>
  <c r="Y177" i="1" s="1"/>
  <c r="M177" i="1"/>
  <c r="G173" i="1" l="1"/>
  <c r="I173" i="1" s="1"/>
  <c r="E174" i="1"/>
  <c r="AH173" i="1"/>
  <c r="O177" i="1"/>
  <c r="Q177" i="1" s="1"/>
  <c r="U178" i="1" s="1"/>
  <c r="W178" i="1"/>
  <c r="Y178" i="1" s="1"/>
  <c r="M178" i="1"/>
  <c r="G174" i="1" l="1"/>
  <c r="I174" i="1" s="1"/>
  <c r="E175" i="1"/>
  <c r="AH174" i="1"/>
  <c r="O178" i="1"/>
  <c r="Q178" i="1" s="1"/>
  <c r="U179" i="1" s="1"/>
  <c r="W179" i="1"/>
  <c r="Y179" i="1" s="1"/>
  <c r="M179" i="1"/>
  <c r="G175" i="1" l="1"/>
  <c r="I175" i="1" s="1"/>
  <c r="E176" i="1"/>
  <c r="AH175" i="1"/>
  <c r="O179" i="1"/>
  <c r="Q179" i="1" s="1"/>
  <c r="U180" i="1" s="1"/>
  <c r="W180" i="1"/>
  <c r="Y180" i="1" s="1"/>
  <c r="M180" i="1"/>
  <c r="G176" i="1" l="1"/>
  <c r="I176" i="1" s="1"/>
  <c r="E177" i="1"/>
  <c r="AH176" i="1"/>
  <c r="O180" i="1"/>
  <c r="Q180" i="1" s="1"/>
  <c r="U181" i="1" s="1"/>
  <c r="W181" i="1"/>
  <c r="Y181" i="1" s="1"/>
  <c r="M181" i="1"/>
  <c r="G177" i="1" l="1"/>
  <c r="I177" i="1" s="1"/>
  <c r="E178" i="1"/>
  <c r="AH177" i="1"/>
  <c r="O181" i="1"/>
  <c r="Q181" i="1" s="1"/>
  <c r="U182" i="1" s="1"/>
  <c r="W182" i="1"/>
  <c r="Y182" i="1" s="1"/>
  <c r="M182" i="1"/>
  <c r="G178" i="1" l="1"/>
  <c r="AH178" i="1"/>
  <c r="E179" i="1"/>
  <c r="I178" i="1"/>
  <c r="O182" i="1"/>
  <c r="Q182" i="1" s="1"/>
  <c r="U183" i="1" s="1"/>
  <c r="W183" i="1"/>
  <c r="Y183" i="1" s="1"/>
  <c r="M183" i="1"/>
  <c r="G179" i="1" l="1"/>
  <c r="I179" i="1" s="1"/>
  <c r="E180" i="1"/>
  <c r="AH179" i="1"/>
  <c r="O183" i="1"/>
  <c r="Q183" i="1" s="1"/>
  <c r="U184" i="1" s="1"/>
  <c r="W184" i="1"/>
  <c r="Y184" i="1" s="1"/>
  <c r="M184" i="1"/>
  <c r="G180" i="1" l="1"/>
  <c r="I180" i="1" s="1"/>
  <c r="AH180" i="1"/>
  <c r="E181" i="1"/>
  <c r="O184" i="1"/>
  <c r="Q184" i="1" s="1"/>
  <c r="U185" i="1" s="1"/>
  <c r="W185" i="1"/>
  <c r="Y185" i="1" s="1"/>
  <c r="M185" i="1"/>
  <c r="G181" i="1" l="1"/>
  <c r="I181" i="1" s="1"/>
  <c r="E182" i="1"/>
  <c r="AH181" i="1"/>
  <c r="O185" i="1"/>
  <c r="Q185" i="1" s="1"/>
  <c r="U186" i="1" s="1"/>
  <c r="W186" i="1"/>
  <c r="Y186" i="1" s="1"/>
  <c r="M186" i="1"/>
  <c r="G182" i="1" l="1"/>
  <c r="I182" i="1" s="1"/>
  <c r="AH182" i="1"/>
  <c r="E183" i="1"/>
  <c r="O186" i="1"/>
  <c r="Q186" i="1" s="1"/>
  <c r="U187" i="1" s="1"/>
  <c r="W187" i="1"/>
  <c r="Y187" i="1" s="1"/>
  <c r="M187" i="1"/>
  <c r="G183" i="1" l="1"/>
  <c r="I183" i="1" s="1"/>
  <c r="AH183" i="1"/>
  <c r="E184" i="1"/>
  <c r="O187" i="1"/>
  <c r="Q187" i="1" s="1"/>
  <c r="T188" i="1" s="1"/>
  <c r="U188" i="1" s="1"/>
  <c r="W188" i="1"/>
  <c r="Y188" i="1" s="1"/>
  <c r="M188" i="1"/>
  <c r="G184" i="1" l="1"/>
  <c r="I184" i="1" s="1"/>
  <c r="E185" i="1"/>
  <c r="AH184" i="1"/>
  <c r="O188" i="1"/>
  <c r="P188" i="1" s="1"/>
  <c r="Q188" i="1" s="1"/>
  <c r="W189" i="1"/>
  <c r="Y189" i="1" s="1"/>
  <c r="U189" i="1"/>
  <c r="M189" i="1"/>
  <c r="G185" i="1" l="1"/>
  <c r="AH185" i="1"/>
  <c r="E186" i="1"/>
  <c r="I185" i="1"/>
  <c r="O189" i="1"/>
  <c r="Q189" i="1" s="1"/>
  <c r="W190" i="1"/>
  <c r="Y190" i="1" s="1"/>
  <c r="U190" i="1"/>
  <c r="M190" i="1"/>
  <c r="G186" i="1" l="1"/>
  <c r="I186" i="1" s="1"/>
  <c r="AH186" i="1"/>
  <c r="E187" i="1"/>
  <c r="O190" i="1"/>
  <c r="Q190" i="1" s="1"/>
  <c r="W191" i="1"/>
  <c r="Y191" i="1" s="1"/>
  <c r="M191" i="1"/>
  <c r="U191" i="1"/>
  <c r="G187" i="1" l="1"/>
  <c r="I187" i="1" s="1"/>
  <c r="H188" i="1" s="1"/>
  <c r="AJ188" i="1" s="1"/>
  <c r="AL188" i="1" s="1"/>
  <c r="AM188" i="1" s="1"/>
  <c r="E188" i="1"/>
  <c r="AH187" i="1"/>
  <c r="O191" i="1"/>
  <c r="Q191" i="1" s="1"/>
  <c r="W192" i="1"/>
  <c r="Y192" i="1" s="1"/>
  <c r="U192" i="1"/>
  <c r="M192" i="1"/>
  <c r="G188" i="1" l="1"/>
  <c r="I188" i="1" s="1"/>
  <c r="AH188" i="1"/>
  <c r="E189" i="1"/>
  <c r="O192" i="1"/>
  <c r="Q192" i="1" s="1"/>
  <c r="W193" i="1"/>
  <c r="Y193" i="1" s="1"/>
  <c r="U193" i="1"/>
  <c r="M193" i="1"/>
  <c r="G189" i="1" l="1"/>
  <c r="AH189" i="1"/>
  <c r="E190" i="1"/>
  <c r="I189" i="1"/>
  <c r="O193" i="1"/>
  <c r="Q193" i="1" s="1"/>
  <c r="U194" i="1" s="1"/>
  <c r="W194" i="1"/>
  <c r="Y194" i="1" s="1"/>
  <c r="M194" i="1"/>
  <c r="G190" i="1" l="1"/>
  <c r="I190" i="1" s="1"/>
  <c r="E191" i="1"/>
  <c r="AH190" i="1"/>
  <c r="O194" i="1"/>
  <c r="Q194" i="1" s="1"/>
  <c r="U195" i="1" s="1"/>
  <c r="W195" i="1"/>
  <c r="Y195" i="1" s="1"/>
  <c r="M195" i="1"/>
  <c r="G191" i="1" l="1"/>
  <c r="I191" i="1" s="1"/>
  <c r="AH191" i="1"/>
  <c r="E192" i="1"/>
  <c r="O195" i="1"/>
  <c r="Q195" i="1" s="1"/>
  <c r="U196" i="1" s="1"/>
  <c r="W196" i="1"/>
  <c r="Y196" i="1" s="1"/>
  <c r="M196" i="1"/>
  <c r="G192" i="1" l="1"/>
  <c r="I192" i="1" s="1"/>
  <c r="E193" i="1"/>
  <c r="AH192" i="1"/>
  <c r="O196" i="1"/>
  <c r="Q196" i="1" s="1"/>
  <c r="U197" i="1" s="1"/>
  <c r="W197" i="1"/>
  <c r="Y197" i="1" s="1"/>
  <c r="M197" i="1"/>
  <c r="G193" i="1" l="1"/>
  <c r="I193" i="1" s="1"/>
  <c r="E194" i="1"/>
  <c r="AH193" i="1"/>
  <c r="O197" i="1"/>
  <c r="Q197" i="1" s="1"/>
  <c r="U198" i="1" s="1"/>
  <c r="W198" i="1"/>
  <c r="Y198" i="1" s="1"/>
  <c r="M198" i="1"/>
  <c r="G194" i="1" l="1"/>
  <c r="I194" i="1" s="1"/>
  <c r="E195" i="1"/>
  <c r="AH194" i="1"/>
  <c r="O198" i="1"/>
  <c r="Q198" i="1" s="1"/>
  <c r="U199" i="1" s="1"/>
  <c r="W199" i="1"/>
  <c r="Y199" i="1" s="1"/>
  <c r="M199" i="1"/>
  <c r="G195" i="1" l="1"/>
  <c r="I195" i="1" s="1"/>
  <c r="E196" i="1"/>
  <c r="AH195" i="1"/>
  <c r="O199" i="1"/>
  <c r="Q199" i="1" s="1"/>
  <c r="U200" i="1" s="1"/>
  <c r="W200" i="1"/>
  <c r="Y200" i="1" s="1"/>
  <c r="M200" i="1"/>
  <c r="G196" i="1" l="1"/>
  <c r="I196" i="1" s="1"/>
  <c r="E197" i="1"/>
  <c r="AH196" i="1"/>
  <c r="O200" i="1"/>
  <c r="Q200" i="1" s="1"/>
  <c r="U201" i="1" s="1"/>
  <c r="W201" i="1"/>
  <c r="Y201" i="1" s="1"/>
  <c r="M201" i="1"/>
  <c r="G197" i="1" l="1"/>
  <c r="I197" i="1" s="1"/>
  <c r="E198" i="1"/>
  <c r="AH197" i="1"/>
  <c r="O201" i="1"/>
  <c r="Q201" i="1" s="1"/>
  <c r="U202" i="1" s="1"/>
  <c r="W202" i="1"/>
  <c r="Y202" i="1" s="1"/>
  <c r="M202" i="1"/>
  <c r="G198" i="1" l="1"/>
  <c r="I198" i="1" s="1"/>
  <c r="AH198" i="1"/>
  <c r="E199" i="1"/>
  <c r="O202" i="1"/>
  <c r="Q202" i="1" s="1"/>
  <c r="U203" i="1" s="1"/>
  <c r="W203" i="1"/>
  <c r="Y203" i="1" s="1"/>
  <c r="M203" i="1"/>
  <c r="G199" i="1" l="1"/>
  <c r="I199" i="1" s="1"/>
  <c r="AH199" i="1"/>
  <c r="E200" i="1"/>
  <c r="O203" i="1"/>
  <c r="Q203" i="1" s="1"/>
  <c r="U204" i="1" s="1"/>
  <c r="W204" i="1"/>
  <c r="Y204" i="1" s="1"/>
  <c r="M204" i="1"/>
  <c r="G200" i="1" l="1"/>
  <c r="I200" i="1" s="1"/>
  <c r="AH200" i="1"/>
  <c r="E201" i="1"/>
  <c r="O204" i="1"/>
  <c r="Q204" i="1" s="1"/>
  <c r="U205" i="1" s="1"/>
  <c r="W205" i="1"/>
  <c r="Y205" i="1" s="1"/>
  <c r="M205" i="1"/>
  <c r="G201" i="1" l="1"/>
  <c r="I201" i="1" s="1"/>
  <c r="AH201" i="1"/>
  <c r="E202" i="1"/>
  <c r="O205" i="1"/>
  <c r="Q205" i="1" s="1"/>
  <c r="U206" i="1" s="1"/>
  <c r="W206" i="1"/>
  <c r="Y206" i="1" s="1"/>
  <c r="M206" i="1"/>
  <c r="G202" i="1" l="1"/>
  <c r="I202" i="1" s="1"/>
  <c r="E203" i="1"/>
  <c r="AH202" i="1"/>
  <c r="O206" i="1"/>
  <c r="Q206" i="1" s="1"/>
  <c r="U207" i="1" s="1"/>
  <c r="W207" i="1"/>
  <c r="Y207" i="1" s="1"/>
  <c r="M207" i="1"/>
  <c r="G203" i="1" l="1"/>
  <c r="AH203" i="1"/>
  <c r="E204" i="1"/>
  <c r="I203" i="1"/>
  <c r="O207" i="1"/>
  <c r="Q207" i="1" s="1"/>
  <c r="U208" i="1" s="1"/>
  <c r="W208" i="1"/>
  <c r="Y208" i="1" s="1"/>
  <c r="M208" i="1"/>
  <c r="G204" i="1" l="1"/>
  <c r="I204" i="1" s="1"/>
  <c r="AH204" i="1"/>
  <c r="E205" i="1"/>
  <c r="O208" i="1"/>
  <c r="Q208" i="1" s="1"/>
  <c r="U209" i="1" s="1"/>
  <c r="W209" i="1"/>
  <c r="Y209" i="1" s="1"/>
  <c r="M209" i="1"/>
  <c r="G205" i="1" l="1"/>
  <c r="I205" i="1" s="1"/>
  <c r="E206" i="1"/>
  <c r="AH205" i="1"/>
  <c r="O209" i="1"/>
  <c r="Q209" i="1" s="1"/>
  <c r="U210" i="1" s="1"/>
  <c r="W210" i="1"/>
  <c r="Y210" i="1" s="1"/>
  <c r="M210" i="1"/>
  <c r="G206" i="1" l="1"/>
  <c r="AH206" i="1"/>
  <c r="E207" i="1"/>
  <c r="I206" i="1"/>
  <c r="O210" i="1"/>
  <c r="Q210" i="1" s="1"/>
  <c r="U211" i="1" s="1"/>
  <c r="W211" i="1"/>
  <c r="Y211" i="1" s="1"/>
  <c r="M211" i="1"/>
  <c r="G207" i="1" l="1"/>
  <c r="I207" i="1" s="1"/>
  <c r="AH207" i="1"/>
  <c r="E208" i="1"/>
  <c r="O211" i="1"/>
  <c r="Q211" i="1" s="1"/>
  <c r="U212" i="1" s="1"/>
  <c r="W212" i="1"/>
  <c r="Y212" i="1" s="1"/>
  <c r="M212" i="1"/>
  <c r="G208" i="1" l="1"/>
  <c r="I208" i="1" s="1"/>
  <c r="E209" i="1"/>
  <c r="AH208" i="1"/>
  <c r="O212" i="1"/>
  <c r="Q212" i="1" s="1"/>
  <c r="U213" i="1" s="1"/>
  <c r="W213" i="1"/>
  <c r="Y213" i="1" s="1"/>
  <c r="M213" i="1"/>
  <c r="G209" i="1" l="1"/>
  <c r="I209" i="1" s="1"/>
  <c r="E210" i="1"/>
  <c r="AH209" i="1"/>
  <c r="O213" i="1"/>
  <c r="Q213" i="1" s="1"/>
  <c r="U214" i="1" s="1"/>
  <c r="W214" i="1"/>
  <c r="Y214" i="1" s="1"/>
  <c r="M214" i="1"/>
  <c r="G210" i="1" l="1"/>
  <c r="AH210" i="1"/>
  <c r="E211" i="1"/>
  <c r="I210" i="1"/>
  <c r="O214" i="1"/>
  <c r="Q214" i="1" s="1"/>
  <c r="U215" i="1" s="1"/>
  <c r="W215" i="1"/>
  <c r="Y215" i="1" s="1"/>
  <c r="M215" i="1"/>
  <c r="G211" i="1" l="1"/>
  <c r="I211" i="1" s="1"/>
  <c r="AH211" i="1"/>
  <c r="E212" i="1"/>
  <c r="O215" i="1"/>
  <c r="Q215" i="1" s="1"/>
  <c r="U216" i="1" s="1"/>
  <c r="W216" i="1"/>
  <c r="Y216" i="1" s="1"/>
  <c r="M216" i="1"/>
  <c r="G212" i="1" l="1"/>
  <c r="E213" i="1"/>
  <c r="AH212" i="1"/>
  <c r="I212" i="1"/>
  <c r="O216" i="1"/>
  <c r="Q216" i="1" s="1"/>
  <c r="U217" i="1" s="1"/>
  <c r="W217" i="1"/>
  <c r="Y217" i="1" s="1"/>
  <c r="M217" i="1"/>
  <c r="G213" i="1" l="1"/>
  <c r="I213" i="1" s="1"/>
  <c r="E214" i="1"/>
  <c r="AH213" i="1"/>
  <c r="O217" i="1"/>
  <c r="Q217" i="1" s="1"/>
  <c r="U218" i="1" s="1"/>
  <c r="W218" i="1"/>
  <c r="Y218" i="1" s="1"/>
  <c r="M218" i="1"/>
  <c r="G214" i="1" l="1"/>
  <c r="AH214" i="1"/>
  <c r="E215" i="1"/>
  <c r="I214" i="1"/>
  <c r="O218" i="1"/>
  <c r="Q218" i="1" s="1"/>
  <c r="W219" i="1"/>
  <c r="Y219" i="1" s="1"/>
  <c r="T219" i="1"/>
  <c r="U219" i="1" s="1"/>
  <c r="M219" i="1"/>
  <c r="G215" i="1" l="1"/>
  <c r="I215" i="1" s="1"/>
  <c r="AH215" i="1"/>
  <c r="E216" i="1"/>
  <c r="O219" i="1"/>
  <c r="P219" i="1" s="1"/>
  <c r="Q219" i="1" s="1"/>
  <c r="W220" i="1"/>
  <c r="Y220" i="1" s="1"/>
  <c r="U220" i="1"/>
  <c r="M220" i="1"/>
  <c r="G216" i="1" l="1"/>
  <c r="I216" i="1" s="1"/>
  <c r="E217" i="1"/>
  <c r="AH216" i="1"/>
  <c r="O220" i="1"/>
  <c r="Q220" i="1" s="1"/>
  <c r="W221" i="1"/>
  <c r="Y221" i="1" s="1"/>
  <c r="U221" i="1"/>
  <c r="M221" i="1"/>
  <c r="G217" i="1" l="1"/>
  <c r="I217" i="1" s="1"/>
  <c r="E218" i="1"/>
  <c r="AH217" i="1"/>
  <c r="O221" i="1"/>
  <c r="Q221" i="1" s="1"/>
  <c r="W222" i="1"/>
  <c r="Y222" i="1" s="1"/>
  <c r="M222" i="1"/>
  <c r="U222" i="1"/>
  <c r="G218" i="1" l="1"/>
  <c r="I218" i="1" s="1"/>
  <c r="H219" i="1" s="1"/>
  <c r="AJ219" i="1" s="1"/>
  <c r="AL219" i="1" s="1"/>
  <c r="AM219" i="1" s="1"/>
  <c r="AH218" i="1"/>
  <c r="E219" i="1"/>
  <c r="O222" i="1"/>
  <c r="Q222" i="1" s="1"/>
  <c r="W223" i="1"/>
  <c r="Y223" i="1" s="1"/>
  <c r="U223" i="1"/>
  <c r="M223" i="1"/>
  <c r="E220" i="1" l="1"/>
  <c r="G219" i="1"/>
  <c r="I219" i="1" s="1"/>
  <c r="AH219" i="1"/>
  <c r="O223" i="1"/>
  <c r="Q223" i="1" s="1"/>
  <c r="W224" i="1"/>
  <c r="Y224" i="1" s="1"/>
  <c r="U224" i="1"/>
  <c r="M224" i="1"/>
  <c r="G220" i="1" l="1"/>
  <c r="I220" i="1" s="1"/>
  <c r="E221" i="1"/>
  <c r="AH220" i="1"/>
  <c r="O224" i="1"/>
  <c r="Q224" i="1" s="1"/>
  <c r="W225" i="1"/>
  <c r="Y225" i="1" s="1"/>
  <c r="M225" i="1"/>
  <c r="U225" i="1"/>
  <c r="G221" i="1" l="1"/>
  <c r="I221" i="1" s="1"/>
  <c r="E222" i="1"/>
  <c r="AH221" i="1"/>
  <c r="O225" i="1"/>
  <c r="Q225" i="1" s="1"/>
  <c r="W226" i="1"/>
  <c r="Y226" i="1" s="1"/>
  <c r="U226" i="1"/>
  <c r="M226" i="1"/>
  <c r="G222" i="1" l="1"/>
  <c r="I222" i="1" s="1"/>
  <c r="AH222" i="1"/>
  <c r="E223" i="1"/>
  <c r="O226" i="1"/>
  <c r="Q226" i="1" s="1"/>
  <c r="W227" i="1"/>
  <c r="Y227" i="1" s="1"/>
  <c r="U227" i="1"/>
  <c r="M227" i="1"/>
  <c r="G223" i="1" l="1"/>
  <c r="I223" i="1" s="1"/>
  <c r="E224" i="1"/>
  <c r="AH223" i="1"/>
  <c r="O227" i="1"/>
  <c r="Q227" i="1" s="1"/>
  <c r="U228" i="1" s="1"/>
  <c r="W228" i="1"/>
  <c r="Y228" i="1" s="1"/>
  <c r="M228" i="1"/>
  <c r="G224" i="1" l="1"/>
  <c r="I224" i="1" s="1"/>
  <c r="E225" i="1"/>
  <c r="AH224" i="1"/>
  <c r="O228" i="1"/>
  <c r="Q228" i="1" s="1"/>
  <c r="U229" i="1" s="1"/>
  <c r="W229" i="1"/>
  <c r="Y229" i="1" s="1"/>
  <c r="M229" i="1"/>
  <c r="G225" i="1" l="1"/>
  <c r="I225" i="1" s="1"/>
  <c r="E226" i="1"/>
  <c r="AH225" i="1"/>
  <c r="O229" i="1"/>
  <c r="Q229" i="1" s="1"/>
  <c r="U230" i="1" s="1"/>
  <c r="W230" i="1"/>
  <c r="Y230" i="1" s="1"/>
  <c r="M230" i="1"/>
  <c r="G226" i="1" l="1"/>
  <c r="I226" i="1" s="1"/>
  <c r="AH226" i="1"/>
  <c r="E227" i="1"/>
  <c r="O230" i="1"/>
  <c r="Q230" i="1" s="1"/>
  <c r="U231" i="1" s="1"/>
  <c r="W231" i="1"/>
  <c r="Y231" i="1" s="1"/>
  <c r="M231" i="1"/>
  <c r="G227" i="1" l="1"/>
  <c r="I227" i="1" s="1"/>
  <c r="AH227" i="1"/>
  <c r="E228" i="1"/>
  <c r="O231" i="1"/>
  <c r="Q231" i="1" s="1"/>
  <c r="U232" i="1" s="1"/>
  <c r="W232" i="1"/>
  <c r="Y232" i="1" s="1"/>
  <c r="M232" i="1"/>
  <c r="G228" i="1" l="1"/>
  <c r="I228" i="1" s="1"/>
  <c r="AH228" i="1"/>
  <c r="E229" i="1"/>
  <c r="O232" i="1"/>
  <c r="Q232" i="1" s="1"/>
  <c r="U233" i="1" s="1"/>
  <c r="W233" i="1"/>
  <c r="Y233" i="1" s="1"/>
  <c r="M233" i="1"/>
  <c r="G229" i="1" l="1"/>
  <c r="I229" i="1" s="1"/>
  <c r="AH229" i="1"/>
  <c r="E230" i="1"/>
  <c r="O233" i="1"/>
  <c r="Q233" i="1" s="1"/>
  <c r="U234" i="1" s="1"/>
  <c r="W234" i="1"/>
  <c r="Y234" i="1" s="1"/>
  <c r="M234" i="1"/>
  <c r="G230" i="1" l="1"/>
  <c r="I230" i="1" s="1"/>
  <c r="AH230" i="1"/>
  <c r="E231" i="1"/>
  <c r="O234" i="1"/>
  <c r="Q234" i="1" s="1"/>
  <c r="U235" i="1" s="1"/>
  <c r="W235" i="1"/>
  <c r="Y235" i="1" s="1"/>
  <c r="M235" i="1"/>
  <c r="G231" i="1" l="1"/>
  <c r="I231" i="1" s="1"/>
  <c r="AH231" i="1"/>
  <c r="E232" i="1"/>
  <c r="O235" i="1"/>
  <c r="Q235" i="1" s="1"/>
  <c r="U236" i="1" s="1"/>
  <c r="W236" i="1"/>
  <c r="Y236" i="1" s="1"/>
  <c r="M236" i="1"/>
  <c r="G232" i="1" l="1"/>
  <c r="I232" i="1" s="1"/>
  <c r="AH232" i="1"/>
  <c r="E233" i="1"/>
  <c r="O236" i="1"/>
  <c r="Q236" i="1" s="1"/>
  <c r="U237" i="1" s="1"/>
  <c r="W237" i="1"/>
  <c r="Y237" i="1" s="1"/>
  <c r="M237" i="1"/>
  <c r="G233" i="1" l="1"/>
  <c r="I233" i="1" s="1"/>
  <c r="E234" i="1"/>
  <c r="AH233" i="1"/>
  <c r="O237" i="1"/>
  <c r="Q237" i="1" s="1"/>
  <c r="U238" i="1" s="1"/>
  <c r="W238" i="1"/>
  <c r="Y238" i="1" s="1"/>
  <c r="M238" i="1"/>
  <c r="G234" i="1" l="1"/>
  <c r="I234" i="1" s="1"/>
  <c r="E235" i="1"/>
  <c r="AH234" i="1"/>
  <c r="O238" i="1"/>
  <c r="Q238" i="1" s="1"/>
  <c r="U239" i="1" s="1"/>
  <c r="W239" i="1"/>
  <c r="Y239" i="1" s="1"/>
  <c r="M239" i="1"/>
  <c r="G235" i="1" l="1"/>
  <c r="I235" i="1" s="1"/>
  <c r="AH235" i="1"/>
  <c r="E236" i="1"/>
  <c r="O239" i="1"/>
  <c r="Q239" i="1" s="1"/>
  <c r="U240" i="1" s="1"/>
  <c r="W240" i="1"/>
  <c r="Y240" i="1" s="1"/>
  <c r="M240" i="1"/>
  <c r="G236" i="1" l="1"/>
  <c r="I236" i="1" s="1"/>
  <c r="AH236" i="1"/>
  <c r="E237" i="1"/>
  <c r="O240" i="1"/>
  <c r="Q240" i="1" s="1"/>
  <c r="U241" i="1" s="1"/>
  <c r="W241" i="1"/>
  <c r="Y241" i="1" s="1"/>
  <c r="M241" i="1"/>
  <c r="G237" i="1" l="1"/>
  <c r="I237" i="1" s="1"/>
  <c r="AH237" i="1"/>
  <c r="E238" i="1"/>
  <c r="O241" i="1"/>
  <c r="Q241" i="1" s="1"/>
  <c r="U242" i="1" s="1"/>
  <c r="W242" i="1"/>
  <c r="Y242" i="1" s="1"/>
  <c r="M242" i="1"/>
  <c r="G238" i="1" l="1"/>
  <c r="I238" i="1" s="1"/>
  <c r="AH238" i="1"/>
  <c r="E239" i="1"/>
  <c r="O242" i="1"/>
  <c r="Q242" i="1" s="1"/>
  <c r="U243" i="1" s="1"/>
  <c r="W243" i="1"/>
  <c r="Y243" i="1" s="1"/>
  <c r="M243" i="1"/>
  <c r="G239" i="1" l="1"/>
  <c r="I239" i="1" s="1"/>
  <c r="AH239" i="1"/>
  <c r="E240" i="1"/>
  <c r="O243" i="1"/>
  <c r="Q243" i="1" s="1"/>
  <c r="U244" i="1" s="1"/>
  <c r="W244" i="1"/>
  <c r="Y244" i="1" s="1"/>
  <c r="M244" i="1"/>
  <c r="G240" i="1" l="1"/>
  <c r="E241" i="1"/>
  <c r="AH240" i="1"/>
  <c r="I240" i="1"/>
  <c r="O244" i="1"/>
  <c r="Q244" i="1" s="1"/>
  <c r="U245" i="1" s="1"/>
  <c r="W245" i="1"/>
  <c r="Y245" i="1" s="1"/>
  <c r="M245" i="1"/>
  <c r="G241" i="1" l="1"/>
  <c r="I241" i="1" s="1"/>
  <c r="E242" i="1"/>
  <c r="AH241" i="1"/>
  <c r="O245" i="1"/>
  <c r="Q245" i="1" s="1"/>
  <c r="U246" i="1" s="1"/>
  <c r="W246" i="1"/>
  <c r="Y246" i="1" s="1"/>
  <c r="M246" i="1"/>
  <c r="G242" i="1" l="1"/>
  <c r="I242" i="1" s="1"/>
  <c r="E243" i="1"/>
  <c r="AH242" i="1"/>
  <c r="O246" i="1"/>
  <c r="Q246" i="1" s="1"/>
  <c r="U247" i="1" s="1"/>
  <c r="W247" i="1"/>
  <c r="Y247" i="1" s="1"/>
  <c r="M247" i="1"/>
  <c r="G243" i="1" l="1"/>
  <c r="I243" i="1" s="1"/>
  <c r="AH243" i="1"/>
  <c r="E244" i="1"/>
  <c r="O247" i="1"/>
  <c r="Q247" i="1" s="1"/>
  <c r="U248" i="1" s="1"/>
  <c r="W248" i="1"/>
  <c r="Y248" i="1" s="1"/>
  <c r="M248" i="1"/>
  <c r="G244" i="1" l="1"/>
  <c r="I244" i="1" s="1"/>
  <c r="AH244" i="1"/>
  <c r="E245" i="1"/>
  <c r="O248" i="1"/>
  <c r="Q248" i="1" s="1"/>
  <c r="U249" i="1" s="1"/>
  <c r="W249" i="1"/>
  <c r="Y249" i="1" s="1"/>
  <c r="M249" i="1"/>
  <c r="G245" i="1" l="1"/>
  <c r="I245" i="1" s="1"/>
  <c r="E246" i="1"/>
  <c r="AH245" i="1"/>
  <c r="O249" i="1"/>
  <c r="Q249" i="1" s="1"/>
  <c r="T250" i="1" s="1"/>
  <c r="U250" i="1" s="1"/>
  <c r="W250" i="1"/>
  <c r="Y250" i="1" s="1"/>
  <c r="M250" i="1"/>
  <c r="U251" i="1"/>
  <c r="G246" i="1" l="1"/>
  <c r="E247" i="1"/>
  <c r="AH246" i="1"/>
  <c r="I246" i="1"/>
  <c r="O250" i="1"/>
  <c r="P250" i="1" s="1"/>
  <c r="Q250" i="1" s="1"/>
  <c r="W251" i="1"/>
  <c r="Y251" i="1" s="1"/>
  <c r="M251" i="1"/>
  <c r="G247" i="1" l="1"/>
  <c r="I247" i="1" s="1"/>
  <c r="AH247" i="1"/>
  <c r="E248" i="1"/>
  <c r="O251" i="1"/>
  <c r="Q251" i="1" s="1"/>
  <c r="U252" i="1" s="1"/>
  <c r="W252" i="1"/>
  <c r="Y252" i="1" s="1"/>
  <c r="M252" i="1"/>
  <c r="G248" i="1" l="1"/>
  <c r="I248" i="1" s="1"/>
  <c r="AH248" i="1"/>
  <c r="E249" i="1"/>
  <c r="O252" i="1"/>
  <c r="Q252" i="1" s="1"/>
  <c r="U253" i="1" s="1"/>
  <c r="W253" i="1"/>
  <c r="Y253" i="1" s="1"/>
  <c r="M253" i="1"/>
  <c r="G249" i="1" l="1"/>
  <c r="I249" i="1" s="1"/>
  <c r="H250" i="1" s="1"/>
  <c r="AJ250" i="1" s="1"/>
  <c r="AL250" i="1" s="1"/>
  <c r="AM250" i="1" s="1"/>
  <c r="AH249" i="1"/>
  <c r="E250" i="1"/>
  <c r="O253" i="1"/>
  <c r="Q253" i="1" s="1"/>
  <c r="U254" i="1" s="1"/>
  <c r="W254" i="1"/>
  <c r="Y254" i="1" s="1"/>
  <c r="M254" i="1"/>
  <c r="G250" i="1" l="1"/>
  <c r="I250" i="1" s="1"/>
  <c r="E251" i="1"/>
  <c r="AH250" i="1"/>
  <c r="O254" i="1"/>
  <c r="Q254" i="1" s="1"/>
  <c r="U255" i="1" s="1"/>
  <c r="W255" i="1"/>
  <c r="Y255" i="1" s="1"/>
  <c r="M255" i="1"/>
  <c r="G251" i="1" l="1"/>
  <c r="E252" i="1"/>
  <c r="AH251" i="1"/>
  <c r="I251" i="1"/>
  <c r="O255" i="1"/>
  <c r="Q255" i="1" s="1"/>
  <c r="U256" i="1" s="1"/>
  <c r="W256" i="1"/>
  <c r="Y256" i="1" s="1"/>
  <c r="M256" i="1"/>
  <c r="G252" i="1" l="1"/>
  <c r="AH252" i="1"/>
  <c r="E253" i="1"/>
  <c r="I252" i="1"/>
  <c r="O256" i="1"/>
  <c r="Q256" i="1" s="1"/>
  <c r="U257" i="1" s="1"/>
  <c r="W257" i="1"/>
  <c r="Y257" i="1" s="1"/>
  <c r="M257" i="1"/>
  <c r="G253" i="1" l="1"/>
  <c r="I253" i="1" s="1"/>
  <c r="E254" i="1"/>
  <c r="AH253" i="1"/>
  <c r="O257" i="1"/>
  <c r="Q257" i="1" s="1"/>
  <c r="U258" i="1" s="1"/>
  <c r="W258" i="1"/>
  <c r="Y258" i="1" s="1"/>
  <c r="M258" i="1"/>
  <c r="G254" i="1" l="1"/>
  <c r="I254" i="1" s="1"/>
  <c r="AH254" i="1"/>
  <c r="E255" i="1"/>
  <c r="O258" i="1"/>
  <c r="Q258" i="1" s="1"/>
  <c r="U259" i="1" s="1"/>
  <c r="W259" i="1"/>
  <c r="Y259" i="1" s="1"/>
  <c r="M259" i="1"/>
  <c r="G255" i="1" l="1"/>
  <c r="E256" i="1"/>
  <c r="AH255" i="1"/>
  <c r="I255" i="1"/>
  <c r="O259" i="1"/>
  <c r="Q259" i="1" s="1"/>
  <c r="U260" i="1" s="1"/>
  <c r="W260" i="1"/>
  <c r="Y260" i="1" s="1"/>
  <c r="M260" i="1"/>
  <c r="G256" i="1" l="1"/>
  <c r="I256" i="1" s="1"/>
  <c r="AH256" i="1"/>
  <c r="E257" i="1"/>
  <c r="O260" i="1"/>
  <c r="Q260" i="1" s="1"/>
  <c r="U261" i="1" s="1"/>
  <c r="W261" i="1"/>
  <c r="Y261" i="1" s="1"/>
  <c r="M261" i="1"/>
  <c r="G257" i="1" l="1"/>
  <c r="I257" i="1" s="1"/>
  <c r="AH257" i="1"/>
  <c r="E258" i="1"/>
  <c r="O261" i="1"/>
  <c r="Q261" i="1" s="1"/>
  <c r="U262" i="1" s="1"/>
  <c r="W262" i="1"/>
  <c r="Y262" i="1" s="1"/>
  <c r="M262" i="1"/>
  <c r="G258" i="1" l="1"/>
  <c r="I258" i="1" s="1"/>
  <c r="E259" i="1"/>
  <c r="AH258" i="1"/>
  <c r="O262" i="1"/>
  <c r="Q262" i="1" s="1"/>
  <c r="U263" i="1" s="1"/>
  <c r="W263" i="1"/>
  <c r="Y263" i="1" s="1"/>
  <c r="M263" i="1"/>
  <c r="G259" i="1" l="1"/>
  <c r="I259" i="1" s="1"/>
  <c r="AH259" i="1"/>
  <c r="E260" i="1"/>
  <c r="O263" i="1"/>
  <c r="Q263" i="1" s="1"/>
  <c r="U264" i="1" s="1"/>
  <c r="W264" i="1"/>
  <c r="Y264" i="1" s="1"/>
  <c r="M264" i="1"/>
  <c r="G260" i="1" l="1"/>
  <c r="I260" i="1" s="1"/>
  <c r="AH260" i="1"/>
  <c r="E261" i="1"/>
  <c r="O264" i="1"/>
  <c r="Q264" i="1" s="1"/>
  <c r="U265" i="1" s="1"/>
  <c r="W265" i="1"/>
  <c r="Y265" i="1" s="1"/>
  <c r="M265" i="1"/>
  <c r="G261" i="1" l="1"/>
  <c r="I261" i="1" s="1"/>
  <c r="AH261" i="1"/>
  <c r="E262" i="1"/>
  <c r="O265" i="1"/>
  <c r="Q265" i="1" s="1"/>
  <c r="U266" i="1" s="1"/>
  <c r="W266" i="1"/>
  <c r="Y266" i="1" s="1"/>
  <c r="M266" i="1"/>
  <c r="G262" i="1" l="1"/>
  <c r="E263" i="1"/>
  <c r="AH262" i="1"/>
  <c r="I262" i="1"/>
  <c r="O266" i="1"/>
  <c r="Q266" i="1" s="1"/>
  <c r="U267" i="1" s="1"/>
  <c r="W267" i="1"/>
  <c r="Y267" i="1" s="1"/>
  <c r="M267" i="1"/>
  <c r="G263" i="1" l="1"/>
  <c r="I263" i="1" s="1"/>
  <c r="E264" i="1"/>
  <c r="AH263" i="1"/>
  <c r="O267" i="1"/>
  <c r="Q267" i="1" s="1"/>
  <c r="U268" i="1" s="1"/>
  <c r="W268" i="1"/>
  <c r="Y268" i="1" s="1"/>
  <c r="M268" i="1"/>
  <c r="G264" i="1" l="1"/>
  <c r="I264" i="1" s="1"/>
  <c r="AH264" i="1"/>
  <c r="E265" i="1"/>
  <c r="O268" i="1"/>
  <c r="Q268" i="1" s="1"/>
  <c r="U269" i="1" s="1"/>
  <c r="W269" i="1"/>
  <c r="Y269" i="1" s="1"/>
  <c r="M269" i="1"/>
  <c r="G265" i="1" l="1"/>
  <c r="I265" i="1" s="1"/>
  <c r="AH265" i="1"/>
  <c r="E266" i="1"/>
  <c r="O269" i="1"/>
  <c r="Q269" i="1" s="1"/>
  <c r="U270" i="1" s="1"/>
  <c r="W270" i="1"/>
  <c r="Y270" i="1" s="1"/>
  <c r="M270" i="1"/>
  <c r="G266" i="1" l="1"/>
  <c r="AH266" i="1"/>
  <c r="E267" i="1"/>
  <c r="I266" i="1"/>
  <c r="O270" i="1"/>
  <c r="Q270" i="1" s="1"/>
  <c r="U271" i="1" s="1"/>
  <c r="W271" i="1"/>
  <c r="Y271" i="1" s="1"/>
  <c r="M271" i="1"/>
  <c r="G267" i="1" l="1"/>
  <c r="I267" i="1" s="1"/>
  <c r="AH267" i="1"/>
  <c r="E268" i="1"/>
  <c r="O271" i="1"/>
  <c r="Q271" i="1" s="1"/>
  <c r="U272" i="1" s="1"/>
  <c r="W272" i="1"/>
  <c r="Y272" i="1" s="1"/>
  <c r="M272" i="1"/>
  <c r="G268" i="1" l="1"/>
  <c r="AH268" i="1"/>
  <c r="E269" i="1"/>
  <c r="I268" i="1"/>
  <c r="O272" i="1"/>
  <c r="Q272" i="1" s="1"/>
  <c r="U273" i="1" s="1"/>
  <c r="W273" i="1"/>
  <c r="Y273" i="1" s="1"/>
  <c r="M273" i="1"/>
  <c r="G269" i="1" l="1"/>
  <c r="I269" i="1" s="1"/>
  <c r="AH269" i="1"/>
  <c r="E270" i="1"/>
  <c r="O273" i="1"/>
  <c r="Q273" i="1" s="1"/>
  <c r="U274" i="1" s="1"/>
  <c r="W274" i="1"/>
  <c r="Y274" i="1" s="1"/>
  <c r="M274" i="1"/>
  <c r="G270" i="1" l="1"/>
  <c r="I270" i="1" s="1"/>
  <c r="E271" i="1"/>
  <c r="AH270" i="1"/>
  <c r="O274" i="1"/>
  <c r="Q274" i="1" s="1"/>
  <c r="U275" i="1" s="1"/>
  <c r="W275" i="1"/>
  <c r="Y275" i="1" s="1"/>
  <c r="M275" i="1"/>
  <c r="G271" i="1" l="1"/>
  <c r="I271" i="1" s="1"/>
  <c r="AH271" i="1"/>
  <c r="E272" i="1"/>
  <c r="O275" i="1"/>
  <c r="Q275" i="1" s="1"/>
  <c r="U276" i="1" s="1"/>
  <c r="W276" i="1"/>
  <c r="Y276" i="1" s="1"/>
  <c r="M276" i="1"/>
  <c r="G272" i="1" l="1"/>
  <c r="AH272" i="1"/>
  <c r="E273" i="1"/>
  <c r="I272" i="1"/>
  <c r="O276" i="1"/>
  <c r="Q276" i="1" s="1"/>
  <c r="U277" i="1" s="1"/>
  <c r="W277" i="1"/>
  <c r="Y277" i="1" s="1"/>
  <c r="M277" i="1"/>
  <c r="G273" i="1" l="1"/>
  <c r="I273" i="1" s="1"/>
  <c r="AH273" i="1"/>
  <c r="E274" i="1"/>
  <c r="O277" i="1"/>
  <c r="Q277" i="1" s="1"/>
  <c r="U278" i="1" s="1"/>
  <c r="W278" i="1"/>
  <c r="Y278" i="1" s="1"/>
  <c r="M278" i="1"/>
  <c r="G274" i="1" l="1"/>
  <c r="I274" i="1" s="1"/>
  <c r="E275" i="1"/>
  <c r="AH274" i="1"/>
  <c r="O278" i="1"/>
  <c r="Q278" i="1" s="1"/>
  <c r="U279" i="1" s="1"/>
  <c r="W279" i="1"/>
  <c r="Y279" i="1" s="1"/>
  <c r="M279" i="1"/>
  <c r="G275" i="1" l="1"/>
  <c r="AH275" i="1"/>
  <c r="E276" i="1"/>
  <c r="I275" i="1"/>
  <c r="O279" i="1"/>
  <c r="Q279" i="1" s="1"/>
  <c r="T280" i="1" s="1"/>
  <c r="U280" i="1" s="1"/>
  <c r="W280" i="1"/>
  <c r="Y280" i="1" s="1"/>
  <c r="M280" i="1"/>
  <c r="G276" i="1" l="1"/>
  <c r="I276" i="1" s="1"/>
  <c r="AH276" i="1"/>
  <c r="E277" i="1"/>
  <c r="O280" i="1"/>
  <c r="P280" i="1" s="1"/>
  <c r="Q280" i="1" s="1"/>
  <c r="U281" i="1" s="1"/>
  <c r="W281" i="1"/>
  <c r="Y281" i="1" s="1"/>
  <c r="M281" i="1"/>
  <c r="G277" i="1" l="1"/>
  <c r="I277" i="1" s="1"/>
  <c r="AH277" i="1"/>
  <c r="E278" i="1"/>
  <c r="O281" i="1"/>
  <c r="Q281" i="1" s="1"/>
  <c r="U282" i="1" s="1"/>
  <c r="W282" i="1"/>
  <c r="Y282" i="1" s="1"/>
  <c r="M282" i="1"/>
  <c r="G278" i="1" l="1"/>
  <c r="I278" i="1" s="1"/>
  <c r="E279" i="1"/>
  <c r="AH278" i="1"/>
  <c r="O282" i="1"/>
  <c r="Q282" i="1" s="1"/>
  <c r="U283" i="1" s="1"/>
  <c r="W283" i="1"/>
  <c r="Y283" i="1" s="1"/>
  <c r="M283" i="1"/>
  <c r="G279" i="1" l="1"/>
  <c r="E280" i="1"/>
  <c r="AH279" i="1"/>
  <c r="I279" i="1"/>
  <c r="H280" i="1" s="1"/>
  <c r="AJ280" i="1" s="1"/>
  <c r="AL280" i="1" s="1"/>
  <c r="AM280" i="1" s="1"/>
  <c r="O283" i="1"/>
  <c r="Q283" i="1" s="1"/>
  <c r="U284" i="1" s="1"/>
  <c r="W284" i="1"/>
  <c r="Y284" i="1" s="1"/>
  <c r="M284" i="1"/>
  <c r="G280" i="1" l="1"/>
  <c r="I280" i="1" s="1"/>
  <c r="AH280" i="1"/>
  <c r="E281" i="1"/>
  <c r="O284" i="1"/>
  <c r="Q284" i="1" s="1"/>
  <c r="U285" i="1" s="1"/>
  <c r="W285" i="1"/>
  <c r="Y285" i="1" s="1"/>
  <c r="M285" i="1"/>
  <c r="G281" i="1" l="1"/>
  <c r="AH281" i="1"/>
  <c r="E282" i="1"/>
  <c r="I281" i="1"/>
  <c r="O285" i="1"/>
  <c r="Q285" i="1" s="1"/>
  <c r="U286" i="1" s="1"/>
  <c r="W286" i="1"/>
  <c r="Y286" i="1" s="1"/>
  <c r="M286" i="1"/>
  <c r="G282" i="1" l="1"/>
  <c r="I282" i="1" s="1"/>
  <c r="E283" i="1"/>
  <c r="AH282" i="1"/>
  <c r="O286" i="1"/>
  <c r="Q286" i="1" s="1"/>
  <c r="U287" i="1" s="1"/>
  <c r="W287" i="1"/>
  <c r="Y287" i="1" s="1"/>
  <c r="M287" i="1"/>
  <c r="G283" i="1" l="1"/>
  <c r="I283" i="1" s="1"/>
  <c r="AH283" i="1"/>
  <c r="E284" i="1"/>
  <c r="O287" i="1"/>
  <c r="Q287" i="1" s="1"/>
  <c r="U288" i="1" s="1"/>
  <c r="W288" i="1"/>
  <c r="Y288" i="1" s="1"/>
  <c r="M288" i="1"/>
  <c r="G284" i="1" l="1"/>
  <c r="I284" i="1" s="1"/>
  <c r="AH284" i="1"/>
  <c r="E285" i="1"/>
  <c r="O288" i="1"/>
  <c r="Q288" i="1" s="1"/>
  <c r="U289" i="1" s="1"/>
  <c r="W289" i="1"/>
  <c r="Y289" i="1" s="1"/>
  <c r="M289" i="1"/>
  <c r="G285" i="1" l="1"/>
  <c r="I285" i="1" s="1"/>
  <c r="E286" i="1"/>
  <c r="AH285" i="1"/>
  <c r="O289" i="1"/>
  <c r="Q289" i="1" s="1"/>
  <c r="U290" i="1" s="1"/>
  <c r="W290" i="1"/>
  <c r="Y290" i="1" s="1"/>
  <c r="M290" i="1"/>
  <c r="G286" i="1" l="1"/>
  <c r="I286" i="1" s="1"/>
  <c r="AH286" i="1"/>
  <c r="E287" i="1"/>
  <c r="O290" i="1"/>
  <c r="Q290" i="1" s="1"/>
  <c r="U291" i="1" s="1"/>
  <c r="W291" i="1"/>
  <c r="Y291" i="1" s="1"/>
  <c r="M291" i="1"/>
  <c r="G287" i="1" l="1"/>
  <c r="I287" i="1" s="1"/>
  <c r="AH287" i="1"/>
  <c r="E288" i="1"/>
  <c r="O291" i="1"/>
  <c r="Q291" i="1" s="1"/>
  <c r="U292" i="1" s="1"/>
  <c r="W292" i="1"/>
  <c r="Y292" i="1" s="1"/>
  <c r="M292" i="1"/>
  <c r="G288" i="1" l="1"/>
  <c r="I288" i="1" s="1"/>
  <c r="E289" i="1"/>
  <c r="AH288" i="1"/>
  <c r="O292" i="1"/>
  <c r="Q292" i="1" s="1"/>
  <c r="U293" i="1" s="1"/>
  <c r="W293" i="1"/>
  <c r="Y293" i="1" s="1"/>
  <c r="M293" i="1"/>
  <c r="G289" i="1" l="1"/>
  <c r="I289" i="1" s="1"/>
  <c r="E290" i="1"/>
  <c r="AH289" i="1"/>
  <c r="O293" i="1"/>
  <c r="Q293" i="1" s="1"/>
  <c r="U294" i="1" s="1"/>
  <c r="W294" i="1"/>
  <c r="Y294" i="1" s="1"/>
  <c r="M294" i="1"/>
  <c r="G290" i="1" l="1"/>
  <c r="I290" i="1" s="1"/>
  <c r="AH290" i="1"/>
  <c r="E291" i="1"/>
  <c r="O294" i="1"/>
  <c r="Q294" i="1" s="1"/>
  <c r="U295" i="1" s="1"/>
  <c r="W295" i="1"/>
  <c r="Y295" i="1" s="1"/>
  <c r="M295" i="1"/>
  <c r="G291" i="1" l="1"/>
  <c r="I291" i="1" s="1"/>
  <c r="E292" i="1"/>
  <c r="AH291" i="1"/>
  <c r="O295" i="1"/>
  <c r="Q295" i="1" s="1"/>
  <c r="U296" i="1" s="1"/>
  <c r="W296" i="1"/>
  <c r="Y296" i="1" s="1"/>
  <c r="M296" i="1"/>
  <c r="G292" i="1" l="1"/>
  <c r="I292" i="1" s="1"/>
  <c r="E293" i="1"/>
  <c r="AH292" i="1"/>
  <c r="O296" i="1"/>
  <c r="Q296" i="1" s="1"/>
  <c r="U297" i="1" s="1"/>
  <c r="W297" i="1"/>
  <c r="Y297" i="1" s="1"/>
  <c r="M297" i="1"/>
  <c r="G293" i="1" l="1"/>
  <c r="I293" i="1" s="1"/>
  <c r="AH293" i="1"/>
  <c r="E294" i="1"/>
  <c r="O297" i="1"/>
  <c r="Q297" i="1" s="1"/>
  <c r="U298" i="1" s="1"/>
  <c r="W298" i="1"/>
  <c r="Y298" i="1" s="1"/>
  <c r="M298" i="1"/>
  <c r="G294" i="1" l="1"/>
  <c r="I294" i="1" s="1"/>
  <c r="AH294" i="1"/>
  <c r="E295" i="1"/>
  <c r="O298" i="1"/>
  <c r="Q298" i="1" s="1"/>
  <c r="U299" i="1" s="1"/>
  <c r="W299" i="1"/>
  <c r="Y299" i="1" s="1"/>
  <c r="M299" i="1"/>
  <c r="G295" i="1" l="1"/>
  <c r="I295" i="1" s="1"/>
  <c r="AH295" i="1"/>
  <c r="E296" i="1"/>
  <c r="O299" i="1"/>
  <c r="Q299" i="1" s="1"/>
  <c r="U300" i="1" s="1"/>
  <c r="W300" i="1"/>
  <c r="Y300" i="1" s="1"/>
  <c r="M300" i="1"/>
  <c r="G296" i="1" l="1"/>
  <c r="I296" i="1" s="1"/>
  <c r="AH296" i="1"/>
  <c r="E297" i="1"/>
  <c r="O300" i="1"/>
  <c r="Q300" i="1" s="1"/>
  <c r="U301" i="1" s="1"/>
  <c r="W301" i="1"/>
  <c r="Y301" i="1" s="1"/>
  <c r="M301" i="1"/>
  <c r="G297" i="1" l="1"/>
  <c r="I297" i="1" s="1"/>
  <c r="AH297" i="1"/>
  <c r="E298" i="1"/>
  <c r="O301" i="1"/>
  <c r="Q301" i="1" s="1"/>
  <c r="U302" i="1" s="1"/>
  <c r="W302" i="1"/>
  <c r="Y302" i="1" s="1"/>
  <c r="M302" i="1"/>
  <c r="G298" i="1" l="1"/>
  <c r="I298" i="1" s="1"/>
  <c r="E299" i="1"/>
  <c r="AH298" i="1"/>
  <c r="O302" i="1"/>
  <c r="Q302" i="1" s="1"/>
  <c r="U303" i="1" s="1"/>
  <c r="W303" i="1"/>
  <c r="Y303" i="1" s="1"/>
  <c r="M303" i="1"/>
  <c r="G299" i="1" l="1"/>
  <c r="E300" i="1"/>
  <c r="AH299" i="1"/>
  <c r="I299" i="1"/>
  <c r="O303" i="1"/>
  <c r="Q303" i="1" s="1"/>
  <c r="U304" i="1" s="1"/>
  <c r="W304" i="1"/>
  <c r="Y304" i="1" s="1"/>
  <c r="M304" i="1"/>
  <c r="G300" i="1" l="1"/>
  <c r="I300" i="1" s="1"/>
  <c r="AH300" i="1"/>
  <c r="E301" i="1"/>
  <c r="O304" i="1"/>
  <c r="Q304" i="1" s="1"/>
  <c r="U305" i="1" s="1"/>
  <c r="W305" i="1"/>
  <c r="Y305" i="1" s="1"/>
  <c r="M305" i="1"/>
  <c r="G301" i="1" l="1"/>
  <c r="I301" i="1" s="1"/>
  <c r="AH301" i="1"/>
  <c r="E302" i="1"/>
  <c r="O305" i="1"/>
  <c r="Q305" i="1" s="1"/>
  <c r="U306" i="1" s="1"/>
  <c r="W306" i="1"/>
  <c r="Y306" i="1" s="1"/>
  <c r="M306" i="1"/>
  <c r="G302" i="1" l="1"/>
  <c r="I302" i="1" s="1"/>
  <c r="E303" i="1"/>
  <c r="AH302" i="1"/>
  <c r="O306" i="1"/>
  <c r="Q306" i="1" s="1"/>
  <c r="U307" i="1" s="1"/>
  <c r="W307" i="1"/>
  <c r="Y307" i="1" s="1"/>
  <c r="M307" i="1"/>
  <c r="G303" i="1" l="1"/>
  <c r="I303" i="1" s="1"/>
  <c r="E304" i="1"/>
  <c r="AH303" i="1"/>
  <c r="O307" i="1"/>
  <c r="Q307" i="1" s="1"/>
  <c r="U308" i="1" s="1"/>
  <c r="W308" i="1"/>
  <c r="Y308" i="1" s="1"/>
  <c r="M308" i="1"/>
  <c r="G304" i="1" l="1"/>
  <c r="I304" i="1" s="1"/>
  <c r="AH304" i="1"/>
  <c r="E305" i="1"/>
  <c r="O308" i="1"/>
  <c r="Q308" i="1" s="1"/>
  <c r="U309" i="1" s="1"/>
  <c r="W309" i="1"/>
  <c r="Y309" i="1" s="1"/>
  <c r="M309" i="1"/>
  <c r="G305" i="1" l="1"/>
  <c r="I305" i="1" s="1"/>
  <c r="AH305" i="1"/>
  <c r="E306" i="1"/>
  <c r="O309" i="1"/>
  <c r="Q309" i="1" s="1"/>
  <c r="U310" i="1" s="1"/>
  <c r="W310" i="1"/>
  <c r="Y310" i="1" s="1"/>
  <c r="M310" i="1"/>
  <c r="G306" i="1" l="1"/>
  <c r="I306" i="1" s="1"/>
  <c r="AH306" i="1"/>
  <c r="E307" i="1"/>
  <c r="O310" i="1"/>
  <c r="Q310" i="1" s="1"/>
  <c r="T311" i="1" s="1"/>
  <c r="U311" i="1" s="1"/>
  <c r="W311" i="1"/>
  <c r="Y311" i="1" s="1"/>
  <c r="M311" i="1"/>
  <c r="G307" i="1" l="1"/>
  <c r="I307" i="1" s="1"/>
  <c r="AH307" i="1"/>
  <c r="E308" i="1"/>
  <c r="O311" i="1"/>
  <c r="P311" i="1" s="1"/>
  <c r="Q311" i="1" s="1"/>
  <c r="W312" i="1"/>
  <c r="Y312" i="1" s="1"/>
  <c r="U312" i="1"/>
  <c r="M312" i="1"/>
  <c r="G308" i="1" l="1"/>
  <c r="I308" i="1" s="1"/>
  <c r="AH308" i="1"/>
  <c r="E309" i="1"/>
  <c r="O312" i="1"/>
  <c r="Q312" i="1" s="1"/>
  <c r="W313" i="1"/>
  <c r="Y313" i="1" s="1"/>
  <c r="U313" i="1"/>
  <c r="M313" i="1"/>
  <c r="G309" i="1" l="1"/>
  <c r="I309" i="1" s="1"/>
  <c r="E310" i="1"/>
  <c r="AH309" i="1"/>
  <c r="O313" i="1"/>
  <c r="Q313" i="1" s="1"/>
  <c r="W314" i="1"/>
  <c r="Y314" i="1" s="1"/>
  <c r="M314" i="1"/>
  <c r="U314" i="1"/>
  <c r="G310" i="1" l="1"/>
  <c r="AH310" i="1"/>
  <c r="E311" i="1"/>
  <c r="I310" i="1"/>
  <c r="H311" i="1" s="1"/>
  <c r="AJ311" i="1" s="1"/>
  <c r="AL311" i="1" s="1"/>
  <c r="AM311" i="1" s="1"/>
  <c r="O314" i="1"/>
  <c r="Q314" i="1" s="1"/>
  <c r="W315" i="1"/>
  <c r="Y315" i="1" s="1"/>
  <c r="U315" i="1"/>
  <c r="M315" i="1"/>
  <c r="G311" i="1" l="1"/>
  <c r="I311" i="1" s="1"/>
  <c r="AH311" i="1"/>
  <c r="E312" i="1"/>
  <c r="O315" i="1"/>
  <c r="Q315" i="1" s="1"/>
  <c r="U316" i="1" s="1"/>
  <c r="W316" i="1"/>
  <c r="Y316" i="1" s="1"/>
  <c r="M316" i="1"/>
  <c r="G312" i="1" l="1"/>
  <c r="E313" i="1"/>
  <c r="AH312" i="1"/>
  <c r="I312" i="1"/>
  <c r="O316" i="1"/>
  <c r="Q316" i="1" s="1"/>
  <c r="U317" i="1" s="1"/>
  <c r="W317" i="1"/>
  <c r="Y317" i="1" s="1"/>
  <c r="M317" i="1"/>
  <c r="G313" i="1" l="1"/>
  <c r="I313" i="1" s="1"/>
  <c r="AH313" i="1"/>
  <c r="E314" i="1"/>
  <c r="O317" i="1"/>
  <c r="Q317" i="1" s="1"/>
  <c r="U318" i="1" s="1"/>
  <c r="W318" i="1"/>
  <c r="Y318" i="1" s="1"/>
  <c r="M318" i="1"/>
  <c r="G314" i="1" l="1"/>
  <c r="I314" i="1" s="1"/>
  <c r="AH314" i="1"/>
  <c r="E315" i="1"/>
  <c r="O318" i="1"/>
  <c r="Q318" i="1" s="1"/>
  <c r="U319" i="1" s="1"/>
  <c r="W319" i="1"/>
  <c r="Y319" i="1" s="1"/>
  <c r="M319" i="1"/>
  <c r="G315" i="1" l="1"/>
  <c r="I315" i="1" s="1"/>
  <c r="E316" i="1"/>
  <c r="AH315" i="1"/>
  <c r="O319" i="1"/>
  <c r="Q319" i="1" s="1"/>
  <c r="U320" i="1" s="1"/>
  <c r="W320" i="1"/>
  <c r="Y320" i="1" s="1"/>
  <c r="M320" i="1"/>
  <c r="G316" i="1" l="1"/>
  <c r="I316" i="1" s="1"/>
  <c r="AH316" i="1"/>
  <c r="E317" i="1"/>
  <c r="O320" i="1"/>
  <c r="Q320" i="1" s="1"/>
  <c r="U321" i="1" s="1"/>
  <c r="W321" i="1"/>
  <c r="Y321" i="1" s="1"/>
  <c r="M321" i="1"/>
  <c r="G317" i="1" l="1"/>
  <c r="I317" i="1" s="1"/>
  <c r="E318" i="1"/>
  <c r="AH317" i="1"/>
  <c r="O321" i="1"/>
  <c r="Q321" i="1" s="1"/>
  <c r="U322" i="1" s="1"/>
  <c r="W322" i="1"/>
  <c r="Y322" i="1" s="1"/>
  <c r="M322" i="1"/>
  <c r="G318" i="1" l="1"/>
  <c r="I318" i="1" s="1"/>
  <c r="E319" i="1"/>
  <c r="AH318" i="1"/>
  <c r="O322" i="1"/>
  <c r="Q322" i="1" s="1"/>
  <c r="U323" i="1" s="1"/>
  <c r="W323" i="1"/>
  <c r="Y323" i="1" s="1"/>
  <c r="M323" i="1"/>
  <c r="G319" i="1" l="1"/>
  <c r="I319" i="1" s="1"/>
  <c r="E320" i="1"/>
  <c r="AH319" i="1"/>
  <c r="O323" i="1"/>
  <c r="Q323" i="1" s="1"/>
  <c r="U324" i="1" s="1"/>
  <c r="W324" i="1"/>
  <c r="Y324" i="1" s="1"/>
  <c r="M324" i="1"/>
  <c r="G320" i="1" l="1"/>
  <c r="I320" i="1" s="1"/>
  <c r="AH320" i="1"/>
  <c r="E321" i="1"/>
  <c r="O324" i="1"/>
  <c r="Q324" i="1" s="1"/>
  <c r="U325" i="1" s="1"/>
  <c r="W325" i="1"/>
  <c r="Y325" i="1" s="1"/>
  <c r="M325" i="1"/>
  <c r="G321" i="1" l="1"/>
  <c r="I321" i="1" s="1"/>
  <c r="AH321" i="1"/>
  <c r="E322" i="1"/>
  <c r="O325" i="1"/>
  <c r="Q325" i="1" s="1"/>
  <c r="U326" i="1" s="1"/>
  <c r="W326" i="1"/>
  <c r="Y326" i="1" s="1"/>
  <c r="M326" i="1"/>
  <c r="G322" i="1" l="1"/>
  <c r="I322" i="1" s="1"/>
  <c r="AH322" i="1"/>
  <c r="E323" i="1"/>
  <c r="O326" i="1"/>
  <c r="Q326" i="1" s="1"/>
  <c r="U327" i="1" s="1"/>
  <c r="W327" i="1"/>
  <c r="Y327" i="1" s="1"/>
  <c r="M327" i="1"/>
  <c r="G323" i="1" l="1"/>
  <c r="AH323" i="1"/>
  <c r="E324" i="1"/>
  <c r="I323" i="1"/>
  <c r="O327" i="1"/>
  <c r="Q327" i="1" s="1"/>
  <c r="U328" i="1" s="1"/>
  <c r="W328" i="1"/>
  <c r="Y328" i="1" s="1"/>
  <c r="M328" i="1"/>
  <c r="G324" i="1" l="1"/>
  <c r="I324" i="1" s="1"/>
  <c r="E325" i="1"/>
  <c r="AH324" i="1"/>
  <c r="O328" i="1"/>
  <c r="Q328" i="1" s="1"/>
  <c r="U329" i="1" s="1"/>
  <c r="W329" i="1"/>
  <c r="Y329" i="1" s="1"/>
  <c r="M329" i="1"/>
  <c r="G325" i="1" l="1"/>
  <c r="E326" i="1"/>
  <c r="AH325" i="1"/>
  <c r="I325" i="1"/>
  <c r="O329" i="1"/>
  <c r="Q329" i="1" s="1"/>
  <c r="U330" i="1" s="1"/>
  <c r="W330" i="1"/>
  <c r="Y330" i="1" s="1"/>
  <c r="M330" i="1"/>
  <c r="G326" i="1" l="1"/>
  <c r="I326" i="1" s="1"/>
  <c r="AH326" i="1"/>
  <c r="E327" i="1"/>
  <c r="O330" i="1"/>
  <c r="Q330" i="1" s="1"/>
  <c r="U331" i="1" s="1"/>
  <c r="W331" i="1"/>
  <c r="Y331" i="1" s="1"/>
  <c r="M331" i="1"/>
  <c r="G327" i="1" l="1"/>
  <c r="I327" i="1" s="1"/>
  <c r="AH327" i="1"/>
  <c r="E328" i="1"/>
  <c r="O331" i="1"/>
  <c r="Q331" i="1" s="1"/>
  <c r="U332" i="1" s="1"/>
  <c r="W332" i="1"/>
  <c r="Y332" i="1" s="1"/>
  <c r="M332" i="1"/>
  <c r="G328" i="1" l="1"/>
  <c r="I328" i="1" s="1"/>
  <c r="AH328" i="1"/>
  <c r="E329" i="1"/>
  <c r="O332" i="1"/>
  <c r="Q332" i="1" s="1"/>
  <c r="U333" i="1" s="1"/>
  <c r="W333" i="1"/>
  <c r="Y333" i="1" s="1"/>
  <c r="M333" i="1"/>
  <c r="G329" i="1" l="1"/>
  <c r="AH329" i="1"/>
  <c r="E330" i="1"/>
  <c r="I329" i="1"/>
  <c r="O333" i="1"/>
  <c r="Q333" i="1" s="1"/>
  <c r="U334" i="1" s="1"/>
  <c r="W334" i="1"/>
  <c r="Y334" i="1" s="1"/>
  <c r="M334" i="1"/>
  <c r="G330" i="1" l="1"/>
  <c r="I330" i="1" s="1"/>
  <c r="AH330" i="1"/>
  <c r="E331" i="1"/>
  <c r="O334" i="1"/>
  <c r="Q334" i="1" s="1"/>
  <c r="U335" i="1" s="1"/>
  <c r="W335" i="1"/>
  <c r="Y335" i="1" s="1"/>
  <c r="M335" i="1"/>
  <c r="G331" i="1" l="1"/>
  <c r="I331" i="1" s="1"/>
  <c r="E332" i="1"/>
  <c r="AH331" i="1"/>
  <c r="O335" i="1"/>
  <c r="Q335" i="1" s="1"/>
  <c r="U336" i="1" s="1"/>
  <c r="W336" i="1"/>
  <c r="Y336" i="1" s="1"/>
  <c r="M336" i="1"/>
  <c r="G332" i="1" l="1"/>
  <c r="I332" i="1" s="1"/>
  <c r="E333" i="1"/>
  <c r="AH332" i="1"/>
  <c r="O336" i="1"/>
  <c r="Q336" i="1" s="1"/>
  <c r="U337" i="1" s="1"/>
  <c r="W337" i="1"/>
  <c r="Y337" i="1" s="1"/>
  <c r="M337" i="1"/>
  <c r="G333" i="1" l="1"/>
  <c r="AH333" i="1"/>
  <c r="E334" i="1"/>
  <c r="I333" i="1"/>
  <c r="O337" i="1"/>
  <c r="Q337" i="1" s="1"/>
  <c r="U338" i="1" s="1"/>
  <c r="W338" i="1"/>
  <c r="Y338" i="1" s="1"/>
  <c r="M338" i="1"/>
  <c r="G334" i="1" l="1"/>
  <c r="I334" i="1" s="1"/>
  <c r="E335" i="1"/>
  <c r="AH334" i="1"/>
  <c r="O338" i="1"/>
  <c r="Q338" i="1" s="1"/>
  <c r="U339" i="1" s="1"/>
  <c r="W339" i="1"/>
  <c r="Y339" i="1" s="1"/>
  <c r="M339" i="1"/>
  <c r="G335" i="1" l="1"/>
  <c r="E336" i="1"/>
  <c r="AH335" i="1"/>
  <c r="I335" i="1"/>
  <c r="O339" i="1"/>
  <c r="Q339" i="1" s="1"/>
  <c r="U340" i="1" s="1"/>
  <c r="W340" i="1"/>
  <c r="Y340" i="1" s="1"/>
  <c r="M340" i="1"/>
  <c r="G336" i="1" l="1"/>
  <c r="I336" i="1" s="1"/>
  <c r="E337" i="1"/>
  <c r="AH336" i="1"/>
  <c r="O340" i="1"/>
  <c r="Q340" i="1" s="1"/>
  <c r="T341" i="1" s="1"/>
  <c r="U341" i="1" s="1"/>
  <c r="W341" i="1"/>
  <c r="Y341" i="1" s="1"/>
  <c r="M341" i="1"/>
  <c r="G337" i="1" l="1"/>
  <c r="AH337" i="1"/>
  <c r="E338" i="1"/>
  <c r="I337" i="1"/>
  <c r="O341" i="1"/>
  <c r="P341" i="1" s="1"/>
  <c r="Q341" i="1" s="1"/>
  <c r="U342" i="1" s="1"/>
  <c r="W342" i="1"/>
  <c r="Y342" i="1" s="1"/>
  <c r="M342" i="1"/>
  <c r="G338" i="1" l="1"/>
  <c r="I338" i="1" s="1"/>
  <c r="E339" i="1"/>
  <c r="AH338" i="1"/>
  <c r="O342" i="1"/>
  <c r="Q342" i="1" s="1"/>
  <c r="U343" i="1" s="1"/>
  <c r="W343" i="1"/>
  <c r="Y343" i="1" s="1"/>
  <c r="M343" i="1"/>
  <c r="G339" i="1" l="1"/>
  <c r="I339" i="1" s="1"/>
  <c r="AH339" i="1"/>
  <c r="E340" i="1"/>
  <c r="O343" i="1"/>
  <c r="Q343" i="1" s="1"/>
  <c r="U344" i="1" s="1"/>
  <c r="W344" i="1"/>
  <c r="Y344" i="1" s="1"/>
  <c r="M344" i="1"/>
  <c r="G340" i="1" l="1"/>
  <c r="I340" i="1" s="1"/>
  <c r="H341" i="1" s="1"/>
  <c r="AJ341" i="1" s="1"/>
  <c r="AL341" i="1" s="1"/>
  <c r="AM341" i="1" s="1"/>
  <c r="E341" i="1"/>
  <c r="AH340" i="1"/>
  <c r="O344" i="1"/>
  <c r="Q344" i="1" s="1"/>
  <c r="U345" i="1" s="1"/>
  <c r="W345" i="1"/>
  <c r="Y345" i="1" s="1"/>
  <c r="M345" i="1"/>
  <c r="G341" i="1" l="1"/>
  <c r="I341" i="1" s="1"/>
  <c r="AH341" i="1"/>
  <c r="E342" i="1"/>
  <c r="O345" i="1"/>
  <c r="Q345" i="1" s="1"/>
  <c r="U346" i="1" s="1"/>
  <c r="W346" i="1"/>
  <c r="Y346" i="1" s="1"/>
  <c r="M346" i="1"/>
  <c r="G342" i="1" l="1"/>
  <c r="AH342" i="1"/>
  <c r="E343" i="1"/>
  <c r="I342" i="1"/>
  <c r="O346" i="1"/>
  <c r="Q346" i="1" s="1"/>
  <c r="U347" i="1" s="1"/>
  <c r="W347" i="1"/>
  <c r="Y347" i="1" s="1"/>
  <c r="M347" i="1"/>
  <c r="G343" i="1" l="1"/>
  <c r="I343" i="1" s="1"/>
  <c r="E344" i="1"/>
  <c r="AH343" i="1"/>
  <c r="O347" i="1"/>
  <c r="Q347" i="1" s="1"/>
  <c r="U348" i="1" s="1"/>
  <c r="W348" i="1"/>
  <c r="Y348" i="1" s="1"/>
  <c r="M348" i="1"/>
  <c r="G344" i="1" l="1"/>
  <c r="I344" i="1" s="1"/>
  <c r="AH344" i="1"/>
  <c r="E345" i="1"/>
  <c r="O348" i="1"/>
  <c r="Q348" i="1" s="1"/>
  <c r="U349" i="1" s="1"/>
  <c r="W349" i="1"/>
  <c r="Y349" i="1" s="1"/>
  <c r="M349" i="1"/>
  <c r="G345" i="1" l="1"/>
  <c r="I345" i="1" s="1"/>
  <c r="AH345" i="1"/>
  <c r="E346" i="1"/>
  <c r="O349" i="1"/>
  <c r="Q349" i="1" s="1"/>
  <c r="U350" i="1" s="1"/>
  <c r="W350" i="1"/>
  <c r="Y350" i="1" s="1"/>
  <c r="M350" i="1"/>
  <c r="G346" i="1" l="1"/>
  <c r="I346" i="1" s="1"/>
  <c r="AH346" i="1"/>
  <c r="E347" i="1"/>
  <c r="O350" i="1"/>
  <c r="Q350" i="1" s="1"/>
  <c r="U351" i="1" s="1"/>
  <c r="W351" i="1"/>
  <c r="Y351" i="1" s="1"/>
  <c r="M351" i="1"/>
  <c r="G347" i="1" l="1"/>
  <c r="I347" i="1" s="1"/>
  <c r="AH347" i="1"/>
  <c r="E348" i="1"/>
  <c r="O351" i="1"/>
  <c r="Q351" i="1" s="1"/>
  <c r="U352" i="1" s="1"/>
  <c r="W352" i="1"/>
  <c r="Y352" i="1" s="1"/>
  <c r="M352" i="1"/>
  <c r="G348" i="1" l="1"/>
  <c r="I348" i="1" s="1"/>
  <c r="AH348" i="1"/>
  <c r="E349" i="1"/>
  <c r="O352" i="1"/>
  <c r="Q352" i="1" s="1"/>
  <c r="U353" i="1" s="1"/>
  <c r="W353" i="1"/>
  <c r="Y353" i="1" s="1"/>
  <c r="M353" i="1"/>
  <c r="G349" i="1" l="1"/>
  <c r="I349" i="1" s="1"/>
  <c r="AH349" i="1"/>
  <c r="E350" i="1"/>
  <c r="O353" i="1"/>
  <c r="Q353" i="1" s="1"/>
  <c r="U354" i="1" s="1"/>
  <c r="W354" i="1"/>
  <c r="Y354" i="1" s="1"/>
  <c r="M354" i="1"/>
  <c r="G350" i="1" l="1"/>
  <c r="I350" i="1" s="1"/>
  <c r="AH350" i="1"/>
  <c r="E351" i="1"/>
  <c r="O354" i="1"/>
  <c r="Q354" i="1" s="1"/>
  <c r="U355" i="1" s="1"/>
  <c r="W355" i="1"/>
  <c r="Y355" i="1" s="1"/>
  <c r="M355" i="1"/>
  <c r="G351" i="1" l="1"/>
  <c r="I351" i="1" s="1"/>
  <c r="E352" i="1"/>
  <c r="AH351" i="1"/>
  <c r="O355" i="1"/>
  <c r="Q355" i="1" s="1"/>
  <c r="U356" i="1" s="1"/>
  <c r="W356" i="1"/>
  <c r="Y356" i="1" s="1"/>
  <c r="M356" i="1"/>
  <c r="G352" i="1" l="1"/>
  <c r="I352" i="1" s="1"/>
  <c r="E353" i="1"/>
  <c r="AH352" i="1"/>
  <c r="O356" i="1"/>
  <c r="Q356" i="1" s="1"/>
  <c r="U357" i="1" s="1"/>
  <c r="W357" i="1"/>
  <c r="Y357" i="1" s="1"/>
  <c r="M357" i="1"/>
  <c r="G353" i="1" l="1"/>
  <c r="I353" i="1" s="1"/>
  <c r="E354" i="1"/>
  <c r="AH353" i="1"/>
  <c r="O357" i="1"/>
  <c r="Q357" i="1" s="1"/>
  <c r="U358" i="1" s="1"/>
  <c r="W358" i="1"/>
  <c r="Y358" i="1" s="1"/>
  <c r="M358" i="1"/>
  <c r="G354" i="1" l="1"/>
  <c r="I354" i="1" s="1"/>
  <c r="AH354" i="1"/>
  <c r="E355" i="1"/>
  <c r="O358" i="1"/>
  <c r="Q358" i="1" s="1"/>
  <c r="U359" i="1" s="1"/>
  <c r="W359" i="1"/>
  <c r="Y359" i="1" s="1"/>
  <c r="M359" i="1"/>
  <c r="G355" i="1" l="1"/>
  <c r="I355" i="1" s="1"/>
  <c r="E356" i="1"/>
  <c r="AH355" i="1"/>
  <c r="O359" i="1"/>
  <c r="Q359" i="1" s="1"/>
  <c r="U360" i="1" s="1"/>
  <c r="W360" i="1"/>
  <c r="Y360" i="1" s="1"/>
  <c r="M360" i="1"/>
  <c r="G356" i="1" l="1"/>
  <c r="I356" i="1" s="1"/>
  <c r="E357" i="1"/>
  <c r="AH356" i="1"/>
  <c r="O360" i="1"/>
  <c r="Q360" i="1" s="1"/>
  <c r="U361" i="1" s="1"/>
  <c r="W361" i="1"/>
  <c r="Y361" i="1" s="1"/>
  <c r="M361" i="1"/>
  <c r="G357" i="1" l="1"/>
  <c r="I357" i="1" s="1"/>
  <c r="AH357" i="1"/>
  <c r="E358" i="1"/>
  <c r="O361" i="1"/>
  <c r="Q361" i="1" s="1"/>
  <c r="U362" i="1" s="1"/>
  <c r="W362" i="1"/>
  <c r="Y362" i="1" s="1"/>
  <c r="M362" i="1"/>
  <c r="G358" i="1" l="1"/>
  <c r="AH358" i="1"/>
  <c r="E359" i="1"/>
  <c r="I358" i="1"/>
  <c r="O362" i="1"/>
  <c r="Q362" i="1" s="1"/>
  <c r="U363" i="1" s="1"/>
  <c r="W363" i="1"/>
  <c r="Y363" i="1" s="1"/>
  <c r="M363" i="1"/>
  <c r="G359" i="1" l="1"/>
  <c r="I359" i="1" s="1"/>
  <c r="E360" i="1"/>
  <c r="AH359" i="1"/>
  <c r="O363" i="1"/>
  <c r="Q363" i="1" s="1"/>
  <c r="U364" i="1" s="1"/>
  <c r="W364" i="1"/>
  <c r="Y364" i="1" s="1"/>
  <c r="M364" i="1"/>
  <c r="G360" i="1" l="1"/>
  <c r="I360" i="1" s="1"/>
  <c r="AH360" i="1"/>
  <c r="E361" i="1"/>
  <c r="O364" i="1"/>
  <c r="Q364" i="1" s="1"/>
  <c r="U365" i="1" s="1"/>
  <c r="W365" i="1"/>
  <c r="Y365" i="1" s="1"/>
  <c r="M365" i="1"/>
  <c r="G361" i="1" l="1"/>
  <c r="I361" i="1" s="1"/>
  <c r="E362" i="1"/>
  <c r="AH361" i="1"/>
  <c r="O365" i="1"/>
  <c r="Q365" i="1" s="1"/>
  <c r="U366" i="1" s="1"/>
  <c r="W366" i="1"/>
  <c r="Y366" i="1" s="1"/>
  <c r="M366" i="1"/>
  <c r="G362" i="1" l="1"/>
  <c r="I362" i="1" s="1"/>
  <c r="AH362" i="1"/>
  <c r="E363" i="1"/>
  <c r="O366" i="1"/>
  <c r="Q366" i="1" s="1"/>
  <c r="U367" i="1" s="1"/>
  <c r="W367" i="1"/>
  <c r="Y367" i="1" s="1"/>
  <c r="M367" i="1"/>
  <c r="G363" i="1" l="1"/>
  <c r="I363" i="1" s="1"/>
  <c r="E364" i="1"/>
  <c r="AH363" i="1"/>
  <c r="O367" i="1"/>
  <c r="Q367" i="1" s="1"/>
  <c r="U368" i="1" s="1"/>
  <c r="W368" i="1"/>
  <c r="Y368" i="1" s="1"/>
  <c r="M368" i="1"/>
  <c r="G364" i="1" l="1"/>
  <c r="I364" i="1" s="1"/>
  <c r="E365" i="1"/>
  <c r="AH364" i="1"/>
  <c r="O368" i="1"/>
  <c r="Q368" i="1" s="1"/>
  <c r="U369" i="1" s="1"/>
  <c r="W369" i="1"/>
  <c r="Y369" i="1" s="1"/>
  <c r="M369" i="1"/>
  <c r="G365" i="1" l="1"/>
  <c r="I365" i="1" s="1"/>
  <c r="E366" i="1"/>
  <c r="AH365" i="1"/>
  <c r="O369" i="1"/>
  <c r="Q369" i="1" s="1"/>
  <c r="U370" i="1" s="1"/>
  <c r="W370" i="1"/>
  <c r="Y370" i="1" s="1"/>
  <c r="M370" i="1"/>
  <c r="G366" i="1" l="1"/>
  <c r="I366" i="1" s="1"/>
  <c r="AH366" i="1"/>
  <c r="E367" i="1"/>
  <c r="O370" i="1"/>
  <c r="Q370" i="1" s="1"/>
  <c r="U371" i="1" s="1"/>
  <c r="W371" i="1"/>
  <c r="Y371" i="1" s="1"/>
  <c r="M371" i="1"/>
  <c r="G367" i="1" l="1"/>
  <c r="I367" i="1" s="1"/>
  <c r="AH367" i="1"/>
  <c r="E368" i="1"/>
  <c r="O371" i="1"/>
  <c r="Q371" i="1" s="1"/>
  <c r="S374" i="1" s="1"/>
  <c r="W372" i="1"/>
  <c r="W374" i="1" s="1"/>
  <c r="M372" i="1"/>
  <c r="O372" i="1" s="1"/>
  <c r="T372" i="1"/>
  <c r="G368" i="1" l="1"/>
  <c r="I368" i="1" s="1"/>
  <c r="AH368" i="1"/>
  <c r="E369" i="1"/>
  <c r="Y372" i="1"/>
  <c r="T374" i="1"/>
  <c r="U372" i="1"/>
  <c r="O374" i="1"/>
  <c r="P372" i="1"/>
  <c r="G369" i="1" l="1"/>
  <c r="I369" i="1" s="1"/>
  <c r="E370" i="1"/>
  <c r="AH369" i="1"/>
  <c r="P374" i="1"/>
  <c r="Q372" i="1"/>
  <c r="G370" i="1" l="1"/>
  <c r="AH370" i="1"/>
  <c r="E371" i="1"/>
  <c r="G371" i="1" l="1"/>
  <c r="AH371" i="1"/>
  <c r="E372" i="1"/>
  <c r="I370" i="1"/>
  <c r="G372" i="1" l="1"/>
  <c r="G374" i="1" s="1"/>
  <c r="AH372" i="1"/>
  <c r="I371" i="1"/>
  <c r="H372" i="1" l="1"/>
  <c r="I372" i="1"/>
  <c r="AJ372" i="1" l="1"/>
  <c r="H374" i="1"/>
  <c r="AL372" i="1" l="1"/>
  <c r="AM372" i="1" s="1"/>
  <c r="AM374" i="1" s="1"/>
  <c r="AJ374" i="1"/>
  <c r="AK37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Valeriu Iasan</author>
  </authors>
  <commentList>
    <comment ref="G8" authorId="0" shapeId="0" xr:uid="{78E26C44-495A-4186-85F4-30D170695E6A}">
      <text>
        <r>
          <rPr>
            <b/>
            <sz val="9"/>
            <color indexed="81"/>
            <rFont val="Tahoma"/>
            <charset val="1"/>
          </rPr>
          <t>User:</t>
        </r>
        <r>
          <rPr>
            <sz val="9"/>
            <color indexed="81"/>
            <rFont val="Tahoma"/>
            <charset val="1"/>
          </rPr>
          <t xml:space="preserve">
</t>
        </r>
        <r>
          <rPr>
            <sz val="12"/>
            <color indexed="81"/>
            <rFont val="Calibri"/>
            <family val="2"/>
            <scheme val="minor"/>
          </rPr>
          <t>Din momentul remiterii efective a sumei către debitor, împrumutul produce efecte juridice depline, iar suma acordată devine purtătoare de dobândă. În acest sens, sunt aplicabile dispozițiile:
art. 1244 alin. (5) Cod civil, potrivit cărora „suma de bani împrumutată este purtătoare de dobândă din ziua în care a fost remisă împrumutatului”.
Totodată, în scopul determinării primei zile purtătoare de dobândă este incident și art. 385 alin. (2) Cod civil, în sensul includerii zilei de început în calculul termenului, atunci când curgerea începe de la începutul zilei „dacă începutul curgerii termenului se determină prin începutul unei zile, această zi se include în termen”.</t>
        </r>
      </text>
    </comment>
    <comment ref="W97" authorId="0" shapeId="0" xr:uid="{5872D01E-FA1E-4DA2-A64B-FD5CF5433CFB}">
      <text>
        <r>
          <rPr>
            <b/>
            <sz val="12"/>
            <color indexed="81"/>
            <rFont val="Calibri"/>
            <family val="2"/>
            <scheme val="minor"/>
          </rPr>
          <t>User:</t>
        </r>
        <r>
          <rPr>
            <sz val="12"/>
            <color indexed="81"/>
            <rFont val="Calibri"/>
            <family val="2"/>
            <scheme val="minor"/>
          </rPr>
          <t xml:space="preserve">
art. 942 alin. (1) Cod civil: „în cazul în care o sumă de bani nu este plătită la scadență, creditorul are dreptul la dobândă de întârziere pentru suma respectivă din data imediat următoare scadenței plății până la data în care s-a efectuat plata, la rata prevăzută la alin. (2) ori la o altă rată prevăzută de dispozițiile legale speciale”, conform căruia întârzierea începe din ziua imediat următoare scadenței.</t>
        </r>
      </text>
    </comment>
    <comment ref="X101" authorId="0" shapeId="0" xr:uid="{372185D1-DE2F-4033-A087-B6C44A9E717B}">
      <text>
        <r>
          <rPr>
            <b/>
            <sz val="12"/>
            <color indexed="81"/>
            <rFont val="Calibri"/>
            <family val="2"/>
            <scheme val="minor"/>
          </rPr>
          <t>User:</t>
        </r>
        <r>
          <rPr>
            <sz val="12"/>
            <color indexed="81"/>
            <rFont val="Calibri"/>
            <family val="2"/>
            <scheme val="minor"/>
          </rPr>
          <t xml:space="preserve">
Dacă scadența este 9 martie
Atunci: pe 09.03 NU se include (încă nu e întârziere)
10.03  începe întârzierea (ziua 1)
11.03  ziua 2
12.03  ziua 3
13.03  ziua 4
14.03  ziua 5 (ziua plății  se include, penalitatea s-a calculat la soldul din ziua precedentă)</t>
        </r>
      </text>
    </comment>
    <comment ref="AB101" authorId="1" shapeId="0" xr:uid="{836FDBC7-F30D-4ECF-AD86-E5FEE4BAEA18}">
      <text>
        <r>
          <rPr>
            <b/>
            <sz val="12"/>
            <color indexed="81"/>
            <rFont val="Calibri"/>
            <family val="2"/>
            <charset val="204"/>
            <scheme val="minor"/>
          </rPr>
          <t>Valeriu Iasan:</t>
        </r>
        <r>
          <rPr>
            <sz val="12"/>
            <color indexed="81"/>
            <rFont val="Calibri"/>
            <family val="2"/>
            <charset val="204"/>
            <scheme val="minor"/>
          </rPr>
          <t xml:space="preserve">
Comisionul de administrare aferent perioadei ulterioare datei de 09.03.2026 (inclusiv intervalul 10.03.2026–14.03.2026), precum și obligațiile aferente ratelor viitoare nu sunt exigibile la data plății întârziate și nu pot fi solicitate anticipat, urmând a fi achitate conform graficului contractual la termenele stabilite.</t>
        </r>
      </text>
    </comment>
  </commentList>
</comments>
</file>

<file path=xl/sharedStrings.xml><?xml version="1.0" encoding="utf-8"?>
<sst xmlns="http://schemas.openxmlformats.org/spreadsheetml/2006/main" count="149" uniqueCount="64">
  <si>
    <t>Simulare</t>
  </si>
  <si>
    <t>Rate variabile lunare – plata lunară, care include o parte fixă din credit, dobândă și comisioanele aferente creditului, suma totală plătită lunar nu este constantăși nu necesită ajustarea ultimei plăți</t>
  </si>
  <si>
    <t>Zile</t>
  </si>
  <si>
    <t>Dt</t>
  </si>
  <si>
    <t>Ct</t>
  </si>
  <si>
    <t>Sold</t>
  </si>
  <si>
    <t>Graficul plăților contractuale: </t>
  </si>
  <si>
    <t>dobanda</t>
  </si>
  <si>
    <t>comision</t>
  </si>
  <si>
    <t>Nr. plății</t>
  </si>
  <si>
    <t>Data</t>
  </si>
  <si>
    <t>Soldul creditului</t>
  </si>
  <si>
    <t>Credit spre rambursare</t>
  </si>
  <si>
    <t>Dobânda spre plată</t>
  </si>
  <si>
    <t>Comision spre plată</t>
  </si>
  <si>
    <t>Total plăți contractuale</t>
  </si>
  <si>
    <t>x</t>
  </si>
  <si>
    <t>Nu sunt necesare ajustări</t>
  </si>
  <si>
    <t>Total comision + dobanda</t>
  </si>
  <si>
    <t>Date inițiale ale simulării:</t>
  </si>
  <si>
    <t>Produs:</t>
  </si>
  <si>
    <t>Suma creditului:</t>
  </si>
  <si>
    <t>lei</t>
  </si>
  <si>
    <t>Data acordării:</t>
  </si>
  <si>
    <t>Perioada:</t>
  </si>
  <si>
    <t>Modul de rambursare</t>
  </si>
  <si>
    <t xml:space="preserve">Tipul dobânzii </t>
  </si>
  <si>
    <t>Dobânda este fixă pe întreaga durată a creditului</t>
  </si>
  <si>
    <t>Rata dobânzii:</t>
  </si>
  <si>
    <t>anual</t>
  </si>
  <si>
    <t xml:space="preserve">Formula de calcul a dobânzii </t>
  </si>
  <si>
    <t>Modul de plată a dobânzii</t>
  </si>
  <si>
    <t>Formula de calcul a comisionului de administrare</t>
  </si>
  <si>
    <t>Modul de plată a comisionului de administrare</t>
  </si>
  <si>
    <t>penalitate</t>
  </si>
  <si>
    <t>Credit de consum, clasic cu sold descrescător</t>
  </si>
  <si>
    <t>an</t>
  </si>
  <si>
    <t>plata lunară, care include o parte fixă din credit, dobândă și comisioanele aferente creditului, suma totală plătită lunar nu este constantă și nu necesită ajustarea ultimei plăți</t>
  </si>
  <si>
    <t>Rate variabile lunare</t>
  </si>
  <si>
    <t>Fixă</t>
  </si>
  <si>
    <t>Comisionul de administrare se plătește lunar, concomitent cu achitarea plăților contractuale</t>
  </si>
  <si>
    <t xml:space="preserve">Valoarea totală a creditului x rata comisionului % x Numărul de zile/ 365 zile (sau 366 zile în an bisect). Data începerii calculării comisionului este data eliberării creditului sau data a primei trageri a creditului, daca se acordă în tranșe.
</t>
  </si>
  <si>
    <t>Comisionul se calculează la valoarea totală a creditului în baza contractului de credit, zilnic, începând cu data acordării acestuia și până la data rambursării integrale a creditului.</t>
  </si>
  <si>
    <t>Penalități</t>
  </si>
  <si>
    <t>Dobânda se plătește conform prevederilor contractuale, lunar, concomitent cu achitarea plăților contractuale.</t>
  </si>
  <si>
    <t>credit, principal</t>
  </si>
  <si>
    <t>ATENȚIE: În cazul înregistrării la restanță a creditului, dobânda se calculează și la soldul restant până la data rambursării integrale a creditului.</t>
  </si>
  <si>
    <t>Dobânda se calculează la soldul creditului zilnic, începând cu data acordării acestuia și până la data rambursării integrale a creditului. Drept bază de calcul se stabilește anul calendaristic cu 365 sau 366 de zile în an bisect, Art. 1244 alin. (5) și alin. (6) din Codul civil</t>
  </si>
  <si>
    <t>Formula de calcul a penalității</t>
  </si>
  <si>
    <t>Modul de plată a penalității</t>
  </si>
  <si>
    <t>În cazul neexecutării sau executării necorespunzătoare a obligațiilor de plată, în termenul și mărimea prevăzute în Graficul de plăți, Debitorul va achita Creditorului o penalitate de întârziere în mărime de 0,5% pe zi din suma restantă a creditului, pentru fiecare zi de întârziere.</t>
  </si>
  <si>
    <r>
      <t>Tratamentul zilei scadenței:</t>
    </r>
    <r>
      <rPr>
        <sz val="12"/>
        <color theme="1"/>
        <rFont val="Calibri"/>
        <family val="2"/>
        <scheme val="minor"/>
      </rPr>
      <t xml:space="preserve"> Ziua scadenței reprezintă ultima zi în care obligația poate fi executată fără a genera întârziere.  art. 942 alin. (1) Cod civil – dobânda de întârziere curge „din data imediat următoare scadenței”</t>
    </r>
  </si>
  <si>
    <t>credit, principal, restant</t>
  </si>
  <si>
    <t>dobanda, principal, restant</t>
  </si>
  <si>
    <t>Data scadentei:</t>
  </si>
  <si>
    <t>Penalitatea de întârziere pentru suma respectivă din data imediat următoare scadenței plății până la data în care s-a efectuat plata, la rata prevăzută în contract. Codul Civil , Articolul 942. Dobânda de întârziere în executarea obligațiilor pecuniare, alin. (1) și alin. (4)</t>
  </si>
  <si>
    <t xml:space="preserve">Penalitate = Suma restantă (Sr) x rata penalității zilnice (r), 0,5% x numărul de zile de întârziere (n). Data începerii calculării penalității este data imediat următoare scadenței plății până la data în care s-a efectuat plata, la rata prevăzută de contract.
</t>
  </si>
  <si>
    <r>
      <t xml:space="preserve">Important: ziua scadenței nu se include în calcul; calculul începe din ziua imediat următoare scadenței; </t>
    </r>
    <r>
      <rPr>
        <sz val="12"/>
        <color rgb="FFFF0000"/>
        <rFont val="Calibri"/>
        <family val="2"/>
        <scheme val="minor"/>
      </rPr>
      <t>ziua plății se include în calcul.</t>
    </r>
    <r>
      <rPr>
        <sz val="12"/>
        <color theme="1"/>
        <rFont val="Calibri"/>
        <family val="2"/>
        <scheme val="minor"/>
      </rPr>
      <t xml:space="preserve"> Data de început: ziua imediat următoare scadenței (D+1)</t>
    </r>
  </si>
  <si>
    <t>dobanda restantă</t>
  </si>
  <si>
    <t>Data plății Scadență – data la care obligația de plată devine exigibilă</t>
  </si>
  <si>
    <t>Pentru ziua scadenței: obligația nu este considerată restantă, se calculează dobânda conform contractului; nu se calculează dobândă de întârziere.</t>
  </si>
  <si>
    <t>Comision de administrare, anual</t>
  </si>
  <si>
    <r>
      <t xml:space="preserve">Pentru administrarea și monitorizarea creditului, Debitorul se obligă să achite Debitorului un comision de administrare (Codul Civil, Articolul 1765. Comisionul) în cuantum de </t>
    </r>
    <r>
      <rPr>
        <sz val="12"/>
        <color rgb="FFFF0000"/>
        <rFont val="Times New Roman"/>
        <family val="1"/>
      </rPr>
      <t>XXX</t>
    </r>
    <r>
      <rPr>
        <sz val="12"/>
        <color theme="1"/>
        <rFont val="Times New Roman"/>
        <family val="1"/>
      </rPr>
      <t xml:space="preserve"> % anual din </t>
    </r>
    <r>
      <rPr>
        <sz val="12"/>
        <color rgb="FFFF0000"/>
        <rFont val="Times New Roman"/>
        <family val="1"/>
      </rPr>
      <t>valoarea totală a creditului, care se calculează după formula</t>
    </r>
  </si>
  <si>
    <t xml:space="preserve">Penalitatea se plătește odată cu aparițiea ei, sau lunar, concomitent cu achitarea plăților contractuale,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</si>
</sst>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31" x14ac:knownFonts="1">
    <font>
      <sz val="11"/>
      <color theme="1"/>
      <name val="Calibri"/>
      <family val="2"/>
      <charset val="238"/>
      <scheme val="minor"/>
    </font>
    <font>
      <sz val="11"/>
      <color theme="1"/>
      <name val="Calibri"/>
      <family val="2"/>
      <charset val="238"/>
      <scheme val="minor"/>
    </font>
    <font>
      <sz val="11"/>
      <color theme="0"/>
      <name val="Calibri"/>
      <family val="2"/>
      <charset val="238"/>
      <scheme val="minor"/>
    </font>
    <font>
      <b/>
      <sz val="12"/>
      <color theme="1"/>
      <name val="Calibri"/>
      <family val="2"/>
      <charset val="204"/>
      <scheme val="minor"/>
    </font>
    <font>
      <sz val="12"/>
      <color theme="1"/>
      <name val="Calibri"/>
      <family val="2"/>
      <scheme val="minor"/>
    </font>
    <font>
      <b/>
      <i/>
      <u/>
      <sz val="12"/>
      <color rgb="FFFF0000"/>
      <name val="Calibri"/>
      <family val="2"/>
      <scheme val="minor"/>
    </font>
    <font>
      <b/>
      <sz val="12"/>
      <color theme="1"/>
      <name val="Calibri"/>
      <family val="2"/>
      <scheme val="minor"/>
    </font>
    <font>
      <sz val="12"/>
      <color theme="1"/>
      <name val="Calibri"/>
      <family val="2"/>
      <charset val="204"/>
      <scheme val="minor"/>
    </font>
    <font>
      <b/>
      <sz val="12"/>
      <color rgb="FF000000"/>
      <name val="Calibri"/>
      <family val="2"/>
      <charset val="204"/>
      <scheme val="minor"/>
    </font>
    <font>
      <sz val="12"/>
      <color theme="0"/>
      <name val="Calibri"/>
      <family val="2"/>
      <scheme val="minor"/>
    </font>
    <font>
      <b/>
      <sz val="12"/>
      <color theme="0"/>
      <name val="Calibri"/>
      <family val="2"/>
      <scheme val="minor"/>
    </font>
    <font>
      <sz val="12"/>
      <name val="Calibri"/>
      <family val="2"/>
      <scheme val="minor"/>
    </font>
    <font>
      <b/>
      <i/>
      <u/>
      <sz val="12"/>
      <name val="Calibri"/>
      <family val="2"/>
      <scheme val="minor"/>
    </font>
    <font>
      <b/>
      <i/>
      <u/>
      <sz val="12"/>
      <color theme="1"/>
      <name val="Calibri"/>
      <family val="2"/>
      <scheme val="minor"/>
    </font>
    <font>
      <b/>
      <u val="singleAccounting"/>
      <sz val="12"/>
      <color theme="1"/>
      <name val="Calibri"/>
      <family val="2"/>
      <scheme val="minor"/>
    </font>
    <font>
      <b/>
      <sz val="12"/>
      <color rgb="FFFF0000"/>
      <name val="Calibri"/>
      <family val="2"/>
      <scheme val="minor"/>
    </font>
    <font>
      <sz val="12"/>
      <color rgb="FF000000"/>
      <name val="Calibri"/>
      <family val="2"/>
      <scheme val="minor"/>
    </font>
    <font>
      <sz val="12"/>
      <color rgb="FFFF0000"/>
      <name val="Calibri"/>
      <family val="2"/>
      <scheme val="minor"/>
    </font>
    <font>
      <sz val="12"/>
      <color theme="1"/>
      <name val="Times New Roman"/>
      <family val="1"/>
    </font>
    <font>
      <b/>
      <sz val="12"/>
      <color theme="1"/>
      <name val="Calibri"/>
      <family val="2"/>
      <charset val="238"/>
      <scheme val="minor"/>
    </font>
    <font>
      <sz val="12"/>
      <color rgb="FFFF0000"/>
      <name val="Times New Roman"/>
      <family val="1"/>
    </font>
    <font>
      <sz val="10"/>
      <color theme="1"/>
      <name val="Calibri"/>
      <family val="2"/>
      <scheme val="minor"/>
    </font>
    <font>
      <b/>
      <sz val="10"/>
      <color theme="1"/>
      <name val="Calibri"/>
      <family val="2"/>
      <scheme val="minor"/>
    </font>
    <font>
      <sz val="10"/>
      <color rgb="FF000000"/>
      <name val="Calibri"/>
      <family val="2"/>
      <scheme val="minor"/>
    </font>
    <font>
      <sz val="9"/>
      <color indexed="81"/>
      <name val="Tahoma"/>
      <charset val="1"/>
    </font>
    <font>
      <b/>
      <sz val="9"/>
      <color indexed="81"/>
      <name val="Tahoma"/>
      <charset val="1"/>
    </font>
    <font>
      <sz val="12"/>
      <color indexed="81"/>
      <name val="Calibri"/>
      <family val="2"/>
      <scheme val="minor"/>
    </font>
    <font>
      <b/>
      <sz val="12"/>
      <color indexed="81"/>
      <name val="Calibri"/>
      <family val="2"/>
      <scheme val="minor"/>
    </font>
    <font>
      <sz val="12"/>
      <color indexed="81"/>
      <name val="Calibri"/>
      <family val="2"/>
      <charset val="204"/>
      <scheme val="minor"/>
    </font>
    <font>
      <b/>
      <sz val="12"/>
      <color indexed="81"/>
      <name val="Calibri"/>
      <family val="2"/>
      <charset val="204"/>
      <scheme val="minor"/>
    </font>
    <font>
      <sz val="12"/>
      <color theme="1"/>
      <name val="Calibri"/>
      <family val="2"/>
      <charset val="238"/>
      <scheme val="minor"/>
    </font>
  </fonts>
  <fills count="9">
    <fill>
      <patternFill patternType="none"/>
    </fill>
    <fill>
      <patternFill patternType="gray125"/>
    </fill>
    <fill>
      <patternFill patternType="solid">
        <fgColor theme="5"/>
      </patternFill>
    </fill>
    <fill>
      <patternFill patternType="solid">
        <fgColor rgb="FFF2F2F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84F88C"/>
        <bgColor indexed="64"/>
      </patternFill>
    </fill>
    <fill>
      <patternFill patternType="solid">
        <fgColor rgb="FF2EF253"/>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0" fontId="2" fillId="2" borderId="0" applyNumberFormat="0" applyBorder="0" applyAlignment="0" applyProtection="0"/>
  </cellStyleXfs>
  <cellXfs count="114">
    <xf numFmtId="0" fontId="0" fillId="0" borderId="0" xfId="0"/>
    <xf numFmtId="43" fontId="3" fillId="0" borderId="0" xfId="1" applyFont="1" applyAlignment="1">
      <alignment horizontal="left" vertical="center"/>
    </xf>
    <xf numFmtId="43" fontId="4" fillId="0" borderId="0" xfId="1" applyFont="1" applyAlignment="1">
      <alignment horizontal="center" vertical="center"/>
    </xf>
    <xf numFmtId="43" fontId="6" fillId="0" borderId="0" xfId="1" applyFont="1" applyAlignment="1">
      <alignment horizontal="center" vertical="center"/>
    </xf>
    <xf numFmtId="164" fontId="7" fillId="0" borderId="0" xfId="1" applyNumberFormat="1" applyFont="1" applyAlignment="1">
      <alignment horizontal="center" vertical="center" wrapText="1"/>
    </xf>
    <xf numFmtId="43" fontId="7" fillId="0" borderId="0" xfId="1" applyFont="1" applyAlignment="1">
      <alignment horizontal="center" vertical="center" wrapText="1"/>
    </xf>
    <xf numFmtId="43" fontId="7" fillId="0" borderId="0" xfId="1" applyFont="1" applyAlignment="1">
      <alignment horizontal="left" vertical="center" wrapText="1"/>
    </xf>
    <xf numFmtId="43" fontId="4" fillId="0" borderId="0" xfId="1" applyFont="1" applyAlignment="1">
      <alignment horizontal="left" vertical="center"/>
    </xf>
    <xf numFmtId="43" fontId="3" fillId="0" borderId="0" xfId="1" applyFont="1" applyAlignment="1">
      <alignment horizontal="center" vertical="center"/>
    </xf>
    <xf numFmtId="43" fontId="3" fillId="0" borderId="1" xfId="1" applyFont="1" applyBorder="1" applyAlignment="1">
      <alignment horizontal="center" vertical="center"/>
    </xf>
    <xf numFmtId="43" fontId="3" fillId="0" borderId="2" xfId="1" applyFont="1" applyBorder="1" applyAlignment="1">
      <alignment horizontal="center" vertical="center"/>
    </xf>
    <xf numFmtId="43" fontId="3" fillId="0" borderId="3" xfId="1" applyFont="1" applyBorder="1" applyAlignment="1">
      <alignment horizontal="center" vertical="center"/>
    </xf>
    <xf numFmtId="43" fontId="3" fillId="0" borderId="0" xfId="1" applyFont="1" applyAlignment="1">
      <alignment horizontal="center" vertical="center" wrapText="1"/>
    </xf>
    <xf numFmtId="43" fontId="3" fillId="0" borderId="0" xfId="1" applyFont="1" applyAlignment="1">
      <alignment horizontal="left" vertical="center" wrapText="1"/>
    </xf>
    <xf numFmtId="43" fontId="4" fillId="0" borderId="4" xfId="1" applyFont="1" applyBorder="1" applyAlignment="1">
      <alignment horizontal="center" vertical="center"/>
    </xf>
    <xf numFmtId="43" fontId="4" fillId="0" borderId="5" xfId="1" applyFont="1" applyBorder="1" applyAlignment="1">
      <alignment horizontal="center" vertical="center"/>
    </xf>
    <xf numFmtId="43" fontId="6" fillId="0" borderId="6" xfId="1" applyFont="1" applyBorder="1" applyAlignment="1">
      <alignment horizontal="center" vertical="center"/>
    </xf>
    <xf numFmtId="164" fontId="4" fillId="0" borderId="5" xfId="1" applyNumberFormat="1" applyFont="1" applyBorder="1" applyAlignment="1">
      <alignment horizontal="center" vertical="center"/>
    </xf>
    <xf numFmtId="10" fontId="4" fillId="0" borderId="4" xfId="1" applyNumberFormat="1" applyFont="1" applyBorder="1" applyAlignment="1">
      <alignment horizontal="center" vertical="center"/>
    </xf>
    <xf numFmtId="164" fontId="7" fillId="0" borderId="4" xfId="1" applyNumberFormat="1" applyFont="1" applyBorder="1" applyAlignment="1">
      <alignment horizontal="center" vertical="center" wrapText="1"/>
    </xf>
    <xf numFmtId="164" fontId="7" fillId="0" borderId="5" xfId="1" applyNumberFormat="1" applyFont="1" applyBorder="1" applyAlignment="1">
      <alignment horizontal="center" vertical="center" wrapText="1"/>
    </xf>
    <xf numFmtId="164" fontId="7" fillId="0" borderId="6" xfId="1" applyNumberFormat="1" applyFont="1" applyBorder="1" applyAlignment="1">
      <alignment horizontal="center" vertical="center" wrapText="1"/>
    </xf>
    <xf numFmtId="43" fontId="9" fillId="2" borderId="4" xfId="2" applyNumberFormat="1" applyFont="1" applyBorder="1" applyAlignment="1">
      <alignment horizontal="center" vertical="center"/>
    </xf>
    <xf numFmtId="43" fontId="9" fillId="2" borderId="5" xfId="2" applyNumberFormat="1" applyFont="1" applyBorder="1" applyAlignment="1">
      <alignment horizontal="center" vertical="center"/>
    </xf>
    <xf numFmtId="43" fontId="10" fillId="2" borderId="6" xfId="2" applyNumberFormat="1" applyFont="1" applyBorder="1" applyAlignment="1">
      <alignment horizontal="center" vertical="center"/>
    </xf>
    <xf numFmtId="43" fontId="9" fillId="2" borderId="6" xfId="2" applyNumberFormat="1" applyFont="1" applyBorder="1" applyAlignment="1">
      <alignment horizontal="center" vertical="center"/>
    </xf>
    <xf numFmtId="43" fontId="6" fillId="4" borderId="6" xfId="1" applyFont="1" applyFill="1" applyBorder="1" applyAlignment="1">
      <alignment horizontal="center" vertical="center"/>
    </xf>
    <xf numFmtId="14" fontId="11" fillId="0" borderId="0" xfId="1" applyNumberFormat="1" applyFont="1" applyFill="1" applyAlignment="1">
      <alignment horizontal="left" vertical="center"/>
    </xf>
    <xf numFmtId="164" fontId="4" fillId="0" borderId="0" xfId="1" applyNumberFormat="1" applyFont="1" applyAlignment="1">
      <alignment horizontal="center" vertical="center"/>
    </xf>
    <xf numFmtId="43" fontId="4" fillId="4" borderId="4" xfId="1" applyFont="1" applyFill="1" applyBorder="1" applyAlignment="1">
      <alignment horizontal="center" vertical="center"/>
    </xf>
    <xf numFmtId="14" fontId="7" fillId="0" borderId="5" xfId="1" applyNumberFormat="1" applyFont="1" applyBorder="1" applyAlignment="1">
      <alignment horizontal="center" vertical="center" wrapText="1"/>
    </xf>
    <xf numFmtId="43" fontId="7" fillId="0" borderId="5" xfId="1" applyFont="1" applyBorder="1" applyAlignment="1">
      <alignment horizontal="center" vertical="center" wrapText="1"/>
    </xf>
    <xf numFmtId="43" fontId="7" fillId="0" borderId="6" xfId="1" applyFont="1" applyBorder="1" applyAlignment="1">
      <alignment horizontal="center" vertical="center" wrapText="1"/>
    </xf>
    <xf numFmtId="43" fontId="4" fillId="0" borderId="4" xfId="1" applyFont="1" applyFill="1" applyBorder="1" applyAlignment="1">
      <alignment horizontal="center" vertical="center"/>
    </xf>
    <xf numFmtId="43" fontId="4" fillId="5" borderId="5" xfId="1" applyFont="1" applyFill="1" applyBorder="1" applyAlignment="1">
      <alignment horizontal="center" vertical="center"/>
    </xf>
    <xf numFmtId="164" fontId="13" fillId="6" borderId="0" xfId="1" applyNumberFormat="1" applyFont="1" applyFill="1" applyAlignment="1">
      <alignment horizontal="center" vertical="center"/>
    </xf>
    <xf numFmtId="43" fontId="13" fillId="6" borderId="4" xfId="1" applyFont="1" applyFill="1" applyBorder="1" applyAlignment="1">
      <alignment horizontal="center" vertical="center"/>
    </xf>
    <xf numFmtId="43" fontId="13" fillId="6" borderId="5" xfId="1" applyFont="1" applyFill="1" applyBorder="1" applyAlignment="1">
      <alignment horizontal="center" vertical="center"/>
    </xf>
    <xf numFmtId="43" fontId="13" fillId="6" borderId="6" xfId="1" applyFont="1" applyFill="1" applyBorder="1" applyAlignment="1">
      <alignment horizontal="center" vertical="center"/>
    </xf>
    <xf numFmtId="43" fontId="13" fillId="0" borderId="0" xfId="1" applyFont="1" applyAlignment="1">
      <alignment horizontal="center" vertical="center"/>
    </xf>
    <xf numFmtId="164" fontId="13" fillId="6" borderId="4" xfId="1" applyNumberFormat="1" applyFont="1" applyFill="1" applyBorder="1" applyAlignment="1">
      <alignment horizontal="center" vertical="center" wrapText="1"/>
    </xf>
    <xf numFmtId="14" fontId="13" fillId="6" borderId="5" xfId="1" applyNumberFormat="1" applyFont="1" applyFill="1" applyBorder="1" applyAlignment="1">
      <alignment horizontal="center" vertical="center" wrapText="1"/>
    </xf>
    <xf numFmtId="43" fontId="13" fillId="6" borderId="5" xfId="1" applyFont="1" applyFill="1" applyBorder="1" applyAlignment="1">
      <alignment horizontal="center" vertical="center" wrapText="1"/>
    </xf>
    <xf numFmtId="43" fontId="13" fillId="6" borderId="6" xfId="1" applyFont="1" applyFill="1" applyBorder="1" applyAlignment="1">
      <alignment horizontal="center" vertical="center" wrapText="1"/>
    </xf>
    <xf numFmtId="43" fontId="13" fillId="0" borderId="0" xfId="1" applyFont="1" applyAlignment="1">
      <alignment horizontal="center" vertical="center" wrapText="1"/>
    </xf>
    <xf numFmtId="4" fontId="0" fillId="0" borderId="0" xfId="0" applyNumberFormat="1"/>
    <xf numFmtId="43" fontId="13" fillId="0" borderId="0" xfId="1" applyFont="1" applyAlignment="1">
      <alignment horizontal="left" vertical="center" wrapText="1"/>
    </xf>
    <xf numFmtId="43" fontId="5" fillId="0" borderId="0" xfId="1" applyFont="1" applyAlignment="1">
      <alignment horizontal="center" vertical="center" wrapText="1"/>
    </xf>
    <xf numFmtId="43" fontId="14" fillId="0" borderId="0" xfId="1" applyFont="1" applyAlignment="1">
      <alignment horizontal="left" vertical="center"/>
    </xf>
    <xf numFmtId="164" fontId="14" fillId="0" borderId="0" xfId="1" applyNumberFormat="1" applyFont="1" applyAlignment="1">
      <alignment horizontal="center" vertical="center"/>
    </xf>
    <xf numFmtId="43" fontId="14" fillId="0" borderId="0" xfId="1" applyFont="1" applyAlignment="1">
      <alignment horizontal="center" vertical="center"/>
    </xf>
    <xf numFmtId="43" fontId="14" fillId="0" borderId="0" xfId="1" applyFont="1" applyAlignment="1">
      <alignment horizontal="center" vertical="center" wrapText="1"/>
    </xf>
    <xf numFmtId="43" fontId="14" fillId="0" borderId="0" xfId="1" applyFont="1" applyAlignment="1">
      <alignment horizontal="left" vertical="center" wrapText="1"/>
    </xf>
    <xf numFmtId="43" fontId="6" fillId="0" borderId="0" xfId="1" applyFont="1" applyAlignment="1">
      <alignment horizontal="left" vertical="center"/>
    </xf>
    <xf numFmtId="164" fontId="6" fillId="0" borderId="0" xfId="1" applyNumberFormat="1" applyFont="1" applyAlignment="1">
      <alignment horizontal="center" vertical="center" wrapText="1"/>
    </xf>
    <xf numFmtId="43" fontId="6" fillId="0" borderId="0" xfId="1" applyFont="1" applyAlignment="1">
      <alignment horizontal="center" vertical="center" wrapText="1"/>
    </xf>
    <xf numFmtId="43" fontId="6" fillId="4" borderId="7" xfId="1" applyFont="1" applyFill="1" applyBorder="1" applyAlignment="1">
      <alignment horizontal="center" vertical="center" wrapText="1"/>
    </xf>
    <xf numFmtId="43" fontId="6" fillId="0" borderId="0" xfId="1" applyFont="1" applyAlignment="1">
      <alignment horizontal="left" vertical="center" wrapText="1"/>
    </xf>
    <xf numFmtId="0" fontId="6" fillId="4" borderId="0" xfId="0" applyFont="1" applyFill="1" applyAlignment="1">
      <alignment vertical="center"/>
    </xf>
    <xf numFmtId="0" fontId="6" fillId="0" borderId="0" xfId="0" applyFont="1" applyAlignment="1">
      <alignment vertical="center"/>
    </xf>
    <xf numFmtId="43" fontId="6" fillId="0" borderId="0" xfId="1" applyFont="1" applyFill="1" applyAlignment="1">
      <alignment horizontal="center" vertical="center"/>
    </xf>
    <xf numFmtId="43" fontId="6" fillId="0" borderId="0" xfId="1" applyFont="1" applyFill="1" applyAlignment="1">
      <alignment horizontal="left" vertical="center"/>
    </xf>
    <xf numFmtId="0" fontId="15" fillId="0" borderId="0" xfId="0" applyFont="1"/>
    <xf numFmtId="43" fontId="6" fillId="4" borderId="0" xfId="1" applyFont="1" applyFill="1" applyAlignment="1">
      <alignment horizontal="center" vertical="center"/>
    </xf>
    <xf numFmtId="43" fontId="6" fillId="4" borderId="0" xfId="1" applyFont="1" applyFill="1" applyAlignment="1">
      <alignment horizontal="left" vertical="center"/>
    </xf>
    <xf numFmtId="43" fontId="4" fillId="4" borderId="0" xfId="1" applyFont="1" applyFill="1" applyAlignment="1">
      <alignment horizontal="left" vertical="center"/>
    </xf>
    <xf numFmtId="14" fontId="4" fillId="0" borderId="0" xfId="1" applyNumberFormat="1" applyFont="1" applyAlignment="1">
      <alignment horizontal="center" vertical="center"/>
    </xf>
    <xf numFmtId="43" fontId="4" fillId="0" borderId="0" xfId="1" applyFont="1" applyBorder="1" applyAlignment="1">
      <alignment horizontal="center" vertical="center"/>
    </xf>
    <xf numFmtId="0" fontId="16" fillId="0" borderId="0" xfId="0" applyFont="1" applyAlignment="1">
      <alignment horizontal="left" vertical="center"/>
    </xf>
    <xf numFmtId="43" fontId="4" fillId="0" borderId="0" xfId="1" applyFont="1" applyBorder="1" applyAlignment="1">
      <alignment horizontal="left" vertical="center"/>
    </xf>
    <xf numFmtId="43" fontId="6" fillId="0" borderId="0" xfId="1" applyFont="1" applyBorder="1" applyAlignment="1">
      <alignment horizontal="center" vertical="center"/>
    </xf>
    <xf numFmtId="164" fontId="4" fillId="0" borderId="0" xfId="1" applyNumberFormat="1" applyFont="1" applyAlignment="1">
      <alignment horizontal="center" vertical="center" wrapText="1"/>
    </xf>
    <xf numFmtId="43" fontId="4" fillId="0" borderId="0" xfId="1" applyFont="1" applyAlignment="1">
      <alignment horizontal="center" vertical="center" wrapText="1"/>
    </xf>
    <xf numFmtId="43" fontId="4" fillId="0" borderId="0" xfId="1" applyFont="1" applyAlignment="1">
      <alignment horizontal="left" vertical="center" wrapText="1"/>
    </xf>
    <xf numFmtId="0" fontId="4" fillId="0" borderId="0" xfId="0" applyFont="1" applyAlignment="1">
      <alignment horizontal="left" vertical="center"/>
    </xf>
    <xf numFmtId="9" fontId="4" fillId="0" borderId="0" xfId="0" applyNumberFormat="1" applyFont="1" applyAlignment="1">
      <alignment horizontal="center" vertical="center"/>
    </xf>
    <xf numFmtId="43" fontId="4" fillId="4" borderId="0" xfId="1" applyFont="1" applyFill="1" applyAlignment="1">
      <alignment horizontal="center" vertical="center"/>
    </xf>
    <xf numFmtId="0" fontId="4" fillId="0" borderId="0" xfId="0" applyFont="1" applyAlignment="1">
      <alignment vertical="center"/>
    </xf>
    <xf numFmtId="0" fontId="12" fillId="0" borderId="0" xfId="0" applyFont="1" applyAlignment="1">
      <alignment horizontal="left" vertical="center"/>
    </xf>
    <xf numFmtId="43" fontId="6" fillId="0" borderId="0" xfId="1" applyFont="1" applyAlignment="1">
      <alignment horizontal="right" vertical="center"/>
    </xf>
    <xf numFmtId="9" fontId="4" fillId="0" borderId="0" xfId="0" applyNumberFormat="1" applyFont="1" applyAlignment="1">
      <alignment horizontal="right" vertical="center"/>
    </xf>
    <xf numFmtId="0" fontId="15" fillId="0" borderId="0" xfId="0" applyFont="1" applyAlignment="1">
      <alignment horizontal="left" vertical="center"/>
    </xf>
    <xf numFmtId="0" fontId="19" fillId="0" borderId="0" xfId="0" applyFont="1" applyAlignment="1">
      <alignment vertical="center"/>
    </xf>
    <xf numFmtId="0" fontId="0" fillId="0" borderId="0" xfId="0" applyAlignment="1">
      <alignment horizontal="left" vertical="center" indent="1"/>
    </xf>
    <xf numFmtId="43" fontId="3" fillId="0" borderId="0" xfId="1" applyFont="1" applyBorder="1" applyAlignment="1">
      <alignment horizontal="center" vertical="center"/>
    </xf>
    <xf numFmtId="43" fontId="13" fillId="6" borderId="0" xfId="1" applyFont="1" applyFill="1" applyBorder="1" applyAlignment="1">
      <alignment horizontal="center" vertical="center"/>
    </xf>
    <xf numFmtId="14" fontId="6" fillId="0" borderId="0" xfId="1" applyNumberFormat="1" applyFont="1" applyAlignment="1">
      <alignment horizontal="center" vertical="center"/>
    </xf>
    <xf numFmtId="0" fontId="17" fillId="0" borderId="0" xfId="0" applyFont="1" applyAlignment="1">
      <alignment vertical="center"/>
    </xf>
    <xf numFmtId="43" fontId="21" fillId="0" borderId="0" xfId="1" applyFont="1" applyAlignment="1">
      <alignment horizontal="center" vertical="center" wrapText="1"/>
    </xf>
    <xf numFmtId="43" fontId="21" fillId="0" borderId="4" xfId="1" applyFont="1" applyBorder="1" applyAlignment="1">
      <alignment horizontal="center" vertical="center" wrapText="1"/>
    </xf>
    <xf numFmtId="43" fontId="21" fillId="0" borderId="5" xfId="1" applyFont="1" applyBorder="1" applyAlignment="1">
      <alignment horizontal="center" vertical="center" wrapText="1"/>
    </xf>
    <xf numFmtId="43" fontId="22" fillId="0" borderId="6" xfId="1" applyFont="1" applyBorder="1" applyAlignment="1">
      <alignment horizontal="center" vertical="center" wrapText="1"/>
    </xf>
    <xf numFmtId="43" fontId="22" fillId="0" borderId="0" xfId="1" applyFont="1" applyBorder="1" applyAlignment="1">
      <alignment horizontal="center" vertical="center" wrapText="1"/>
    </xf>
    <xf numFmtId="164" fontId="23" fillId="0" borderId="4" xfId="0" applyNumberFormat="1" applyFont="1" applyBorder="1" applyAlignment="1">
      <alignment horizontal="center"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165" fontId="4" fillId="0" borderId="0" xfId="0" applyNumberFormat="1" applyFont="1" applyAlignment="1">
      <alignment horizontal="center" vertical="center"/>
    </xf>
    <xf numFmtId="14" fontId="11" fillId="7" borderId="0" xfId="1" applyNumberFormat="1" applyFont="1" applyFill="1" applyAlignment="1">
      <alignment horizontal="left" vertical="center"/>
    </xf>
    <xf numFmtId="164" fontId="4" fillId="7" borderId="0" xfId="1" applyNumberFormat="1" applyFont="1" applyFill="1" applyAlignment="1">
      <alignment horizontal="center" vertical="center"/>
    </xf>
    <xf numFmtId="43" fontId="4" fillId="7" borderId="4" xfId="1" applyFont="1" applyFill="1" applyBorder="1" applyAlignment="1">
      <alignment horizontal="center" vertical="center"/>
    </xf>
    <xf numFmtId="43" fontId="4" fillId="7" borderId="5" xfId="1" applyFont="1" applyFill="1" applyBorder="1" applyAlignment="1">
      <alignment horizontal="center" vertical="center"/>
    </xf>
    <xf numFmtId="43" fontId="6" fillId="7" borderId="6" xfId="1" applyFont="1" applyFill="1" applyBorder="1" applyAlignment="1">
      <alignment horizontal="center" vertical="center"/>
    </xf>
    <xf numFmtId="164" fontId="7" fillId="7" borderId="4" xfId="1" applyNumberFormat="1" applyFont="1" applyFill="1" applyBorder="1" applyAlignment="1">
      <alignment horizontal="center" vertical="center" wrapText="1"/>
    </xf>
    <xf numFmtId="14" fontId="7" fillId="7" borderId="5" xfId="1" applyNumberFormat="1" applyFont="1" applyFill="1" applyBorder="1" applyAlignment="1">
      <alignment horizontal="center" vertical="center" wrapText="1"/>
    </xf>
    <xf numFmtId="43" fontId="7" fillId="7" borderId="5" xfId="1" applyFont="1" applyFill="1" applyBorder="1" applyAlignment="1">
      <alignment horizontal="center" vertical="center" wrapText="1"/>
    </xf>
    <xf numFmtId="43" fontId="15" fillId="7" borderId="5" xfId="1" applyFont="1" applyFill="1" applyBorder="1" applyAlignment="1">
      <alignment horizontal="center" vertical="center"/>
    </xf>
    <xf numFmtId="43" fontId="7" fillId="8" borderId="5" xfId="1" applyFont="1" applyFill="1" applyBorder="1" applyAlignment="1">
      <alignment horizontal="center" vertical="center" wrapText="1"/>
    </xf>
    <xf numFmtId="43" fontId="4" fillId="8" borderId="5" xfId="1" applyFont="1" applyFill="1" applyBorder="1" applyAlignment="1">
      <alignment horizontal="center" vertical="center"/>
    </xf>
    <xf numFmtId="43" fontId="7" fillId="8" borderId="6" xfId="1" applyFont="1" applyFill="1" applyBorder="1" applyAlignment="1">
      <alignment horizontal="center" vertical="center" wrapText="1"/>
    </xf>
    <xf numFmtId="43" fontId="7" fillId="8" borderId="0" xfId="1" applyFont="1" applyFill="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30" fillId="0" borderId="0" xfId="0" applyFont="1"/>
  </cellXfs>
  <cellStyles count="3">
    <cellStyle name="Accent2" xfId="2" builtinId="33"/>
    <cellStyle name="Comma" xfId="1" builtinId="3"/>
    <cellStyle name="Normal" xfId="0" builtinId="0"/>
  </cellStyles>
  <dxfs count="0"/>
  <tableStyles count="0" defaultTableStyle="TableStyleMedium2" defaultPivotStyle="PivotStyleLight16"/>
  <colors>
    <mruColors>
      <color rgb="FF2EF253"/>
      <color rgb="FF84F8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4D9-6720-4541-B523-5EB25F237270}">
  <dimension ref="A1:AR424"/>
  <sheetViews>
    <sheetView tabSelected="1" zoomScale="90" zoomScaleNormal="90" workbookViewId="0">
      <pane xSplit="5" ySplit="4" topLeftCell="F5" activePane="bottomRight" state="frozen"/>
      <selection pane="topRight" activeCell="F1" sqref="F1"/>
      <selection pane="bottomLeft" activeCell="A5" sqref="A5"/>
      <selection pane="bottomRight" activeCell="I399" sqref="I399"/>
    </sheetView>
  </sheetViews>
  <sheetFormatPr defaultColWidth="8.86328125" defaultRowHeight="15.75" outlineLevelRow="1" x14ac:dyDescent="0.45"/>
  <cols>
    <col min="1" max="1" width="11.46484375" style="7" bestFit="1" customWidth="1"/>
    <col min="2" max="2" width="5.46484375" style="2" bestFit="1" customWidth="1"/>
    <col min="3" max="3" width="14.33203125" style="2" customWidth="1"/>
    <col min="4" max="4" width="13.6640625" style="2" customWidth="1"/>
    <col min="5" max="5" width="18.19921875" style="3" customWidth="1"/>
    <col min="6" max="6" width="5.19921875" style="7" customWidth="1"/>
    <col min="7" max="8" width="10.46484375" style="2" bestFit="1" customWidth="1"/>
    <col min="9" max="9" width="13" style="3" customWidth="1"/>
    <col min="10" max="10" width="5.6640625" style="2" customWidth="1"/>
    <col min="11" max="11" width="16.1328125" style="2" customWidth="1"/>
    <col min="12" max="12" width="13.6640625" style="2" customWidth="1"/>
    <col min="13" max="13" width="15.86328125" style="3" customWidth="1"/>
    <col min="14" max="14" width="5.6640625" style="2" customWidth="1"/>
    <col min="15" max="15" width="10.1328125" style="2" bestFit="1" customWidth="1"/>
    <col min="16" max="16" width="10.46484375" style="2" bestFit="1" customWidth="1"/>
    <col min="17" max="17" width="10.1328125" style="3" bestFit="1" customWidth="1"/>
    <col min="18" max="18" width="5.6640625" style="2" customWidth="1"/>
    <col min="19" max="19" width="9.796875" style="2" bestFit="1" customWidth="1"/>
    <col min="20" max="20" width="10.46484375" style="2" bestFit="1" customWidth="1"/>
    <col min="21" max="21" width="9.6640625" style="3" bestFit="1" customWidth="1"/>
    <col min="22" max="22" width="5.6640625" style="2" customWidth="1"/>
    <col min="23" max="23" width="11" style="2" bestFit="1" customWidth="1"/>
    <col min="24" max="24" width="9.6640625" style="2" bestFit="1" customWidth="1"/>
    <col min="25" max="25" width="8.1328125" style="3" bestFit="1" customWidth="1"/>
    <col min="26" max="26" width="8.1328125" style="3" customWidth="1"/>
    <col min="27" max="27" width="9.86328125" style="2" bestFit="1" customWidth="1"/>
    <col min="28" max="28" width="9.6640625" style="2" bestFit="1" customWidth="1"/>
    <col min="29" max="29" width="8.1328125" style="3" bestFit="1" customWidth="1"/>
    <col min="30" max="30" width="8.1328125" style="3" customWidth="1"/>
    <col min="31" max="31" width="3.53125" style="2" customWidth="1"/>
    <col min="32" max="32" width="7.6640625" style="4" bestFit="1" customWidth="1"/>
    <col min="33" max="33" width="12.19921875" style="5" bestFit="1" customWidth="1"/>
    <col min="34" max="34" width="13.1328125" style="5" bestFit="1" customWidth="1"/>
    <col min="35" max="35" width="17.59765625" style="5" bestFit="1" customWidth="1"/>
    <col min="36" max="36" width="15.53125" style="5" bestFit="1" customWidth="1"/>
    <col min="37" max="37" width="15.6640625" style="5" bestFit="1" customWidth="1"/>
    <col min="38" max="38" width="18.19921875" style="5" bestFit="1" customWidth="1"/>
    <col min="39" max="39" width="11.19921875" style="5" bestFit="1" customWidth="1"/>
    <col min="40" max="40" width="10.46484375" style="5" bestFit="1" customWidth="1"/>
    <col min="41" max="41" width="24.33203125" style="5" bestFit="1" customWidth="1"/>
    <col min="42" max="42" width="39.46484375" style="6" customWidth="1"/>
    <col min="43" max="44" width="8.86328125" style="5"/>
    <col min="45" max="16384" width="8.86328125" style="2"/>
  </cols>
  <sheetData>
    <row r="1" spans="1:44" x14ac:dyDescent="0.45">
      <c r="A1" s="1" t="s">
        <v>0</v>
      </c>
      <c r="C1" s="78" t="s">
        <v>1</v>
      </c>
      <c r="F1" s="2"/>
      <c r="K1" s="78" t="s">
        <v>1</v>
      </c>
    </row>
    <row r="2" spans="1:44" ht="16.149999999999999" thickBot="1" x14ac:dyDescent="0.5">
      <c r="F2" s="2"/>
    </row>
    <row r="3" spans="1:44" s="8" customFormat="1" x14ac:dyDescent="0.45">
      <c r="A3" s="1"/>
      <c r="B3" s="8" t="s">
        <v>2</v>
      </c>
      <c r="C3" s="9" t="s">
        <v>3</v>
      </c>
      <c r="D3" s="10" t="s">
        <v>4</v>
      </c>
      <c r="E3" s="11" t="s">
        <v>5</v>
      </c>
      <c r="G3" s="9" t="s">
        <v>3</v>
      </c>
      <c r="H3" s="10" t="s">
        <v>4</v>
      </c>
      <c r="I3" s="11" t="s">
        <v>5</v>
      </c>
      <c r="K3" s="9" t="s">
        <v>3</v>
      </c>
      <c r="L3" s="10" t="s">
        <v>4</v>
      </c>
      <c r="M3" s="11" t="s">
        <v>5</v>
      </c>
      <c r="O3" s="9" t="s">
        <v>3</v>
      </c>
      <c r="P3" s="10" t="s">
        <v>4</v>
      </c>
      <c r="Q3" s="11" t="s">
        <v>5</v>
      </c>
      <c r="S3" s="9" t="s">
        <v>3</v>
      </c>
      <c r="T3" s="10" t="s">
        <v>4</v>
      </c>
      <c r="U3" s="11" t="s">
        <v>5</v>
      </c>
      <c r="W3" s="9" t="s">
        <v>3</v>
      </c>
      <c r="X3" s="10" t="s">
        <v>4</v>
      </c>
      <c r="Y3" s="11" t="s">
        <v>5</v>
      </c>
      <c r="Z3" s="84"/>
      <c r="AA3" s="9" t="s">
        <v>3</v>
      </c>
      <c r="AB3" s="10" t="s">
        <v>4</v>
      </c>
      <c r="AC3" s="11" t="s">
        <v>5</v>
      </c>
      <c r="AD3" s="84"/>
      <c r="AF3" s="110" t="s">
        <v>6</v>
      </c>
      <c r="AG3" s="111"/>
      <c r="AH3" s="111"/>
      <c r="AI3" s="111"/>
      <c r="AJ3" s="111"/>
      <c r="AK3" s="111"/>
      <c r="AL3" s="112"/>
      <c r="AM3" s="5"/>
      <c r="AN3" s="12"/>
      <c r="AO3" s="5"/>
      <c r="AP3" s="13"/>
      <c r="AQ3" s="12"/>
      <c r="AR3" s="12"/>
    </row>
    <row r="4" spans="1:44" s="88" customFormat="1" ht="39.4" x14ac:dyDescent="0.45">
      <c r="C4" s="89" t="s">
        <v>45</v>
      </c>
      <c r="D4" s="90"/>
      <c r="E4" s="91"/>
      <c r="G4" s="89" t="s">
        <v>7</v>
      </c>
      <c r="H4" s="90"/>
      <c r="I4" s="91"/>
      <c r="K4" s="89" t="s">
        <v>52</v>
      </c>
      <c r="L4" s="90"/>
      <c r="M4" s="91"/>
      <c r="O4" s="89" t="s">
        <v>53</v>
      </c>
      <c r="P4" s="90"/>
      <c r="Q4" s="91"/>
      <c r="S4" s="89" t="s">
        <v>58</v>
      </c>
      <c r="T4" s="90"/>
      <c r="U4" s="91"/>
      <c r="W4" s="89" t="s">
        <v>34</v>
      </c>
      <c r="X4" s="90"/>
      <c r="Y4" s="91"/>
      <c r="Z4" s="92"/>
      <c r="AA4" s="89" t="s">
        <v>8</v>
      </c>
      <c r="AB4" s="90"/>
      <c r="AC4" s="91"/>
      <c r="AD4" s="92"/>
      <c r="AF4" s="93" t="s">
        <v>9</v>
      </c>
      <c r="AG4" s="94" t="s">
        <v>10</v>
      </c>
      <c r="AH4" s="94" t="s">
        <v>11</v>
      </c>
      <c r="AI4" s="94" t="s">
        <v>12</v>
      </c>
      <c r="AJ4" s="94" t="s">
        <v>13</v>
      </c>
      <c r="AK4" s="94" t="s">
        <v>14</v>
      </c>
      <c r="AL4" s="95" t="s">
        <v>15</v>
      </c>
    </row>
    <row r="5" spans="1:44" x14ac:dyDescent="0.45">
      <c r="A5" s="2"/>
      <c r="C5" s="14">
        <f>E381</f>
        <v>20000</v>
      </c>
      <c r="D5" s="17">
        <v>365</v>
      </c>
      <c r="E5" s="16"/>
      <c r="F5" s="2"/>
      <c r="G5" s="18">
        <f>E388</f>
        <v>0.22</v>
      </c>
      <c r="H5" s="17"/>
      <c r="I5" s="16"/>
      <c r="K5" s="14"/>
      <c r="L5" s="17">
        <v>365</v>
      </c>
      <c r="M5" s="16"/>
      <c r="O5" s="18">
        <f>E388</f>
        <v>0.22</v>
      </c>
      <c r="P5" s="17"/>
      <c r="Q5" s="16"/>
      <c r="S5" s="18">
        <f>Q388</f>
        <v>0</v>
      </c>
      <c r="T5" s="17"/>
      <c r="U5" s="16"/>
      <c r="W5" s="18">
        <v>5.0000000000000001E-3</v>
      </c>
      <c r="X5" s="17"/>
      <c r="Y5" s="16"/>
      <c r="Z5" s="70"/>
      <c r="AA5" s="18">
        <f>E395</f>
        <v>0.03</v>
      </c>
      <c r="AB5" s="17"/>
      <c r="AC5" s="16"/>
      <c r="AD5" s="70"/>
      <c r="AF5" s="19">
        <v>1</v>
      </c>
      <c r="AG5" s="20">
        <v>2</v>
      </c>
      <c r="AH5" s="20">
        <v>3</v>
      </c>
      <c r="AI5" s="20">
        <v>4</v>
      </c>
      <c r="AJ5" s="20">
        <v>5</v>
      </c>
      <c r="AK5" s="20">
        <v>6</v>
      </c>
      <c r="AL5" s="21">
        <v>7</v>
      </c>
      <c r="AP5" s="5"/>
    </row>
    <row r="6" spans="1:44" x14ac:dyDescent="0.45">
      <c r="C6" s="22"/>
      <c r="D6" s="23"/>
      <c r="E6" s="24"/>
      <c r="F6" s="2"/>
      <c r="G6" s="22"/>
      <c r="H6" s="23"/>
      <c r="I6" s="24"/>
      <c r="K6" s="22"/>
      <c r="L6" s="23"/>
      <c r="M6" s="24"/>
      <c r="O6" s="22"/>
      <c r="P6" s="23"/>
      <c r="Q6" s="24"/>
      <c r="S6" s="22"/>
      <c r="T6" s="23"/>
      <c r="U6" s="24"/>
      <c r="W6" s="22"/>
      <c r="X6" s="23"/>
      <c r="Y6" s="24"/>
      <c r="Z6" s="70"/>
      <c r="AA6" s="22"/>
      <c r="AB6" s="23"/>
      <c r="AC6" s="24"/>
      <c r="AD6" s="70"/>
      <c r="AF6" s="22"/>
      <c r="AG6" s="23"/>
      <c r="AH6" s="23"/>
      <c r="AI6" s="23"/>
      <c r="AJ6" s="23"/>
      <c r="AK6" s="23"/>
      <c r="AL6" s="25"/>
    </row>
    <row r="7" spans="1:44" x14ac:dyDescent="0.45">
      <c r="C7" s="14"/>
      <c r="D7" s="15"/>
      <c r="E7" s="26"/>
      <c r="F7" s="2"/>
      <c r="G7" s="14"/>
      <c r="H7" s="15"/>
      <c r="I7" s="26"/>
      <c r="K7" s="14"/>
      <c r="L7" s="15"/>
      <c r="M7" s="26"/>
      <c r="O7" s="14"/>
      <c r="P7" s="15"/>
      <c r="Q7" s="26"/>
      <c r="S7" s="14"/>
      <c r="T7" s="15"/>
      <c r="U7" s="26"/>
      <c r="W7" s="14"/>
      <c r="X7" s="15"/>
      <c r="Y7" s="26"/>
      <c r="Z7" s="70"/>
      <c r="AA7" s="14"/>
      <c r="AB7" s="15"/>
      <c r="AC7" s="26"/>
      <c r="AD7" s="70"/>
      <c r="AF7" s="14"/>
      <c r="AG7" s="15"/>
      <c r="AH7" s="15"/>
      <c r="AI7" s="15"/>
      <c r="AJ7" s="15"/>
      <c r="AK7" s="15"/>
      <c r="AL7" s="26"/>
    </row>
    <row r="8" spans="1:44" x14ac:dyDescent="0.45">
      <c r="A8" s="27">
        <f>E382</f>
        <v>46002</v>
      </c>
      <c r="B8" s="28">
        <v>1</v>
      </c>
      <c r="C8" s="29">
        <f>C5</f>
        <v>20000</v>
      </c>
      <c r="D8" s="15">
        <v>0</v>
      </c>
      <c r="E8" s="16">
        <f>ROUND(E7+C8-D8,2)</f>
        <v>20000</v>
      </c>
      <c r="F8" s="2"/>
      <c r="G8" s="29">
        <f>ROUND(E8*$G$5/$D$5*B8,2)</f>
        <v>12.05</v>
      </c>
      <c r="H8" s="15">
        <v>0</v>
      </c>
      <c r="I8" s="16">
        <f>I7+G8-H8</f>
        <v>12.05</v>
      </c>
      <c r="K8" s="14">
        <v>0</v>
      </c>
      <c r="L8" s="15">
        <v>0</v>
      </c>
      <c r="M8" s="16">
        <f>ROUND(M7+K8-L8,2)</f>
        <v>0</v>
      </c>
      <c r="O8" s="29">
        <f>ROUND(M8*$O$5/$D$5*B8,2)</f>
        <v>0</v>
      </c>
      <c r="P8" s="15">
        <v>0</v>
      </c>
      <c r="Q8" s="16">
        <f>Q7+O8-P8</f>
        <v>0</v>
      </c>
      <c r="S8" s="29">
        <v>0</v>
      </c>
      <c r="T8" s="15">
        <v>0</v>
      </c>
      <c r="U8" s="16">
        <f>U7+S8-T8</f>
        <v>0</v>
      </c>
      <c r="W8" s="14">
        <f t="shared" ref="W8:W71" si="0">ROUND(M7*$W$5*B8,2)</f>
        <v>0</v>
      </c>
      <c r="X8" s="15">
        <v>0</v>
      </c>
      <c r="Y8" s="16">
        <f>Y7+W8-X8</f>
        <v>0</v>
      </c>
      <c r="Z8" s="70"/>
      <c r="AA8" s="14">
        <f t="shared" ref="AA8:AA71" si="1">ROUND($C$5*$AA$5/365*B8,2)</f>
        <v>1.64</v>
      </c>
      <c r="AB8" s="15">
        <v>0</v>
      </c>
      <c r="AC8" s="16">
        <f t="shared" ref="AC8:AC71" si="2">AC7+AA8-AB8</f>
        <v>1.64</v>
      </c>
      <c r="AD8" s="70"/>
      <c r="AF8" s="19" t="s">
        <v>16</v>
      </c>
      <c r="AG8" s="30">
        <f t="shared" ref="AG8:AG71" si="3">A8</f>
        <v>46002</v>
      </c>
      <c r="AH8" s="31">
        <f t="shared" ref="AH8:AH71" si="4">E8</f>
        <v>20000</v>
      </c>
      <c r="AI8" s="31">
        <f t="shared" ref="AI8:AI71" si="5">D8</f>
        <v>0</v>
      </c>
      <c r="AJ8" s="31">
        <f t="shared" ref="AJ8:AJ71" si="6">H8</f>
        <v>0</v>
      </c>
      <c r="AK8" s="31">
        <f t="shared" ref="AK8:AK71" si="7">AB8</f>
        <v>0</v>
      </c>
      <c r="AL8" s="32">
        <f>AI8+AJ8+AK8</f>
        <v>0</v>
      </c>
    </row>
    <row r="9" spans="1:44" outlineLevel="1" x14ac:dyDescent="0.45">
      <c r="A9" s="27">
        <v>46003</v>
      </c>
      <c r="B9" s="28">
        <f>A9-A8</f>
        <v>1</v>
      </c>
      <c r="C9" s="14">
        <v>0</v>
      </c>
      <c r="D9" s="15">
        <v>0</v>
      </c>
      <c r="E9" s="16">
        <f t="shared" ref="E9:E72" si="8">ROUND(E8+C9-D9,2)</f>
        <v>20000</v>
      </c>
      <c r="F9" s="2"/>
      <c r="G9" s="33">
        <f>ROUND(E9*$G$5/$D$5*B9,2)</f>
        <v>12.05</v>
      </c>
      <c r="H9" s="34">
        <v>0</v>
      </c>
      <c r="I9" s="16">
        <f>I8+G9-H9</f>
        <v>24.1</v>
      </c>
      <c r="K9" s="14">
        <v>0</v>
      </c>
      <c r="L9" s="15">
        <v>0</v>
      </c>
      <c r="M9" s="16">
        <f t="shared" ref="M9:M72" si="9">ROUND(M8+K9-L9,2)</f>
        <v>0</v>
      </c>
      <c r="O9" s="33">
        <f>ROUND(M9*$O$5/$D$5*B9,2)</f>
        <v>0</v>
      </c>
      <c r="P9" s="34">
        <v>0</v>
      </c>
      <c r="Q9" s="16">
        <f>Q8+O9-P9</f>
        <v>0</v>
      </c>
      <c r="S9" s="33">
        <v>0</v>
      </c>
      <c r="T9" s="34">
        <v>0</v>
      </c>
      <c r="U9" s="16">
        <f>U8+S9-T9</f>
        <v>0</v>
      </c>
      <c r="W9" s="14">
        <f t="shared" si="0"/>
        <v>0</v>
      </c>
      <c r="X9" s="15">
        <v>0</v>
      </c>
      <c r="Y9" s="16">
        <f>Y8+W9-X9</f>
        <v>0</v>
      </c>
      <c r="Z9" s="70"/>
      <c r="AA9" s="14">
        <f t="shared" si="1"/>
        <v>1.64</v>
      </c>
      <c r="AB9" s="15">
        <v>0</v>
      </c>
      <c r="AC9" s="16">
        <f t="shared" si="2"/>
        <v>3.28</v>
      </c>
      <c r="AD9" s="70"/>
      <c r="AF9" s="19" t="s">
        <v>16</v>
      </c>
      <c r="AG9" s="30">
        <f t="shared" si="3"/>
        <v>46003</v>
      </c>
      <c r="AH9" s="31">
        <f t="shared" si="4"/>
        <v>20000</v>
      </c>
      <c r="AI9" s="31">
        <f t="shared" si="5"/>
        <v>0</v>
      </c>
      <c r="AJ9" s="34">
        <f t="shared" si="6"/>
        <v>0</v>
      </c>
      <c r="AK9" s="31">
        <f t="shared" si="7"/>
        <v>0</v>
      </c>
      <c r="AL9" s="32">
        <f>AI9+AJ9+AK9</f>
        <v>0</v>
      </c>
    </row>
    <row r="10" spans="1:44" outlineLevel="1" x14ac:dyDescent="0.45">
      <c r="A10" s="27">
        <v>46004</v>
      </c>
      <c r="B10" s="28">
        <f t="shared" ref="B10:B73" si="10">A10-A9</f>
        <v>1</v>
      </c>
      <c r="C10" s="14">
        <v>0</v>
      </c>
      <c r="D10" s="15">
        <v>0</v>
      </c>
      <c r="E10" s="16">
        <f t="shared" si="8"/>
        <v>20000</v>
      </c>
      <c r="F10" s="2"/>
      <c r="G10" s="33">
        <f>ROUND(E10*$G$5/$D$5*B10,2)</f>
        <v>12.05</v>
      </c>
      <c r="H10" s="34">
        <v>0</v>
      </c>
      <c r="I10" s="16">
        <f t="shared" ref="I10:I73" si="11">I9+G10-H10</f>
        <v>36.150000000000006</v>
      </c>
      <c r="K10" s="14">
        <v>0</v>
      </c>
      <c r="L10" s="15">
        <v>0</v>
      </c>
      <c r="M10" s="16">
        <f t="shared" si="9"/>
        <v>0</v>
      </c>
      <c r="O10" s="33">
        <f t="shared" ref="O10:O73" si="12">ROUND(M10*$O$5/$D$5*B10,2)</f>
        <v>0</v>
      </c>
      <c r="P10" s="34">
        <v>0</v>
      </c>
      <c r="Q10" s="16">
        <f t="shared" ref="Q10:Q73" si="13">Q9+O10-P10</f>
        <v>0</v>
      </c>
      <c r="S10" s="33">
        <v>0</v>
      </c>
      <c r="T10" s="34">
        <v>0</v>
      </c>
      <c r="U10" s="16">
        <f t="shared" ref="U10:U73" si="14">U9+S10-T10</f>
        <v>0</v>
      </c>
      <c r="W10" s="14">
        <f t="shared" si="0"/>
        <v>0</v>
      </c>
      <c r="X10" s="15">
        <v>0</v>
      </c>
      <c r="Y10" s="16">
        <f t="shared" ref="Y10:Y73" si="15">Y9+W10-X10</f>
        <v>0</v>
      </c>
      <c r="Z10" s="70"/>
      <c r="AA10" s="14">
        <f t="shared" si="1"/>
        <v>1.64</v>
      </c>
      <c r="AB10" s="15">
        <v>0</v>
      </c>
      <c r="AC10" s="16">
        <f t="shared" si="2"/>
        <v>4.92</v>
      </c>
      <c r="AD10" s="70"/>
      <c r="AF10" s="19" t="s">
        <v>16</v>
      </c>
      <c r="AG10" s="30">
        <f t="shared" si="3"/>
        <v>46004</v>
      </c>
      <c r="AH10" s="31">
        <f t="shared" si="4"/>
        <v>20000</v>
      </c>
      <c r="AI10" s="31">
        <f t="shared" si="5"/>
        <v>0</v>
      </c>
      <c r="AJ10" s="34">
        <f t="shared" si="6"/>
        <v>0</v>
      </c>
      <c r="AK10" s="31">
        <f t="shared" si="7"/>
        <v>0</v>
      </c>
      <c r="AL10" s="32">
        <f t="shared" ref="AL10:AL73" si="16">AI10+AJ10+AK10</f>
        <v>0</v>
      </c>
    </row>
    <row r="11" spans="1:44" outlineLevel="1" x14ac:dyDescent="0.45">
      <c r="A11" s="27">
        <v>46005</v>
      </c>
      <c r="B11" s="28">
        <f t="shared" si="10"/>
        <v>1</v>
      </c>
      <c r="C11" s="14">
        <v>0</v>
      </c>
      <c r="D11" s="15">
        <v>0</v>
      </c>
      <c r="E11" s="16">
        <f t="shared" si="8"/>
        <v>20000</v>
      </c>
      <c r="F11" s="2"/>
      <c r="G11" s="33">
        <f>ROUND(E11*$G$5/$D$5*B11,2)</f>
        <v>12.05</v>
      </c>
      <c r="H11" s="34">
        <v>0</v>
      </c>
      <c r="I11" s="16">
        <f t="shared" si="11"/>
        <v>48.2</v>
      </c>
      <c r="K11" s="14">
        <v>0</v>
      </c>
      <c r="L11" s="15">
        <v>0</v>
      </c>
      <c r="M11" s="16">
        <f t="shared" si="9"/>
        <v>0</v>
      </c>
      <c r="O11" s="33">
        <f t="shared" si="12"/>
        <v>0</v>
      </c>
      <c r="P11" s="34">
        <v>0</v>
      </c>
      <c r="Q11" s="16">
        <f t="shared" si="13"/>
        <v>0</v>
      </c>
      <c r="S11" s="33">
        <v>0</v>
      </c>
      <c r="T11" s="34">
        <v>0</v>
      </c>
      <c r="U11" s="16">
        <f t="shared" si="14"/>
        <v>0</v>
      </c>
      <c r="W11" s="14">
        <f t="shared" si="0"/>
        <v>0</v>
      </c>
      <c r="X11" s="15">
        <v>0</v>
      </c>
      <c r="Y11" s="16">
        <f t="shared" si="15"/>
        <v>0</v>
      </c>
      <c r="Z11" s="70"/>
      <c r="AA11" s="14">
        <f t="shared" si="1"/>
        <v>1.64</v>
      </c>
      <c r="AB11" s="15">
        <v>0</v>
      </c>
      <c r="AC11" s="16">
        <f t="shared" si="2"/>
        <v>6.56</v>
      </c>
      <c r="AD11" s="70"/>
      <c r="AF11" s="19" t="s">
        <v>16</v>
      </c>
      <c r="AG11" s="30">
        <f t="shared" si="3"/>
        <v>46005</v>
      </c>
      <c r="AH11" s="31">
        <f t="shared" si="4"/>
        <v>20000</v>
      </c>
      <c r="AI11" s="31">
        <f t="shared" si="5"/>
        <v>0</v>
      </c>
      <c r="AJ11" s="34">
        <f t="shared" si="6"/>
        <v>0</v>
      </c>
      <c r="AK11" s="31">
        <f t="shared" si="7"/>
        <v>0</v>
      </c>
      <c r="AL11" s="32">
        <f t="shared" si="16"/>
        <v>0</v>
      </c>
    </row>
    <row r="12" spans="1:44" outlineLevel="1" x14ac:dyDescent="0.45">
      <c r="A12" s="27">
        <v>46006</v>
      </c>
      <c r="B12" s="28">
        <f t="shared" si="10"/>
        <v>1</v>
      </c>
      <c r="C12" s="14">
        <v>0</v>
      </c>
      <c r="D12" s="15">
        <v>0</v>
      </c>
      <c r="E12" s="16">
        <f t="shared" si="8"/>
        <v>20000</v>
      </c>
      <c r="F12" s="2"/>
      <c r="G12" s="33">
        <f t="shared" ref="G12:G75" si="17">ROUND(E12*$G$5/$D$5*B12,2)</f>
        <v>12.05</v>
      </c>
      <c r="H12" s="34">
        <v>0</v>
      </c>
      <c r="I12" s="16">
        <f t="shared" si="11"/>
        <v>60.25</v>
      </c>
      <c r="K12" s="14">
        <v>0</v>
      </c>
      <c r="L12" s="15">
        <v>0</v>
      </c>
      <c r="M12" s="16">
        <f t="shared" si="9"/>
        <v>0</v>
      </c>
      <c r="O12" s="33">
        <f t="shared" si="12"/>
        <v>0</v>
      </c>
      <c r="P12" s="34">
        <v>0</v>
      </c>
      <c r="Q12" s="16">
        <f t="shared" si="13"/>
        <v>0</v>
      </c>
      <c r="S12" s="33">
        <v>0</v>
      </c>
      <c r="T12" s="34">
        <v>0</v>
      </c>
      <c r="U12" s="16">
        <f t="shared" si="14"/>
        <v>0</v>
      </c>
      <c r="W12" s="14">
        <f t="shared" si="0"/>
        <v>0</v>
      </c>
      <c r="X12" s="15">
        <v>0</v>
      </c>
      <c r="Y12" s="16">
        <f t="shared" si="15"/>
        <v>0</v>
      </c>
      <c r="Z12" s="70"/>
      <c r="AA12" s="14">
        <f t="shared" si="1"/>
        <v>1.64</v>
      </c>
      <c r="AB12" s="15">
        <v>0</v>
      </c>
      <c r="AC12" s="16">
        <f t="shared" si="2"/>
        <v>8.1999999999999993</v>
      </c>
      <c r="AD12" s="70"/>
      <c r="AF12" s="19" t="s">
        <v>16</v>
      </c>
      <c r="AG12" s="30">
        <f t="shared" si="3"/>
        <v>46006</v>
      </c>
      <c r="AH12" s="31">
        <f t="shared" si="4"/>
        <v>20000</v>
      </c>
      <c r="AI12" s="31">
        <f t="shared" si="5"/>
        <v>0</v>
      </c>
      <c r="AJ12" s="34">
        <f t="shared" si="6"/>
        <v>0</v>
      </c>
      <c r="AK12" s="31">
        <f t="shared" si="7"/>
        <v>0</v>
      </c>
      <c r="AL12" s="32">
        <f t="shared" si="16"/>
        <v>0</v>
      </c>
    </row>
    <row r="13" spans="1:44" outlineLevel="1" x14ac:dyDescent="0.45">
      <c r="A13" s="27">
        <v>46007</v>
      </c>
      <c r="B13" s="28">
        <f t="shared" si="10"/>
        <v>1</v>
      </c>
      <c r="C13" s="14">
        <v>0</v>
      </c>
      <c r="D13" s="15">
        <v>0</v>
      </c>
      <c r="E13" s="16">
        <f t="shared" si="8"/>
        <v>20000</v>
      </c>
      <c r="F13" s="2"/>
      <c r="G13" s="33">
        <f t="shared" si="17"/>
        <v>12.05</v>
      </c>
      <c r="H13" s="34">
        <v>0</v>
      </c>
      <c r="I13" s="16">
        <f t="shared" si="11"/>
        <v>72.3</v>
      </c>
      <c r="K13" s="14">
        <v>0</v>
      </c>
      <c r="L13" s="15">
        <v>0</v>
      </c>
      <c r="M13" s="16">
        <f t="shared" si="9"/>
        <v>0</v>
      </c>
      <c r="O13" s="33">
        <f t="shared" si="12"/>
        <v>0</v>
      </c>
      <c r="P13" s="34">
        <v>0</v>
      </c>
      <c r="Q13" s="16">
        <f t="shared" si="13"/>
        <v>0</v>
      </c>
      <c r="S13" s="33">
        <v>0</v>
      </c>
      <c r="T13" s="34">
        <v>0</v>
      </c>
      <c r="U13" s="16">
        <f t="shared" si="14"/>
        <v>0</v>
      </c>
      <c r="W13" s="14">
        <f t="shared" si="0"/>
        <v>0</v>
      </c>
      <c r="X13" s="15">
        <v>0</v>
      </c>
      <c r="Y13" s="16">
        <f t="shared" si="15"/>
        <v>0</v>
      </c>
      <c r="Z13" s="70"/>
      <c r="AA13" s="14">
        <f t="shared" si="1"/>
        <v>1.64</v>
      </c>
      <c r="AB13" s="15">
        <v>0</v>
      </c>
      <c r="AC13" s="16">
        <f t="shared" si="2"/>
        <v>9.84</v>
      </c>
      <c r="AD13" s="70"/>
      <c r="AF13" s="19" t="s">
        <v>16</v>
      </c>
      <c r="AG13" s="30">
        <f t="shared" si="3"/>
        <v>46007</v>
      </c>
      <c r="AH13" s="31">
        <f t="shared" si="4"/>
        <v>20000</v>
      </c>
      <c r="AI13" s="31">
        <f t="shared" si="5"/>
        <v>0</v>
      </c>
      <c r="AJ13" s="34">
        <f t="shared" si="6"/>
        <v>0</v>
      </c>
      <c r="AK13" s="31">
        <f t="shared" si="7"/>
        <v>0</v>
      </c>
      <c r="AL13" s="32">
        <f t="shared" si="16"/>
        <v>0</v>
      </c>
    </row>
    <row r="14" spans="1:44" outlineLevel="1" x14ac:dyDescent="0.45">
      <c r="A14" s="27">
        <v>46008</v>
      </c>
      <c r="B14" s="28">
        <f t="shared" si="10"/>
        <v>1</v>
      </c>
      <c r="C14" s="14">
        <v>0</v>
      </c>
      <c r="D14" s="15">
        <v>0</v>
      </c>
      <c r="E14" s="16">
        <f t="shared" si="8"/>
        <v>20000</v>
      </c>
      <c r="F14" s="2"/>
      <c r="G14" s="33">
        <f t="shared" si="17"/>
        <v>12.05</v>
      </c>
      <c r="H14" s="34">
        <v>0</v>
      </c>
      <c r="I14" s="16">
        <f t="shared" si="11"/>
        <v>84.35</v>
      </c>
      <c r="K14" s="14">
        <v>0</v>
      </c>
      <c r="L14" s="15">
        <v>0</v>
      </c>
      <c r="M14" s="16">
        <f t="shared" si="9"/>
        <v>0</v>
      </c>
      <c r="O14" s="33">
        <f t="shared" si="12"/>
        <v>0</v>
      </c>
      <c r="P14" s="34">
        <v>0</v>
      </c>
      <c r="Q14" s="16">
        <f t="shared" si="13"/>
        <v>0</v>
      </c>
      <c r="S14" s="33">
        <v>0</v>
      </c>
      <c r="T14" s="34">
        <v>0</v>
      </c>
      <c r="U14" s="16">
        <f t="shared" si="14"/>
        <v>0</v>
      </c>
      <c r="W14" s="14">
        <f t="shared" si="0"/>
        <v>0</v>
      </c>
      <c r="X14" s="15">
        <v>0</v>
      </c>
      <c r="Y14" s="16">
        <f t="shared" si="15"/>
        <v>0</v>
      </c>
      <c r="Z14" s="70"/>
      <c r="AA14" s="14">
        <f t="shared" si="1"/>
        <v>1.64</v>
      </c>
      <c r="AB14" s="15">
        <v>0</v>
      </c>
      <c r="AC14" s="16">
        <f t="shared" si="2"/>
        <v>11.48</v>
      </c>
      <c r="AD14" s="70"/>
      <c r="AF14" s="19" t="s">
        <v>16</v>
      </c>
      <c r="AG14" s="30">
        <f t="shared" si="3"/>
        <v>46008</v>
      </c>
      <c r="AH14" s="31">
        <f t="shared" si="4"/>
        <v>20000</v>
      </c>
      <c r="AI14" s="31">
        <f t="shared" si="5"/>
        <v>0</v>
      </c>
      <c r="AJ14" s="34">
        <f t="shared" si="6"/>
        <v>0</v>
      </c>
      <c r="AK14" s="31">
        <f t="shared" si="7"/>
        <v>0</v>
      </c>
      <c r="AL14" s="32">
        <f t="shared" si="16"/>
        <v>0</v>
      </c>
    </row>
    <row r="15" spans="1:44" outlineLevel="1" x14ac:dyDescent="0.45">
      <c r="A15" s="27">
        <v>46009</v>
      </c>
      <c r="B15" s="28">
        <f t="shared" si="10"/>
        <v>1</v>
      </c>
      <c r="C15" s="14">
        <v>0</v>
      </c>
      <c r="D15" s="15">
        <v>0</v>
      </c>
      <c r="E15" s="16">
        <f t="shared" si="8"/>
        <v>20000</v>
      </c>
      <c r="F15" s="2"/>
      <c r="G15" s="33">
        <f t="shared" si="17"/>
        <v>12.05</v>
      </c>
      <c r="H15" s="34">
        <v>0</v>
      </c>
      <c r="I15" s="16">
        <f t="shared" si="11"/>
        <v>96.399999999999991</v>
      </c>
      <c r="K15" s="14">
        <v>0</v>
      </c>
      <c r="L15" s="15">
        <v>0</v>
      </c>
      <c r="M15" s="16">
        <f t="shared" si="9"/>
        <v>0</v>
      </c>
      <c r="O15" s="33">
        <f t="shared" si="12"/>
        <v>0</v>
      </c>
      <c r="P15" s="34">
        <v>0</v>
      </c>
      <c r="Q15" s="16">
        <f t="shared" si="13"/>
        <v>0</v>
      </c>
      <c r="S15" s="33">
        <v>0</v>
      </c>
      <c r="T15" s="34">
        <v>0</v>
      </c>
      <c r="U15" s="16">
        <f t="shared" si="14"/>
        <v>0</v>
      </c>
      <c r="W15" s="14">
        <f t="shared" si="0"/>
        <v>0</v>
      </c>
      <c r="X15" s="15">
        <v>0</v>
      </c>
      <c r="Y15" s="16">
        <f t="shared" si="15"/>
        <v>0</v>
      </c>
      <c r="Z15" s="70"/>
      <c r="AA15" s="14">
        <f t="shared" si="1"/>
        <v>1.64</v>
      </c>
      <c r="AB15" s="15">
        <v>0</v>
      </c>
      <c r="AC15" s="16">
        <f t="shared" si="2"/>
        <v>13.120000000000001</v>
      </c>
      <c r="AD15" s="70"/>
      <c r="AF15" s="19" t="s">
        <v>16</v>
      </c>
      <c r="AG15" s="30">
        <f t="shared" si="3"/>
        <v>46009</v>
      </c>
      <c r="AH15" s="31">
        <f t="shared" si="4"/>
        <v>20000</v>
      </c>
      <c r="AI15" s="31">
        <f t="shared" si="5"/>
        <v>0</v>
      </c>
      <c r="AJ15" s="34">
        <f t="shared" si="6"/>
        <v>0</v>
      </c>
      <c r="AK15" s="31">
        <f t="shared" si="7"/>
        <v>0</v>
      </c>
      <c r="AL15" s="32">
        <f t="shared" si="16"/>
        <v>0</v>
      </c>
    </row>
    <row r="16" spans="1:44" outlineLevel="1" x14ac:dyDescent="0.45">
      <c r="A16" s="27">
        <v>46010</v>
      </c>
      <c r="B16" s="28">
        <f t="shared" si="10"/>
        <v>1</v>
      </c>
      <c r="C16" s="14">
        <v>0</v>
      </c>
      <c r="D16" s="15">
        <v>0</v>
      </c>
      <c r="E16" s="16">
        <f t="shared" si="8"/>
        <v>20000</v>
      </c>
      <c r="F16" s="2"/>
      <c r="G16" s="33">
        <f t="shared" si="17"/>
        <v>12.05</v>
      </c>
      <c r="H16" s="34">
        <v>0</v>
      </c>
      <c r="I16" s="16">
        <f t="shared" si="11"/>
        <v>108.44999999999999</v>
      </c>
      <c r="K16" s="14">
        <v>0</v>
      </c>
      <c r="L16" s="15">
        <v>0</v>
      </c>
      <c r="M16" s="16">
        <f t="shared" si="9"/>
        <v>0</v>
      </c>
      <c r="O16" s="33">
        <f t="shared" si="12"/>
        <v>0</v>
      </c>
      <c r="P16" s="34">
        <v>0</v>
      </c>
      <c r="Q16" s="16">
        <f t="shared" si="13"/>
        <v>0</v>
      </c>
      <c r="S16" s="33">
        <v>0</v>
      </c>
      <c r="T16" s="34">
        <v>0</v>
      </c>
      <c r="U16" s="16">
        <f t="shared" si="14"/>
        <v>0</v>
      </c>
      <c r="W16" s="14">
        <f t="shared" si="0"/>
        <v>0</v>
      </c>
      <c r="X16" s="15">
        <v>0</v>
      </c>
      <c r="Y16" s="16">
        <f t="shared" si="15"/>
        <v>0</v>
      </c>
      <c r="Z16" s="70"/>
      <c r="AA16" s="14">
        <f t="shared" si="1"/>
        <v>1.64</v>
      </c>
      <c r="AB16" s="15">
        <v>0</v>
      </c>
      <c r="AC16" s="16">
        <f t="shared" si="2"/>
        <v>14.760000000000002</v>
      </c>
      <c r="AD16" s="70"/>
      <c r="AF16" s="19" t="s">
        <v>16</v>
      </c>
      <c r="AG16" s="30">
        <f t="shared" si="3"/>
        <v>46010</v>
      </c>
      <c r="AH16" s="31">
        <f t="shared" si="4"/>
        <v>20000</v>
      </c>
      <c r="AI16" s="31">
        <f t="shared" si="5"/>
        <v>0</v>
      </c>
      <c r="AJ16" s="34">
        <f t="shared" si="6"/>
        <v>0</v>
      </c>
      <c r="AK16" s="31">
        <f t="shared" si="7"/>
        <v>0</v>
      </c>
      <c r="AL16" s="32">
        <f t="shared" si="16"/>
        <v>0</v>
      </c>
    </row>
    <row r="17" spans="1:44" outlineLevel="1" x14ac:dyDescent="0.45">
      <c r="A17" s="27">
        <v>46011</v>
      </c>
      <c r="B17" s="28">
        <f t="shared" si="10"/>
        <v>1</v>
      </c>
      <c r="C17" s="14">
        <v>0</v>
      </c>
      <c r="D17" s="15">
        <v>0</v>
      </c>
      <c r="E17" s="16">
        <f t="shared" si="8"/>
        <v>20000</v>
      </c>
      <c r="F17" s="2"/>
      <c r="G17" s="33">
        <f t="shared" si="17"/>
        <v>12.05</v>
      </c>
      <c r="H17" s="34">
        <v>0</v>
      </c>
      <c r="I17" s="16">
        <f t="shared" si="11"/>
        <v>120.49999999999999</v>
      </c>
      <c r="K17" s="14">
        <v>0</v>
      </c>
      <c r="L17" s="15">
        <v>0</v>
      </c>
      <c r="M17" s="16">
        <f t="shared" si="9"/>
        <v>0</v>
      </c>
      <c r="O17" s="33">
        <f t="shared" si="12"/>
        <v>0</v>
      </c>
      <c r="P17" s="34">
        <v>0</v>
      </c>
      <c r="Q17" s="16">
        <f t="shared" si="13"/>
        <v>0</v>
      </c>
      <c r="S17" s="33">
        <v>0</v>
      </c>
      <c r="T17" s="34">
        <v>0</v>
      </c>
      <c r="U17" s="16">
        <f t="shared" si="14"/>
        <v>0</v>
      </c>
      <c r="W17" s="14">
        <f t="shared" si="0"/>
        <v>0</v>
      </c>
      <c r="X17" s="15">
        <v>0</v>
      </c>
      <c r="Y17" s="16">
        <f t="shared" si="15"/>
        <v>0</v>
      </c>
      <c r="Z17" s="70"/>
      <c r="AA17" s="14">
        <f t="shared" si="1"/>
        <v>1.64</v>
      </c>
      <c r="AB17" s="15">
        <v>0</v>
      </c>
      <c r="AC17" s="16">
        <f t="shared" si="2"/>
        <v>16.400000000000002</v>
      </c>
      <c r="AD17" s="70"/>
      <c r="AF17" s="19" t="s">
        <v>16</v>
      </c>
      <c r="AG17" s="30">
        <f t="shared" si="3"/>
        <v>46011</v>
      </c>
      <c r="AH17" s="31">
        <f t="shared" si="4"/>
        <v>20000</v>
      </c>
      <c r="AI17" s="31">
        <f t="shared" si="5"/>
        <v>0</v>
      </c>
      <c r="AJ17" s="34">
        <f t="shared" si="6"/>
        <v>0</v>
      </c>
      <c r="AK17" s="31">
        <f t="shared" si="7"/>
        <v>0</v>
      </c>
      <c r="AL17" s="32">
        <f t="shared" si="16"/>
        <v>0</v>
      </c>
    </row>
    <row r="18" spans="1:44" outlineLevel="1" x14ac:dyDescent="0.45">
      <c r="A18" s="27">
        <v>46012</v>
      </c>
      <c r="B18" s="28">
        <f t="shared" si="10"/>
        <v>1</v>
      </c>
      <c r="C18" s="14">
        <v>0</v>
      </c>
      <c r="D18" s="15">
        <v>0</v>
      </c>
      <c r="E18" s="16">
        <f t="shared" si="8"/>
        <v>20000</v>
      </c>
      <c r="F18" s="2"/>
      <c r="G18" s="33">
        <f t="shared" si="17"/>
        <v>12.05</v>
      </c>
      <c r="H18" s="34">
        <v>0</v>
      </c>
      <c r="I18" s="16">
        <f t="shared" si="11"/>
        <v>132.54999999999998</v>
      </c>
      <c r="K18" s="14">
        <v>0</v>
      </c>
      <c r="L18" s="15">
        <v>0</v>
      </c>
      <c r="M18" s="16">
        <f t="shared" si="9"/>
        <v>0</v>
      </c>
      <c r="O18" s="33">
        <f t="shared" si="12"/>
        <v>0</v>
      </c>
      <c r="P18" s="34">
        <v>0</v>
      </c>
      <c r="Q18" s="16">
        <f t="shared" si="13"/>
        <v>0</v>
      </c>
      <c r="S18" s="33">
        <v>0</v>
      </c>
      <c r="T18" s="34">
        <v>0</v>
      </c>
      <c r="U18" s="16">
        <f t="shared" si="14"/>
        <v>0</v>
      </c>
      <c r="W18" s="14">
        <f t="shared" si="0"/>
        <v>0</v>
      </c>
      <c r="X18" s="15">
        <v>0</v>
      </c>
      <c r="Y18" s="16">
        <f t="shared" si="15"/>
        <v>0</v>
      </c>
      <c r="Z18" s="70"/>
      <c r="AA18" s="14">
        <f t="shared" si="1"/>
        <v>1.64</v>
      </c>
      <c r="AB18" s="15">
        <v>0</v>
      </c>
      <c r="AC18" s="16">
        <f t="shared" si="2"/>
        <v>18.040000000000003</v>
      </c>
      <c r="AD18" s="70"/>
      <c r="AF18" s="19" t="s">
        <v>16</v>
      </c>
      <c r="AG18" s="30">
        <f t="shared" si="3"/>
        <v>46012</v>
      </c>
      <c r="AH18" s="31">
        <f t="shared" si="4"/>
        <v>20000</v>
      </c>
      <c r="AI18" s="31">
        <f t="shared" si="5"/>
        <v>0</v>
      </c>
      <c r="AJ18" s="34">
        <f t="shared" si="6"/>
        <v>0</v>
      </c>
      <c r="AK18" s="31">
        <f t="shared" si="7"/>
        <v>0</v>
      </c>
      <c r="AL18" s="32">
        <f t="shared" si="16"/>
        <v>0</v>
      </c>
    </row>
    <row r="19" spans="1:44" outlineLevel="1" x14ac:dyDescent="0.45">
      <c r="A19" s="27">
        <v>46013</v>
      </c>
      <c r="B19" s="28">
        <f t="shared" si="10"/>
        <v>1</v>
      </c>
      <c r="C19" s="14">
        <v>0</v>
      </c>
      <c r="D19" s="15">
        <v>0</v>
      </c>
      <c r="E19" s="16">
        <f t="shared" si="8"/>
        <v>20000</v>
      </c>
      <c r="F19" s="2"/>
      <c r="G19" s="33">
        <f t="shared" si="17"/>
        <v>12.05</v>
      </c>
      <c r="H19" s="34">
        <v>0</v>
      </c>
      <c r="I19" s="16">
        <f t="shared" si="11"/>
        <v>144.6</v>
      </c>
      <c r="K19" s="14">
        <v>0</v>
      </c>
      <c r="L19" s="15">
        <v>0</v>
      </c>
      <c r="M19" s="16">
        <f t="shared" si="9"/>
        <v>0</v>
      </c>
      <c r="O19" s="33">
        <f t="shared" si="12"/>
        <v>0</v>
      </c>
      <c r="P19" s="34">
        <v>0</v>
      </c>
      <c r="Q19" s="16">
        <f t="shared" si="13"/>
        <v>0</v>
      </c>
      <c r="S19" s="33">
        <v>0</v>
      </c>
      <c r="T19" s="34">
        <v>0</v>
      </c>
      <c r="U19" s="16">
        <f t="shared" si="14"/>
        <v>0</v>
      </c>
      <c r="W19" s="14">
        <f t="shared" si="0"/>
        <v>0</v>
      </c>
      <c r="X19" s="15">
        <v>0</v>
      </c>
      <c r="Y19" s="16">
        <f t="shared" si="15"/>
        <v>0</v>
      </c>
      <c r="Z19" s="70"/>
      <c r="AA19" s="14">
        <f t="shared" si="1"/>
        <v>1.64</v>
      </c>
      <c r="AB19" s="15">
        <v>0</v>
      </c>
      <c r="AC19" s="16">
        <f t="shared" si="2"/>
        <v>19.680000000000003</v>
      </c>
      <c r="AD19" s="70"/>
      <c r="AF19" s="19" t="s">
        <v>16</v>
      </c>
      <c r="AG19" s="30">
        <f t="shared" si="3"/>
        <v>46013</v>
      </c>
      <c r="AH19" s="31">
        <f t="shared" si="4"/>
        <v>20000</v>
      </c>
      <c r="AI19" s="31">
        <f t="shared" si="5"/>
        <v>0</v>
      </c>
      <c r="AJ19" s="34">
        <f t="shared" si="6"/>
        <v>0</v>
      </c>
      <c r="AK19" s="31">
        <f t="shared" si="7"/>
        <v>0</v>
      </c>
      <c r="AL19" s="32">
        <f t="shared" si="16"/>
        <v>0</v>
      </c>
    </row>
    <row r="20" spans="1:44" outlineLevel="1" x14ac:dyDescent="0.45">
      <c r="A20" s="27">
        <v>46014</v>
      </c>
      <c r="B20" s="28">
        <f t="shared" si="10"/>
        <v>1</v>
      </c>
      <c r="C20" s="14">
        <v>0</v>
      </c>
      <c r="D20" s="15">
        <v>0</v>
      </c>
      <c r="E20" s="16">
        <f t="shared" si="8"/>
        <v>20000</v>
      </c>
      <c r="F20" s="2"/>
      <c r="G20" s="33">
        <f t="shared" si="17"/>
        <v>12.05</v>
      </c>
      <c r="H20" s="34">
        <v>0</v>
      </c>
      <c r="I20" s="16">
        <f t="shared" si="11"/>
        <v>156.65</v>
      </c>
      <c r="K20" s="14">
        <v>0</v>
      </c>
      <c r="L20" s="15">
        <v>0</v>
      </c>
      <c r="M20" s="16">
        <f t="shared" si="9"/>
        <v>0</v>
      </c>
      <c r="O20" s="33">
        <f t="shared" si="12"/>
        <v>0</v>
      </c>
      <c r="P20" s="34">
        <v>0</v>
      </c>
      <c r="Q20" s="16">
        <f t="shared" si="13"/>
        <v>0</v>
      </c>
      <c r="S20" s="33">
        <v>0</v>
      </c>
      <c r="T20" s="34">
        <v>0</v>
      </c>
      <c r="U20" s="16">
        <f t="shared" si="14"/>
        <v>0</v>
      </c>
      <c r="W20" s="14">
        <f t="shared" si="0"/>
        <v>0</v>
      </c>
      <c r="X20" s="15">
        <v>0</v>
      </c>
      <c r="Y20" s="16">
        <f t="shared" si="15"/>
        <v>0</v>
      </c>
      <c r="Z20" s="70"/>
      <c r="AA20" s="14">
        <f t="shared" si="1"/>
        <v>1.64</v>
      </c>
      <c r="AB20" s="15">
        <v>0</v>
      </c>
      <c r="AC20" s="16">
        <f t="shared" si="2"/>
        <v>21.320000000000004</v>
      </c>
      <c r="AD20" s="70"/>
      <c r="AF20" s="19" t="s">
        <v>16</v>
      </c>
      <c r="AG20" s="30">
        <f t="shared" si="3"/>
        <v>46014</v>
      </c>
      <c r="AH20" s="31">
        <f t="shared" si="4"/>
        <v>20000</v>
      </c>
      <c r="AI20" s="31">
        <f t="shared" si="5"/>
        <v>0</v>
      </c>
      <c r="AJ20" s="34">
        <f t="shared" si="6"/>
        <v>0</v>
      </c>
      <c r="AK20" s="31">
        <f t="shared" si="7"/>
        <v>0</v>
      </c>
      <c r="AL20" s="32">
        <f t="shared" si="16"/>
        <v>0</v>
      </c>
    </row>
    <row r="21" spans="1:44" s="3" customFormat="1" outlineLevel="1" x14ac:dyDescent="0.45">
      <c r="A21" s="27">
        <v>46015</v>
      </c>
      <c r="B21" s="28">
        <f t="shared" si="10"/>
        <v>1</v>
      </c>
      <c r="C21" s="14">
        <v>0</v>
      </c>
      <c r="D21" s="15">
        <v>0</v>
      </c>
      <c r="E21" s="16">
        <f t="shared" si="8"/>
        <v>20000</v>
      </c>
      <c r="F21" s="2"/>
      <c r="G21" s="33">
        <f t="shared" si="17"/>
        <v>12.05</v>
      </c>
      <c r="H21" s="34">
        <v>0</v>
      </c>
      <c r="I21" s="16">
        <f t="shared" si="11"/>
        <v>168.70000000000002</v>
      </c>
      <c r="J21" s="2"/>
      <c r="K21" s="14">
        <v>0</v>
      </c>
      <c r="L21" s="15">
        <v>0</v>
      </c>
      <c r="M21" s="16">
        <f t="shared" si="9"/>
        <v>0</v>
      </c>
      <c r="N21" s="2"/>
      <c r="O21" s="33">
        <f t="shared" si="12"/>
        <v>0</v>
      </c>
      <c r="P21" s="34">
        <v>0</v>
      </c>
      <c r="Q21" s="16">
        <f t="shared" si="13"/>
        <v>0</v>
      </c>
      <c r="R21" s="2"/>
      <c r="S21" s="33">
        <v>0</v>
      </c>
      <c r="T21" s="34">
        <v>0</v>
      </c>
      <c r="U21" s="16">
        <f t="shared" si="14"/>
        <v>0</v>
      </c>
      <c r="V21" s="2"/>
      <c r="W21" s="14">
        <f t="shared" si="0"/>
        <v>0</v>
      </c>
      <c r="X21" s="15">
        <v>0</v>
      </c>
      <c r="Y21" s="16">
        <f t="shared" si="15"/>
        <v>0</v>
      </c>
      <c r="Z21" s="70"/>
      <c r="AA21" s="14">
        <f t="shared" si="1"/>
        <v>1.64</v>
      </c>
      <c r="AB21" s="15">
        <v>0</v>
      </c>
      <c r="AC21" s="16">
        <f t="shared" si="2"/>
        <v>22.960000000000004</v>
      </c>
      <c r="AD21" s="70"/>
      <c r="AE21" s="2"/>
      <c r="AF21" s="19" t="s">
        <v>16</v>
      </c>
      <c r="AG21" s="30">
        <f t="shared" si="3"/>
        <v>46015</v>
      </c>
      <c r="AH21" s="31">
        <f t="shared" si="4"/>
        <v>20000</v>
      </c>
      <c r="AI21" s="31">
        <f t="shared" si="5"/>
        <v>0</v>
      </c>
      <c r="AJ21" s="34">
        <f t="shared" si="6"/>
        <v>0</v>
      </c>
      <c r="AK21" s="31">
        <f t="shared" si="7"/>
        <v>0</v>
      </c>
      <c r="AL21" s="32">
        <f t="shared" si="16"/>
        <v>0</v>
      </c>
      <c r="AN21" s="12"/>
      <c r="AO21" s="5"/>
      <c r="AP21" s="13"/>
      <c r="AQ21" s="12"/>
      <c r="AR21" s="12"/>
    </row>
    <row r="22" spans="1:44" outlineLevel="1" x14ac:dyDescent="0.45">
      <c r="A22" s="27">
        <v>46016</v>
      </c>
      <c r="B22" s="28">
        <f t="shared" si="10"/>
        <v>1</v>
      </c>
      <c r="C22" s="14">
        <v>0</v>
      </c>
      <c r="D22" s="15">
        <v>0</v>
      </c>
      <c r="E22" s="16">
        <f t="shared" si="8"/>
        <v>20000</v>
      </c>
      <c r="F22" s="2"/>
      <c r="G22" s="33">
        <f t="shared" si="17"/>
        <v>12.05</v>
      </c>
      <c r="H22" s="34">
        <v>0</v>
      </c>
      <c r="I22" s="16">
        <f t="shared" si="11"/>
        <v>180.75000000000003</v>
      </c>
      <c r="K22" s="14">
        <v>0</v>
      </c>
      <c r="L22" s="15">
        <v>0</v>
      </c>
      <c r="M22" s="16">
        <f t="shared" si="9"/>
        <v>0</v>
      </c>
      <c r="O22" s="33">
        <f t="shared" si="12"/>
        <v>0</v>
      </c>
      <c r="P22" s="34">
        <v>0</v>
      </c>
      <c r="Q22" s="16">
        <f t="shared" si="13"/>
        <v>0</v>
      </c>
      <c r="S22" s="33">
        <v>0</v>
      </c>
      <c r="T22" s="34">
        <v>0</v>
      </c>
      <c r="U22" s="16">
        <f t="shared" si="14"/>
        <v>0</v>
      </c>
      <c r="W22" s="14">
        <f t="shared" si="0"/>
        <v>0</v>
      </c>
      <c r="X22" s="15">
        <v>0</v>
      </c>
      <c r="Y22" s="16">
        <f t="shared" si="15"/>
        <v>0</v>
      </c>
      <c r="Z22" s="70"/>
      <c r="AA22" s="14">
        <f t="shared" si="1"/>
        <v>1.64</v>
      </c>
      <c r="AB22" s="15">
        <v>0</v>
      </c>
      <c r="AC22" s="16">
        <f t="shared" si="2"/>
        <v>24.600000000000005</v>
      </c>
      <c r="AD22" s="70"/>
      <c r="AF22" s="19" t="s">
        <v>16</v>
      </c>
      <c r="AG22" s="30">
        <f t="shared" si="3"/>
        <v>46016</v>
      </c>
      <c r="AH22" s="31">
        <f t="shared" si="4"/>
        <v>20000</v>
      </c>
      <c r="AI22" s="31">
        <f t="shared" si="5"/>
        <v>0</v>
      </c>
      <c r="AJ22" s="34">
        <f t="shared" si="6"/>
        <v>0</v>
      </c>
      <c r="AK22" s="31">
        <f t="shared" si="7"/>
        <v>0</v>
      </c>
      <c r="AL22" s="32">
        <f t="shared" si="16"/>
        <v>0</v>
      </c>
    </row>
    <row r="23" spans="1:44" outlineLevel="1" x14ac:dyDescent="0.45">
      <c r="A23" s="27">
        <v>46017</v>
      </c>
      <c r="B23" s="28">
        <f t="shared" si="10"/>
        <v>1</v>
      </c>
      <c r="C23" s="14">
        <v>0</v>
      </c>
      <c r="D23" s="15">
        <v>0</v>
      </c>
      <c r="E23" s="16">
        <f t="shared" si="8"/>
        <v>20000</v>
      </c>
      <c r="F23" s="2"/>
      <c r="G23" s="33">
        <f t="shared" si="17"/>
        <v>12.05</v>
      </c>
      <c r="H23" s="34">
        <v>0</v>
      </c>
      <c r="I23" s="16">
        <f t="shared" si="11"/>
        <v>192.80000000000004</v>
      </c>
      <c r="K23" s="14">
        <v>0</v>
      </c>
      <c r="L23" s="15">
        <v>0</v>
      </c>
      <c r="M23" s="16">
        <f t="shared" si="9"/>
        <v>0</v>
      </c>
      <c r="O23" s="33">
        <f t="shared" si="12"/>
        <v>0</v>
      </c>
      <c r="P23" s="34">
        <v>0</v>
      </c>
      <c r="Q23" s="16">
        <f t="shared" si="13"/>
        <v>0</v>
      </c>
      <c r="S23" s="33">
        <v>0</v>
      </c>
      <c r="T23" s="34">
        <v>0</v>
      </c>
      <c r="U23" s="16">
        <f t="shared" si="14"/>
        <v>0</v>
      </c>
      <c r="W23" s="14">
        <f t="shared" si="0"/>
        <v>0</v>
      </c>
      <c r="X23" s="15">
        <v>0</v>
      </c>
      <c r="Y23" s="16">
        <f t="shared" si="15"/>
        <v>0</v>
      </c>
      <c r="Z23" s="70"/>
      <c r="AA23" s="14">
        <f t="shared" si="1"/>
        <v>1.64</v>
      </c>
      <c r="AB23" s="15">
        <v>0</v>
      </c>
      <c r="AC23" s="16">
        <f t="shared" si="2"/>
        <v>26.240000000000006</v>
      </c>
      <c r="AD23" s="70"/>
      <c r="AF23" s="19" t="s">
        <v>16</v>
      </c>
      <c r="AG23" s="30">
        <f t="shared" si="3"/>
        <v>46017</v>
      </c>
      <c r="AH23" s="31">
        <f t="shared" si="4"/>
        <v>20000</v>
      </c>
      <c r="AI23" s="31">
        <f t="shared" si="5"/>
        <v>0</v>
      </c>
      <c r="AJ23" s="34">
        <f t="shared" si="6"/>
        <v>0</v>
      </c>
      <c r="AK23" s="31">
        <f t="shared" si="7"/>
        <v>0</v>
      </c>
      <c r="AL23" s="32">
        <f t="shared" si="16"/>
        <v>0</v>
      </c>
    </row>
    <row r="24" spans="1:44" outlineLevel="1" x14ac:dyDescent="0.45">
      <c r="A24" s="27">
        <v>46018</v>
      </c>
      <c r="B24" s="28">
        <f t="shared" si="10"/>
        <v>1</v>
      </c>
      <c r="C24" s="14">
        <v>0</v>
      </c>
      <c r="D24" s="15">
        <v>0</v>
      </c>
      <c r="E24" s="16">
        <f t="shared" si="8"/>
        <v>20000</v>
      </c>
      <c r="F24" s="2"/>
      <c r="G24" s="33">
        <f t="shared" si="17"/>
        <v>12.05</v>
      </c>
      <c r="H24" s="34">
        <v>0</v>
      </c>
      <c r="I24" s="16">
        <f t="shared" si="11"/>
        <v>204.85000000000005</v>
      </c>
      <c r="K24" s="14">
        <v>0</v>
      </c>
      <c r="L24" s="15">
        <v>0</v>
      </c>
      <c r="M24" s="16">
        <f t="shared" si="9"/>
        <v>0</v>
      </c>
      <c r="O24" s="33">
        <f t="shared" si="12"/>
        <v>0</v>
      </c>
      <c r="P24" s="34">
        <v>0</v>
      </c>
      <c r="Q24" s="16">
        <f t="shared" si="13"/>
        <v>0</v>
      </c>
      <c r="S24" s="33">
        <v>0</v>
      </c>
      <c r="T24" s="34">
        <v>0</v>
      </c>
      <c r="U24" s="16">
        <f t="shared" si="14"/>
        <v>0</v>
      </c>
      <c r="W24" s="14">
        <f t="shared" si="0"/>
        <v>0</v>
      </c>
      <c r="X24" s="15">
        <v>0</v>
      </c>
      <c r="Y24" s="16">
        <f t="shared" si="15"/>
        <v>0</v>
      </c>
      <c r="Z24" s="70"/>
      <c r="AA24" s="14">
        <f t="shared" si="1"/>
        <v>1.64</v>
      </c>
      <c r="AB24" s="15">
        <v>0</v>
      </c>
      <c r="AC24" s="16">
        <f t="shared" si="2"/>
        <v>27.880000000000006</v>
      </c>
      <c r="AD24" s="70"/>
      <c r="AF24" s="19" t="s">
        <v>16</v>
      </c>
      <c r="AG24" s="30">
        <f t="shared" si="3"/>
        <v>46018</v>
      </c>
      <c r="AH24" s="31">
        <f t="shared" si="4"/>
        <v>20000</v>
      </c>
      <c r="AI24" s="31">
        <f t="shared" si="5"/>
        <v>0</v>
      </c>
      <c r="AJ24" s="34">
        <f t="shared" si="6"/>
        <v>0</v>
      </c>
      <c r="AK24" s="31">
        <f t="shared" si="7"/>
        <v>0</v>
      </c>
      <c r="AL24" s="32">
        <f t="shared" si="16"/>
        <v>0</v>
      </c>
    </row>
    <row r="25" spans="1:44" outlineLevel="1" x14ac:dyDescent="0.45">
      <c r="A25" s="27">
        <v>46019</v>
      </c>
      <c r="B25" s="28">
        <f t="shared" si="10"/>
        <v>1</v>
      </c>
      <c r="C25" s="14">
        <v>0</v>
      </c>
      <c r="D25" s="15">
        <v>0</v>
      </c>
      <c r="E25" s="16">
        <f t="shared" si="8"/>
        <v>20000</v>
      </c>
      <c r="F25" s="2"/>
      <c r="G25" s="33">
        <f t="shared" si="17"/>
        <v>12.05</v>
      </c>
      <c r="H25" s="34">
        <v>0</v>
      </c>
      <c r="I25" s="16">
        <f t="shared" si="11"/>
        <v>216.90000000000006</v>
      </c>
      <c r="K25" s="14">
        <v>0</v>
      </c>
      <c r="L25" s="15">
        <v>0</v>
      </c>
      <c r="M25" s="16">
        <f t="shared" si="9"/>
        <v>0</v>
      </c>
      <c r="O25" s="33">
        <f t="shared" si="12"/>
        <v>0</v>
      </c>
      <c r="P25" s="34">
        <v>0</v>
      </c>
      <c r="Q25" s="16">
        <f t="shared" si="13"/>
        <v>0</v>
      </c>
      <c r="S25" s="33">
        <v>0</v>
      </c>
      <c r="T25" s="34">
        <v>0</v>
      </c>
      <c r="U25" s="16">
        <f t="shared" si="14"/>
        <v>0</v>
      </c>
      <c r="W25" s="14">
        <f t="shared" si="0"/>
        <v>0</v>
      </c>
      <c r="X25" s="15">
        <v>0</v>
      </c>
      <c r="Y25" s="16">
        <f t="shared" si="15"/>
        <v>0</v>
      </c>
      <c r="Z25" s="70"/>
      <c r="AA25" s="14">
        <f t="shared" si="1"/>
        <v>1.64</v>
      </c>
      <c r="AB25" s="15">
        <v>0</v>
      </c>
      <c r="AC25" s="16">
        <f t="shared" si="2"/>
        <v>29.520000000000007</v>
      </c>
      <c r="AD25" s="70"/>
      <c r="AF25" s="19" t="s">
        <v>16</v>
      </c>
      <c r="AG25" s="30">
        <f t="shared" si="3"/>
        <v>46019</v>
      </c>
      <c r="AH25" s="31">
        <f t="shared" si="4"/>
        <v>20000</v>
      </c>
      <c r="AI25" s="31">
        <f t="shared" si="5"/>
        <v>0</v>
      </c>
      <c r="AJ25" s="34">
        <f t="shared" si="6"/>
        <v>0</v>
      </c>
      <c r="AK25" s="31">
        <f t="shared" si="7"/>
        <v>0</v>
      </c>
      <c r="AL25" s="32">
        <f t="shared" si="16"/>
        <v>0</v>
      </c>
    </row>
    <row r="26" spans="1:44" outlineLevel="1" x14ac:dyDescent="0.45">
      <c r="A26" s="27">
        <v>46020</v>
      </c>
      <c r="B26" s="28">
        <f t="shared" si="10"/>
        <v>1</v>
      </c>
      <c r="C26" s="14">
        <v>0</v>
      </c>
      <c r="D26" s="15">
        <v>0</v>
      </c>
      <c r="E26" s="16">
        <f t="shared" si="8"/>
        <v>20000</v>
      </c>
      <c r="F26" s="2"/>
      <c r="G26" s="33">
        <f t="shared" si="17"/>
        <v>12.05</v>
      </c>
      <c r="H26" s="34">
        <v>0</v>
      </c>
      <c r="I26" s="16">
        <f t="shared" si="11"/>
        <v>228.95000000000007</v>
      </c>
      <c r="K26" s="14">
        <v>0</v>
      </c>
      <c r="L26" s="15">
        <v>0</v>
      </c>
      <c r="M26" s="16">
        <f t="shared" si="9"/>
        <v>0</v>
      </c>
      <c r="O26" s="33">
        <f t="shared" si="12"/>
        <v>0</v>
      </c>
      <c r="P26" s="34">
        <v>0</v>
      </c>
      <c r="Q26" s="16">
        <f t="shared" si="13"/>
        <v>0</v>
      </c>
      <c r="S26" s="33">
        <v>0</v>
      </c>
      <c r="T26" s="34">
        <v>0</v>
      </c>
      <c r="U26" s="16">
        <f t="shared" si="14"/>
        <v>0</v>
      </c>
      <c r="W26" s="14">
        <f t="shared" si="0"/>
        <v>0</v>
      </c>
      <c r="X26" s="15">
        <v>0</v>
      </c>
      <c r="Y26" s="16">
        <f t="shared" si="15"/>
        <v>0</v>
      </c>
      <c r="Z26" s="70"/>
      <c r="AA26" s="14">
        <f t="shared" si="1"/>
        <v>1.64</v>
      </c>
      <c r="AB26" s="15">
        <v>0</v>
      </c>
      <c r="AC26" s="16">
        <f t="shared" si="2"/>
        <v>31.160000000000007</v>
      </c>
      <c r="AD26" s="70"/>
      <c r="AF26" s="19" t="s">
        <v>16</v>
      </c>
      <c r="AG26" s="30">
        <f t="shared" si="3"/>
        <v>46020</v>
      </c>
      <c r="AH26" s="31">
        <f t="shared" si="4"/>
        <v>20000</v>
      </c>
      <c r="AI26" s="31">
        <f t="shared" si="5"/>
        <v>0</v>
      </c>
      <c r="AJ26" s="34">
        <f t="shared" si="6"/>
        <v>0</v>
      </c>
      <c r="AK26" s="31">
        <f t="shared" si="7"/>
        <v>0</v>
      </c>
      <c r="AL26" s="32">
        <f t="shared" si="16"/>
        <v>0</v>
      </c>
    </row>
    <row r="27" spans="1:44" outlineLevel="1" x14ac:dyDescent="0.45">
      <c r="A27" s="27">
        <v>46021</v>
      </c>
      <c r="B27" s="28">
        <f t="shared" si="10"/>
        <v>1</v>
      </c>
      <c r="C27" s="14">
        <v>0</v>
      </c>
      <c r="D27" s="15">
        <v>0</v>
      </c>
      <c r="E27" s="16">
        <f t="shared" si="8"/>
        <v>20000</v>
      </c>
      <c r="F27" s="2"/>
      <c r="G27" s="33">
        <f t="shared" si="17"/>
        <v>12.05</v>
      </c>
      <c r="H27" s="34">
        <v>0</v>
      </c>
      <c r="I27" s="16">
        <f t="shared" si="11"/>
        <v>241.00000000000009</v>
      </c>
      <c r="K27" s="14">
        <v>0</v>
      </c>
      <c r="L27" s="15">
        <v>0</v>
      </c>
      <c r="M27" s="16">
        <f t="shared" si="9"/>
        <v>0</v>
      </c>
      <c r="O27" s="33">
        <f t="shared" si="12"/>
        <v>0</v>
      </c>
      <c r="P27" s="34">
        <v>0</v>
      </c>
      <c r="Q27" s="16">
        <f t="shared" si="13"/>
        <v>0</v>
      </c>
      <c r="S27" s="33">
        <v>0</v>
      </c>
      <c r="T27" s="34">
        <v>0</v>
      </c>
      <c r="U27" s="16">
        <f t="shared" si="14"/>
        <v>0</v>
      </c>
      <c r="W27" s="14">
        <f t="shared" si="0"/>
        <v>0</v>
      </c>
      <c r="X27" s="15">
        <v>0</v>
      </c>
      <c r="Y27" s="16">
        <f t="shared" si="15"/>
        <v>0</v>
      </c>
      <c r="Z27" s="70"/>
      <c r="AA27" s="14">
        <f t="shared" si="1"/>
        <v>1.64</v>
      </c>
      <c r="AB27" s="15">
        <v>0</v>
      </c>
      <c r="AC27" s="16">
        <f t="shared" si="2"/>
        <v>32.800000000000004</v>
      </c>
      <c r="AD27" s="70"/>
      <c r="AF27" s="19" t="s">
        <v>16</v>
      </c>
      <c r="AG27" s="30">
        <f t="shared" si="3"/>
        <v>46021</v>
      </c>
      <c r="AH27" s="31">
        <f t="shared" si="4"/>
        <v>20000</v>
      </c>
      <c r="AI27" s="31">
        <f t="shared" si="5"/>
        <v>0</v>
      </c>
      <c r="AJ27" s="34">
        <f t="shared" si="6"/>
        <v>0</v>
      </c>
      <c r="AK27" s="31">
        <f t="shared" si="7"/>
        <v>0</v>
      </c>
      <c r="AL27" s="32">
        <f t="shared" si="16"/>
        <v>0</v>
      </c>
    </row>
    <row r="28" spans="1:44" outlineLevel="1" x14ac:dyDescent="0.45">
      <c r="A28" s="27">
        <v>46022</v>
      </c>
      <c r="B28" s="28">
        <f t="shared" si="10"/>
        <v>1</v>
      </c>
      <c r="C28" s="14">
        <v>0</v>
      </c>
      <c r="D28" s="15">
        <v>0</v>
      </c>
      <c r="E28" s="16">
        <f t="shared" si="8"/>
        <v>20000</v>
      </c>
      <c r="F28" s="2"/>
      <c r="G28" s="33">
        <f t="shared" si="17"/>
        <v>12.05</v>
      </c>
      <c r="H28" s="34">
        <v>0</v>
      </c>
      <c r="I28" s="16">
        <f t="shared" si="11"/>
        <v>253.0500000000001</v>
      </c>
      <c r="K28" s="14">
        <v>0</v>
      </c>
      <c r="L28" s="15">
        <v>0</v>
      </c>
      <c r="M28" s="16">
        <f t="shared" si="9"/>
        <v>0</v>
      </c>
      <c r="O28" s="33">
        <f t="shared" si="12"/>
        <v>0</v>
      </c>
      <c r="P28" s="34">
        <v>0</v>
      </c>
      <c r="Q28" s="16">
        <f t="shared" si="13"/>
        <v>0</v>
      </c>
      <c r="S28" s="33">
        <v>0</v>
      </c>
      <c r="T28" s="34">
        <v>0</v>
      </c>
      <c r="U28" s="16">
        <f t="shared" si="14"/>
        <v>0</v>
      </c>
      <c r="W28" s="14">
        <f t="shared" si="0"/>
        <v>0</v>
      </c>
      <c r="X28" s="15">
        <v>0</v>
      </c>
      <c r="Y28" s="16">
        <f t="shared" si="15"/>
        <v>0</v>
      </c>
      <c r="Z28" s="70"/>
      <c r="AA28" s="14">
        <f t="shared" si="1"/>
        <v>1.64</v>
      </c>
      <c r="AB28" s="15">
        <v>0</v>
      </c>
      <c r="AC28" s="16">
        <f t="shared" si="2"/>
        <v>34.440000000000005</v>
      </c>
      <c r="AD28" s="70"/>
      <c r="AF28" s="19" t="s">
        <v>16</v>
      </c>
      <c r="AG28" s="30">
        <f t="shared" si="3"/>
        <v>46022</v>
      </c>
      <c r="AH28" s="31">
        <f t="shared" si="4"/>
        <v>20000</v>
      </c>
      <c r="AI28" s="31">
        <f t="shared" si="5"/>
        <v>0</v>
      </c>
      <c r="AJ28" s="34">
        <f t="shared" si="6"/>
        <v>0</v>
      </c>
      <c r="AK28" s="31">
        <f t="shared" si="7"/>
        <v>0</v>
      </c>
      <c r="AL28" s="32">
        <f t="shared" si="16"/>
        <v>0</v>
      </c>
    </row>
    <row r="29" spans="1:44" outlineLevel="1" x14ac:dyDescent="0.45">
      <c r="A29" s="27">
        <v>46023</v>
      </c>
      <c r="B29" s="28">
        <f t="shared" si="10"/>
        <v>1</v>
      </c>
      <c r="C29" s="14">
        <v>0</v>
      </c>
      <c r="D29" s="15">
        <v>0</v>
      </c>
      <c r="E29" s="16">
        <f t="shared" si="8"/>
        <v>20000</v>
      </c>
      <c r="F29" s="2"/>
      <c r="G29" s="33">
        <f t="shared" si="17"/>
        <v>12.05</v>
      </c>
      <c r="H29" s="34">
        <v>0</v>
      </c>
      <c r="I29" s="16">
        <f t="shared" si="11"/>
        <v>265.10000000000008</v>
      </c>
      <c r="K29" s="14">
        <v>0</v>
      </c>
      <c r="L29" s="15">
        <v>0</v>
      </c>
      <c r="M29" s="16">
        <f t="shared" si="9"/>
        <v>0</v>
      </c>
      <c r="O29" s="33">
        <f t="shared" si="12"/>
        <v>0</v>
      </c>
      <c r="P29" s="34">
        <v>0</v>
      </c>
      <c r="Q29" s="16">
        <f t="shared" si="13"/>
        <v>0</v>
      </c>
      <c r="S29" s="33">
        <v>0</v>
      </c>
      <c r="T29" s="34">
        <v>0</v>
      </c>
      <c r="U29" s="16">
        <f t="shared" si="14"/>
        <v>0</v>
      </c>
      <c r="W29" s="14">
        <f t="shared" si="0"/>
        <v>0</v>
      </c>
      <c r="X29" s="15">
        <v>0</v>
      </c>
      <c r="Y29" s="16">
        <f t="shared" si="15"/>
        <v>0</v>
      </c>
      <c r="Z29" s="70"/>
      <c r="AA29" s="14">
        <f t="shared" si="1"/>
        <v>1.64</v>
      </c>
      <c r="AB29" s="15">
        <v>0</v>
      </c>
      <c r="AC29" s="16">
        <f t="shared" si="2"/>
        <v>36.080000000000005</v>
      </c>
      <c r="AD29" s="70"/>
      <c r="AF29" s="19" t="s">
        <v>16</v>
      </c>
      <c r="AG29" s="30">
        <f t="shared" si="3"/>
        <v>46023</v>
      </c>
      <c r="AH29" s="31">
        <f t="shared" si="4"/>
        <v>20000</v>
      </c>
      <c r="AI29" s="31">
        <f t="shared" si="5"/>
        <v>0</v>
      </c>
      <c r="AJ29" s="34">
        <f t="shared" si="6"/>
        <v>0</v>
      </c>
      <c r="AK29" s="31">
        <f t="shared" si="7"/>
        <v>0</v>
      </c>
      <c r="AL29" s="32">
        <f t="shared" si="16"/>
        <v>0</v>
      </c>
    </row>
    <row r="30" spans="1:44" outlineLevel="1" x14ac:dyDescent="0.45">
      <c r="A30" s="27">
        <v>46024</v>
      </c>
      <c r="B30" s="28">
        <f t="shared" si="10"/>
        <v>1</v>
      </c>
      <c r="C30" s="14">
        <v>0</v>
      </c>
      <c r="D30" s="15">
        <v>0</v>
      </c>
      <c r="E30" s="16">
        <f t="shared" si="8"/>
        <v>20000</v>
      </c>
      <c r="F30" s="2"/>
      <c r="G30" s="33">
        <f t="shared" si="17"/>
        <v>12.05</v>
      </c>
      <c r="H30" s="34">
        <v>0</v>
      </c>
      <c r="I30" s="16">
        <f t="shared" si="11"/>
        <v>277.15000000000009</v>
      </c>
      <c r="K30" s="14">
        <v>0</v>
      </c>
      <c r="L30" s="15">
        <v>0</v>
      </c>
      <c r="M30" s="16">
        <f t="shared" si="9"/>
        <v>0</v>
      </c>
      <c r="O30" s="33">
        <f t="shared" si="12"/>
        <v>0</v>
      </c>
      <c r="P30" s="34">
        <v>0</v>
      </c>
      <c r="Q30" s="16">
        <f t="shared" si="13"/>
        <v>0</v>
      </c>
      <c r="S30" s="33">
        <v>0</v>
      </c>
      <c r="T30" s="34">
        <v>0</v>
      </c>
      <c r="U30" s="16">
        <f t="shared" si="14"/>
        <v>0</v>
      </c>
      <c r="W30" s="14">
        <f t="shared" si="0"/>
        <v>0</v>
      </c>
      <c r="X30" s="15">
        <v>0</v>
      </c>
      <c r="Y30" s="16">
        <f t="shared" si="15"/>
        <v>0</v>
      </c>
      <c r="Z30" s="70"/>
      <c r="AA30" s="14">
        <f t="shared" si="1"/>
        <v>1.64</v>
      </c>
      <c r="AB30" s="15">
        <v>0</v>
      </c>
      <c r="AC30" s="16">
        <f t="shared" si="2"/>
        <v>37.720000000000006</v>
      </c>
      <c r="AD30" s="70"/>
      <c r="AF30" s="19" t="s">
        <v>16</v>
      </c>
      <c r="AG30" s="30">
        <f t="shared" si="3"/>
        <v>46024</v>
      </c>
      <c r="AH30" s="31">
        <f t="shared" si="4"/>
        <v>20000</v>
      </c>
      <c r="AI30" s="31">
        <f t="shared" si="5"/>
        <v>0</v>
      </c>
      <c r="AJ30" s="34">
        <f t="shared" si="6"/>
        <v>0</v>
      </c>
      <c r="AK30" s="31">
        <f t="shared" si="7"/>
        <v>0</v>
      </c>
      <c r="AL30" s="32">
        <f t="shared" si="16"/>
        <v>0</v>
      </c>
    </row>
    <row r="31" spans="1:44" outlineLevel="1" x14ac:dyDescent="0.45">
      <c r="A31" s="27">
        <v>46025</v>
      </c>
      <c r="B31" s="28">
        <f t="shared" si="10"/>
        <v>1</v>
      </c>
      <c r="C31" s="14">
        <v>0</v>
      </c>
      <c r="D31" s="15">
        <v>0</v>
      </c>
      <c r="E31" s="16">
        <f t="shared" si="8"/>
        <v>20000</v>
      </c>
      <c r="F31" s="2"/>
      <c r="G31" s="33">
        <f t="shared" si="17"/>
        <v>12.05</v>
      </c>
      <c r="H31" s="34">
        <v>0</v>
      </c>
      <c r="I31" s="16">
        <f t="shared" si="11"/>
        <v>289.2000000000001</v>
      </c>
      <c r="K31" s="14">
        <v>0</v>
      </c>
      <c r="L31" s="15">
        <v>0</v>
      </c>
      <c r="M31" s="16">
        <f t="shared" si="9"/>
        <v>0</v>
      </c>
      <c r="O31" s="33">
        <f t="shared" si="12"/>
        <v>0</v>
      </c>
      <c r="P31" s="34">
        <v>0</v>
      </c>
      <c r="Q31" s="16">
        <f t="shared" si="13"/>
        <v>0</v>
      </c>
      <c r="S31" s="33">
        <v>0</v>
      </c>
      <c r="T31" s="34">
        <v>0</v>
      </c>
      <c r="U31" s="16">
        <f t="shared" si="14"/>
        <v>0</v>
      </c>
      <c r="W31" s="14">
        <f t="shared" si="0"/>
        <v>0</v>
      </c>
      <c r="X31" s="15">
        <v>0</v>
      </c>
      <c r="Y31" s="16">
        <f t="shared" si="15"/>
        <v>0</v>
      </c>
      <c r="Z31" s="70"/>
      <c r="AA31" s="14">
        <f t="shared" si="1"/>
        <v>1.64</v>
      </c>
      <c r="AB31" s="15">
        <v>0</v>
      </c>
      <c r="AC31" s="16">
        <f t="shared" si="2"/>
        <v>39.360000000000007</v>
      </c>
      <c r="AD31" s="70"/>
      <c r="AF31" s="19" t="s">
        <v>16</v>
      </c>
      <c r="AG31" s="30">
        <f t="shared" si="3"/>
        <v>46025</v>
      </c>
      <c r="AH31" s="31">
        <f t="shared" si="4"/>
        <v>20000</v>
      </c>
      <c r="AI31" s="31">
        <f t="shared" si="5"/>
        <v>0</v>
      </c>
      <c r="AJ31" s="34">
        <f t="shared" si="6"/>
        <v>0</v>
      </c>
      <c r="AK31" s="31">
        <f t="shared" si="7"/>
        <v>0</v>
      </c>
      <c r="AL31" s="32">
        <f t="shared" si="16"/>
        <v>0</v>
      </c>
    </row>
    <row r="32" spans="1:44" outlineLevel="1" x14ac:dyDescent="0.45">
      <c r="A32" s="27">
        <v>46026</v>
      </c>
      <c r="B32" s="28">
        <f t="shared" si="10"/>
        <v>1</v>
      </c>
      <c r="C32" s="14">
        <v>0</v>
      </c>
      <c r="D32" s="15">
        <v>0</v>
      </c>
      <c r="E32" s="16">
        <f t="shared" si="8"/>
        <v>20000</v>
      </c>
      <c r="F32" s="2"/>
      <c r="G32" s="33">
        <f t="shared" si="17"/>
        <v>12.05</v>
      </c>
      <c r="H32" s="34">
        <v>0</v>
      </c>
      <c r="I32" s="16">
        <f t="shared" si="11"/>
        <v>301.25000000000011</v>
      </c>
      <c r="K32" s="14">
        <v>0</v>
      </c>
      <c r="L32" s="15">
        <v>0</v>
      </c>
      <c r="M32" s="16">
        <f t="shared" si="9"/>
        <v>0</v>
      </c>
      <c r="O32" s="33">
        <f t="shared" si="12"/>
        <v>0</v>
      </c>
      <c r="P32" s="34">
        <v>0</v>
      </c>
      <c r="Q32" s="16">
        <f t="shared" si="13"/>
        <v>0</v>
      </c>
      <c r="S32" s="33">
        <v>0</v>
      </c>
      <c r="T32" s="34">
        <v>0</v>
      </c>
      <c r="U32" s="16">
        <f t="shared" si="14"/>
        <v>0</v>
      </c>
      <c r="W32" s="14">
        <f t="shared" si="0"/>
        <v>0</v>
      </c>
      <c r="X32" s="15">
        <v>0</v>
      </c>
      <c r="Y32" s="16">
        <f t="shared" si="15"/>
        <v>0</v>
      </c>
      <c r="Z32" s="70"/>
      <c r="AA32" s="14">
        <f t="shared" si="1"/>
        <v>1.64</v>
      </c>
      <c r="AB32" s="15">
        <v>0</v>
      </c>
      <c r="AC32" s="16">
        <f t="shared" si="2"/>
        <v>41.000000000000007</v>
      </c>
      <c r="AD32" s="70"/>
      <c r="AF32" s="19" t="s">
        <v>16</v>
      </c>
      <c r="AG32" s="30">
        <f t="shared" si="3"/>
        <v>46026</v>
      </c>
      <c r="AH32" s="31">
        <f t="shared" si="4"/>
        <v>20000</v>
      </c>
      <c r="AI32" s="31">
        <f t="shared" si="5"/>
        <v>0</v>
      </c>
      <c r="AJ32" s="34">
        <f t="shared" si="6"/>
        <v>0</v>
      </c>
      <c r="AK32" s="31">
        <f t="shared" si="7"/>
        <v>0</v>
      </c>
      <c r="AL32" s="32">
        <f t="shared" si="16"/>
        <v>0</v>
      </c>
    </row>
    <row r="33" spans="1:44" outlineLevel="1" x14ac:dyDescent="0.45">
      <c r="A33" s="27">
        <v>46027</v>
      </c>
      <c r="B33" s="28">
        <f t="shared" si="10"/>
        <v>1</v>
      </c>
      <c r="C33" s="14">
        <v>0</v>
      </c>
      <c r="D33" s="15">
        <v>0</v>
      </c>
      <c r="E33" s="16">
        <f t="shared" si="8"/>
        <v>20000</v>
      </c>
      <c r="F33" s="2"/>
      <c r="G33" s="33">
        <f t="shared" si="17"/>
        <v>12.05</v>
      </c>
      <c r="H33" s="34">
        <v>0</v>
      </c>
      <c r="I33" s="16">
        <f t="shared" si="11"/>
        <v>313.30000000000013</v>
      </c>
      <c r="K33" s="14">
        <v>0</v>
      </c>
      <c r="L33" s="15">
        <v>0</v>
      </c>
      <c r="M33" s="16">
        <f t="shared" si="9"/>
        <v>0</v>
      </c>
      <c r="O33" s="33">
        <f t="shared" si="12"/>
        <v>0</v>
      </c>
      <c r="P33" s="34">
        <v>0</v>
      </c>
      <c r="Q33" s="16">
        <f t="shared" si="13"/>
        <v>0</v>
      </c>
      <c r="S33" s="33">
        <v>0</v>
      </c>
      <c r="T33" s="34">
        <v>0</v>
      </c>
      <c r="U33" s="16">
        <f t="shared" si="14"/>
        <v>0</v>
      </c>
      <c r="W33" s="14">
        <f t="shared" si="0"/>
        <v>0</v>
      </c>
      <c r="X33" s="15">
        <v>0</v>
      </c>
      <c r="Y33" s="16">
        <f t="shared" si="15"/>
        <v>0</v>
      </c>
      <c r="Z33" s="70"/>
      <c r="AA33" s="14">
        <f t="shared" si="1"/>
        <v>1.64</v>
      </c>
      <c r="AB33" s="15">
        <v>0</v>
      </c>
      <c r="AC33" s="16">
        <f t="shared" si="2"/>
        <v>42.640000000000008</v>
      </c>
      <c r="AD33" s="70"/>
      <c r="AF33" s="19" t="s">
        <v>16</v>
      </c>
      <c r="AG33" s="30">
        <f t="shared" si="3"/>
        <v>46027</v>
      </c>
      <c r="AH33" s="31">
        <f t="shared" si="4"/>
        <v>20000</v>
      </c>
      <c r="AI33" s="31">
        <f t="shared" si="5"/>
        <v>0</v>
      </c>
      <c r="AJ33" s="34">
        <f t="shared" si="6"/>
        <v>0</v>
      </c>
      <c r="AK33" s="31">
        <f t="shared" si="7"/>
        <v>0</v>
      </c>
      <c r="AL33" s="32">
        <f t="shared" si="16"/>
        <v>0</v>
      </c>
    </row>
    <row r="34" spans="1:44" outlineLevel="1" x14ac:dyDescent="0.45">
      <c r="A34" s="27">
        <v>46028</v>
      </c>
      <c r="B34" s="28">
        <f t="shared" si="10"/>
        <v>1</v>
      </c>
      <c r="C34" s="14">
        <v>0</v>
      </c>
      <c r="D34" s="15">
        <v>0</v>
      </c>
      <c r="E34" s="16">
        <f t="shared" si="8"/>
        <v>20000</v>
      </c>
      <c r="F34" s="2"/>
      <c r="G34" s="33">
        <f t="shared" si="17"/>
        <v>12.05</v>
      </c>
      <c r="H34" s="34">
        <v>0</v>
      </c>
      <c r="I34" s="16">
        <f t="shared" si="11"/>
        <v>325.35000000000014</v>
      </c>
      <c r="K34" s="14">
        <v>0</v>
      </c>
      <c r="L34" s="15">
        <v>0</v>
      </c>
      <c r="M34" s="16">
        <f t="shared" si="9"/>
        <v>0</v>
      </c>
      <c r="O34" s="33">
        <f t="shared" si="12"/>
        <v>0</v>
      </c>
      <c r="P34" s="34">
        <v>0</v>
      </c>
      <c r="Q34" s="16">
        <f t="shared" si="13"/>
        <v>0</v>
      </c>
      <c r="S34" s="33">
        <v>0</v>
      </c>
      <c r="T34" s="34">
        <v>0</v>
      </c>
      <c r="U34" s="16">
        <f t="shared" si="14"/>
        <v>0</v>
      </c>
      <c r="W34" s="14">
        <f t="shared" si="0"/>
        <v>0</v>
      </c>
      <c r="X34" s="15">
        <v>0</v>
      </c>
      <c r="Y34" s="16">
        <f t="shared" si="15"/>
        <v>0</v>
      </c>
      <c r="Z34" s="70"/>
      <c r="AA34" s="14">
        <f t="shared" si="1"/>
        <v>1.64</v>
      </c>
      <c r="AB34" s="15">
        <v>0</v>
      </c>
      <c r="AC34" s="16">
        <f t="shared" si="2"/>
        <v>44.280000000000008</v>
      </c>
      <c r="AD34" s="70"/>
      <c r="AF34" s="19" t="s">
        <v>16</v>
      </c>
      <c r="AG34" s="30">
        <f t="shared" si="3"/>
        <v>46028</v>
      </c>
      <c r="AH34" s="31">
        <f t="shared" si="4"/>
        <v>20000</v>
      </c>
      <c r="AI34" s="31">
        <f t="shared" si="5"/>
        <v>0</v>
      </c>
      <c r="AJ34" s="34">
        <f t="shared" si="6"/>
        <v>0</v>
      </c>
      <c r="AK34" s="31">
        <f t="shared" si="7"/>
        <v>0</v>
      </c>
      <c r="AL34" s="32">
        <f t="shared" si="16"/>
        <v>0</v>
      </c>
    </row>
    <row r="35" spans="1:44" outlineLevel="1" x14ac:dyDescent="0.45">
      <c r="A35" s="27">
        <v>46029</v>
      </c>
      <c r="B35" s="28">
        <f t="shared" si="10"/>
        <v>1</v>
      </c>
      <c r="C35" s="14">
        <v>0</v>
      </c>
      <c r="D35" s="15">
        <v>0</v>
      </c>
      <c r="E35" s="16">
        <f t="shared" si="8"/>
        <v>20000</v>
      </c>
      <c r="F35" s="2"/>
      <c r="G35" s="33">
        <f t="shared" si="17"/>
        <v>12.05</v>
      </c>
      <c r="H35" s="34">
        <v>0</v>
      </c>
      <c r="I35" s="16">
        <f t="shared" si="11"/>
        <v>337.40000000000015</v>
      </c>
      <c r="K35" s="14">
        <v>0</v>
      </c>
      <c r="L35" s="15">
        <v>0</v>
      </c>
      <c r="M35" s="16">
        <f t="shared" si="9"/>
        <v>0</v>
      </c>
      <c r="O35" s="33">
        <f t="shared" si="12"/>
        <v>0</v>
      </c>
      <c r="P35" s="34">
        <v>0</v>
      </c>
      <c r="Q35" s="16">
        <f t="shared" si="13"/>
        <v>0</v>
      </c>
      <c r="S35" s="33">
        <v>0</v>
      </c>
      <c r="T35" s="34">
        <v>0</v>
      </c>
      <c r="U35" s="16">
        <f t="shared" si="14"/>
        <v>0</v>
      </c>
      <c r="W35" s="14">
        <f t="shared" si="0"/>
        <v>0</v>
      </c>
      <c r="X35" s="15">
        <v>0</v>
      </c>
      <c r="Y35" s="16">
        <f t="shared" si="15"/>
        <v>0</v>
      </c>
      <c r="Z35" s="70"/>
      <c r="AA35" s="14">
        <f t="shared" si="1"/>
        <v>1.64</v>
      </c>
      <c r="AB35" s="15">
        <v>0</v>
      </c>
      <c r="AC35" s="16">
        <f t="shared" si="2"/>
        <v>45.920000000000009</v>
      </c>
      <c r="AD35" s="70"/>
      <c r="AF35" s="19" t="s">
        <v>16</v>
      </c>
      <c r="AG35" s="30">
        <f t="shared" si="3"/>
        <v>46029</v>
      </c>
      <c r="AH35" s="31">
        <f t="shared" si="4"/>
        <v>20000</v>
      </c>
      <c r="AI35" s="31">
        <f t="shared" si="5"/>
        <v>0</v>
      </c>
      <c r="AJ35" s="34">
        <f t="shared" si="6"/>
        <v>0</v>
      </c>
      <c r="AK35" s="31">
        <f t="shared" si="7"/>
        <v>0</v>
      </c>
      <c r="AL35" s="32">
        <f t="shared" si="16"/>
        <v>0</v>
      </c>
    </row>
    <row r="36" spans="1:44" outlineLevel="1" x14ac:dyDescent="0.45">
      <c r="A36" s="27">
        <v>46030</v>
      </c>
      <c r="B36" s="28">
        <f t="shared" si="10"/>
        <v>1</v>
      </c>
      <c r="C36" s="14">
        <v>0</v>
      </c>
      <c r="D36" s="15">
        <v>0</v>
      </c>
      <c r="E36" s="16">
        <f t="shared" si="8"/>
        <v>20000</v>
      </c>
      <c r="F36" s="2"/>
      <c r="G36" s="33">
        <f t="shared" si="17"/>
        <v>12.05</v>
      </c>
      <c r="H36" s="34">
        <v>0</v>
      </c>
      <c r="I36" s="16">
        <f t="shared" si="11"/>
        <v>349.45000000000016</v>
      </c>
      <c r="K36" s="14">
        <v>0</v>
      </c>
      <c r="L36" s="15">
        <v>0</v>
      </c>
      <c r="M36" s="16">
        <f t="shared" si="9"/>
        <v>0</v>
      </c>
      <c r="O36" s="33">
        <f t="shared" si="12"/>
        <v>0</v>
      </c>
      <c r="P36" s="34">
        <v>0</v>
      </c>
      <c r="Q36" s="16">
        <f t="shared" si="13"/>
        <v>0</v>
      </c>
      <c r="S36" s="33">
        <v>0</v>
      </c>
      <c r="T36" s="34">
        <v>0</v>
      </c>
      <c r="U36" s="16">
        <f t="shared" si="14"/>
        <v>0</v>
      </c>
      <c r="W36" s="14">
        <f t="shared" si="0"/>
        <v>0</v>
      </c>
      <c r="X36" s="15">
        <v>0</v>
      </c>
      <c r="Y36" s="16">
        <f t="shared" si="15"/>
        <v>0</v>
      </c>
      <c r="Z36" s="70"/>
      <c r="AA36" s="14">
        <f t="shared" si="1"/>
        <v>1.64</v>
      </c>
      <c r="AB36" s="15">
        <v>0</v>
      </c>
      <c r="AC36" s="16">
        <f t="shared" si="2"/>
        <v>47.560000000000009</v>
      </c>
      <c r="AD36" s="70"/>
      <c r="AF36" s="19" t="s">
        <v>16</v>
      </c>
      <c r="AG36" s="30">
        <f t="shared" si="3"/>
        <v>46030</v>
      </c>
      <c r="AH36" s="31">
        <f t="shared" si="4"/>
        <v>20000</v>
      </c>
      <c r="AI36" s="31">
        <f t="shared" si="5"/>
        <v>0</v>
      </c>
      <c r="AJ36" s="34">
        <f t="shared" si="6"/>
        <v>0</v>
      </c>
      <c r="AK36" s="31">
        <f t="shared" si="7"/>
        <v>0</v>
      </c>
      <c r="AL36" s="32">
        <f t="shared" si="16"/>
        <v>0</v>
      </c>
    </row>
    <row r="37" spans="1:44" outlineLevel="1" x14ac:dyDescent="0.45">
      <c r="A37" s="27">
        <v>46031</v>
      </c>
      <c r="B37" s="35">
        <f t="shared" si="10"/>
        <v>1</v>
      </c>
      <c r="C37" s="36">
        <v>0</v>
      </c>
      <c r="D37" s="37">
        <v>833.33</v>
      </c>
      <c r="E37" s="38">
        <f t="shared" si="8"/>
        <v>19166.669999999998</v>
      </c>
      <c r="F37" s="2"/>
      <c r="G37" s="33">
        <f t="shared" si="17"/>
        <v>11.55</v>
      </c>
      <c r="H37" s="37">
        <f>I36</f>
        <v>349.45000000000016</v>
      </c>
      <c r="I37" s="38">
        <f t="shared" si="11"/>
        <v>11.550000000000011</v>
      </c>
      <c r="J37" s="39"/>
      <c r="K37" s="36">
        <v>0</v>
      </c>
      <c r="L37" s="37">
        <v>0</v>
      </c>
      <c r="M37" s="38">
        <f t="shared" si="9"/>
        <v>0</v>
      </c>
      <c r="N37" s="39"/>
      <c r="O37" s="36">
        <f t="shared" si="12"/>
        <v>0</v>
      </c>
      <c r="P37" s="37">
        <v>0</v>
      </c>
      <c r="Q37" s="38">
        <f t="shared" si="13"/>
        <v>0</v>
      </c>
      <c r="R37" s="39"/>
      <c r="S37" s="36">
        <v>0</v>
      </c>
      <c r="T37" s="37">
        <f>U36+S37</f>
        <v>0</v>
      </c>
      <c r="U37" s="38">
        <f t="shared" si="14"/>
        <v>0</v>
      </c>
      <c r="V37" s="39"/>
      <c r="W37" s="14">
        <f t="shared" si="0"/>
        <v>0</v>
      </c>
      <c r="X37" s="37">
        <f>Y36+W37</f>
        <v>0</v>
      </c>
      <c r="Y37" s="38">
        <f t="shared" si="15"/>
        <v>0</v>
      </c>
      <c r="Z37" s="70"/>
      <c r="AA37" s="36">
        <f t="shared" si="1"/>
        <v>1.64</v>
      </c>
      <c r="AB37" s="37">
        <f>AC36</f>
        <v>47.560000000000009</v>
      </c>
      <c r="AC37" s="38">
        <f t="shared" si="2"/>
        <v>1.6400000000000006</v>
      </c>
      <c r="AD37" s="70"/>
      <c r="AE37" s="39"/>
      <c r="AF37" s="40">
        <v>1</v>
      </c>
      <c r="AG37" s="41">
        <f t="shared" si="3"/>
        <v>46031</v>
      </c>
      <c r="AH37" s="42">
        <f t="shared" si="4"/>
        <v>19166.669999999998</v>
      </c>
      <c r="AI37" s="42">
        <f t="shared" si="5"/>
        <v>833.33</v>
      </c>
      <c r="AJ37" s="37">
        <f t="shared" si="6"/>
        <v>349.45000000000016</v>
      </c>
      <c r="AK37" s="42">
        <f>AC36</f>
        <v>47.560000000000009</v>
      </c>
      <c r="AL37" s="43">
        <f>AI37+AJ37+AK37</f>
        <v>1230.3400000000001</v>
      </c>
      <c r="AM37" s="44">
        <f>AL37</f>
        <v>1230.3400000000001</v>
      </c>
      <c r="AN37" s="45"/>
      <c r="AO37" s="5">
        <f>A5-A36</f>
        <v>-46030</v>
      </c>
    </row>
    <row r="38" spans="1:44" s="39" customFormat="1" x14ac:dyDescent="0.45">
      <c r="A38" s="27">
        <v>46032</v>
      </c>
      <c r="B38" s="28">
        <f t="shared" ref="B38:B40" si="18">A38-A37</f>
        <v>1</v>
      </c>
      <c r="C38" s="14">
        <v>0</v>
      </c>
      <c r="D38" s="15">
        <v>0</v>
      </c>
      <c r="E38" s="16">
        <f t="shared" ref="E38:E39" si="19">ROUND(E37+C38-D38,2)</f>
        <v>19166.669999999998</v>
      </c>
      <c r="F38" s="2"/>
      <c r="G38" s="33">
        <f t="shared" si="17"/>
        <v>11.55</v>
      </c>
      <c r="H38" s="34">
        <v>0</v>
      </c>
      <c r="I38" s="16">
        <f t="shared" ref="I38:I39" si="20">I37+G38-H38</f>
        <v>23.100000000000012</v>
      </c>
      <c r="J38" s="2"/>
      <c r="K38" s="14">
        <v>0</v>
      </c>
      <c r="L38" s="15">
        <v>0</v>
      </c>
      <c r="M38" s="16">
        <f t="shared" ref="M38:M39" si="21">ROUND(M37+K38-L38,2)</f>
        <v>0</v>
      </c>
      <c r="N38" s="2"/>
      <c r="O38" s="33">
        <f t="shared" si="12"/>
        <v>0</v>
      </c>
      <c r="P38" s="34">
        <v>0</v>
      </c>
      <c r="Q38" s="16">
        <f t="shared" ref="Q38:Q39" si="22">Q37+O38-P38</f>
        <v>0</v>
      </c>
      <c r="R38" s="2"/>
      <c r="S38" s="33">
        <v>0</v>
      </c>
      <c r="T38" s="34">
        <v>0</v>
      </c>
      <c r="U38" s="16">
        <f t="shared" ref="U38:U39" si="23">U37+S38-T38</f>
        <v>0</v>
      </c>
      <c r="V38" s="2"/>
      <c r="W38" s="14">
        <f t="shared" si="0"/>
        <v>0</v>
      </c>
      <c r="X38" s="15">
        <v>0</v>
      </c>
      <c r="Y38" s="16">
        <f t="shared" ref="Y38:Y39" si="24">Y37+W38-X38</f>
        <v>0</v>
      </c>
      <c r="Z38" s="70"/>
      <c r="AA38" s="14">
        <f t="shared" ref="AA38:AA39" si="25">ROUND($C$5*$AA$5/365*B38,2)</f>
        <v>1.64</v>
      </c>
      <c r="AB38" s="15">
        <v>0</v>
      </c>
      <c r="AC38" s="16">
        <f t="shared" ref="AC38:AC39" si="26">AC37+AA38-AB38</f>
        <v>3.2800000000000002</v>
      </c>
      <c r="AD38" s="70"/>
      <c r="AE38" s="2"/>
      <c r="AF38" s="19" t="s">
        <v>16</v>
      </c>
      <c r="AG38" s="30">
        <f t="shared" ref="AG38:AG39" si="27">A38</f>
        <v>46032</v>
      </c>
      <c r="AH38" s="31">
        <f t="shared" ref="AH38:AH39" si="28">E38</f>
        <v>19166.669999999998</v>
      </c>
      <c r="AI38" s="31">
        <f t="shared" ref="AI38:AI39" si="29">D38</f>
        <v>0</v>
      </c>
      <c r="AJ38" s="34">
        <f t="shared" ref="AJ38:AJ39" si="30">H38</f>
        <v>0</v>
      </c>
      <c r="AK38" s="31">
        <f t="shared" ref="AK38:AK39" si="31">AB38</f>
        <v>0</v>
      </c>
      <c r="AL38" s="32">
        <f t="shared" ref="AL38:AL39" si="32">AI38+AJ38+AK38</f>
        <v>0</v>
      </c>
      <c r="AM38" s="5"/>
      <c r="AN38" s="45"/>
      <c r="AO38" s="5"/>
      <c r="AP38" s="46"/>
      <c r="AQ38" s="44"/>
      <c r="AR38" s="44"/>
    </row>
    <row r="39" spans="1:44" outlineLevel="1" x14ac:dyDescent="0.45">
      <c r="A39" s="27">
        <v>46033</v>
      </c>
      <c r="B39" s="28">
        <f t="shared" si="18"/>
        <v>1</v>
      </c>
      <c r="C39" s="14">
        <v>0</v>
      </c>
      <c r="D39" s="15">
        <v>0</v>
      </c>
      <c r="E39" s="16">
        <f t="shared" si="19"/>
        <v>19166.669999999998</v>
      </c>
      <c r="F39" s="2"/>
      <c r="G39" s="33">
        <f t="shared" si="17"/>
        <v>11.55</v>
      </c>
      <c r="H39" s="34">
        <v>0</v>
      </c>
      <c r="I39" s="16">
        <f t="shared" si="20"/>
        <v>34.650000000000013</v>
      </c>
      <c r="K39" s="14">
        <v>0</v>
      </c>
      <c r="L39" s="15">
        <v>0</v>
      </c>
      <c r="M39" s="16">
        <f t="shared" si="21"/>
        <v>0</v>
      </c>
      <c r="O39" s="33">
        <f t="shared" si="12"/>
        <v>0</v>
      </c>
      <c r="P39" s="34">
        <v>0</v>
      </c>
      <c r="Q39" s="16">
        <f t="shared" si="22"/>
        <v>0</v>
      </c>
      <c r="S39" s="33">
        <v>0</v>
      </c>
      <c r="T39" s="34">
        <v>0</v>
      </c>
      <c r="U39" s="16">
        <f t="shared" si="23"/>
        <v>0</v>
      </c>
      <c r="W39" s="14">
        <f t="shared" si="0"/>
        <v>0</v>
      </c>
      <c r="X39" s="15">
        <v>0</v>
      </c>
      <c r="Y39" s="16">
        <f t="shared" si="24"/>
        <v>0</v>
      </c>
      <c r="Z39" s="70"/>
      <c r="AA39" s="14">
        <f t="shared" si="25"/>
        <v>1.64</v>
      </c>
      <c r="AB39" s="15">
        <v>0</v>
      </c>
      <c r="AC39" s="16">
        <f t="shared" si="26"/>
        <v>4.92</v>
      </c>
      <c r="AD39" s="70"/>
      <c r="AF39" s="19" t="s">
        <v>16</v>
      </c>
      <c r="AG39" s="30">
        <f t="shared" si="27"/>
        <v>46033</v>
      </c>
      <c r="AH39" s="31">
        <f t="shared" si="28"/>
        <v>19166.669999999998</v>
      </c>
      <c r="AI39" s="31">
        <f t="shared" si="29"/>
        <v>0</v>
      </c>
      <c r="AJ39" s="34">
        <f t="shared" si="30"/>
        <v>0</v>
      </c>
      <c r="AK39" s="31">
        <f t="shared" si="31"/>
        <v>0</v>
      </c>
      <c r="AL39" s="32">
        <f t="shared" si="32"/>
        <v>0</v>
      </c>
      <c r="AN39" s="45"/>
      <c r="AO39" s="5">
        <f>A7-A38</f>
        <v>-46032</v>
      </c>
      <c r="AP39" s="46"/>
    </row>
    <row r="40" spans="1:44" s="39" customFormat="1" outlineLevel="1" x14ac:dyDescent="0.45">
      <c r="A40" s="27">
        <v>46034</v>
      </c>
      <c r="B40" s="28">
        <f t="shared" si="18"/>
        <v>1</v>
      </c>
      <c r="C40" s="15">
        <v>0</v>
      </c>
      <c r="D40" s="15">
        <v>0</v>
      </c>
      <c r="E40" s="16">
        <f t="shared" ref="E40" si="33">ROUND(E39+C40-D40,2)</f>
        <v>19166.669999999998</v>
      </c>
      <c r="F40" s="2"/>
      <c r="G40" s="33">
        <f t="shared" si="17"/>
        <v>11.55</v>
      </c>
      <c r="H40" s="34">
        <v>0</v>
      </c>
      <c r="I40" s="16">
        <f t="shared" ref="I40" si="34">I39+G40-H40</f>
        <v>46.200000000000017</v>
      </c>
      <c r="K40" s="14">
        <v>0</v>
      </c>
      <c r="L40" s="15">
        <v>0</v>
      </c>
      <c r="M40" s="16">
        <f t="shared" ref="M40" si="35">ROUND(M39+K40-L40,2)</f>
        <v>0</v>
      </c>
      <c r="O40" s="33">
        <f t="shared" si="12"/>
        <v>0</v>
      </c>
      <c r="P40" s="34">
        <v>0</v>
      </c>
      <c r="Q40" s="16">
        <f t="shared" ref="Q40" si="36">Q39+O40-P40</f>
        <v>0</v>
      </c>
      <c r="R40" s="2"/>
      <c r="S40" s="33">
        <v>0</v>
      </c>
      <c r="T40" s="34">
        <f>U39+S40</f>
        <v>0</v>
      </c>
      <c r="U40" s="16">
        <f t="shared" ref="U40" si="37">U39+S40-T40</f>
        <v>0</v>
      </c>
      <c r="V40" s="2"/>
      <c r="W40" s="14">
        <f t="shared" si="0"/>
        <v>0</v>
      </c>
      <c r="X40" s="15">
        <f>Y39+W40</f>
        <v>0</v>
      </c>
      <c r="Y40" s="16">
        <f t="shared" ref="Y40" si="38">Y39+W40-X40</f>
        <v>0</v>
      </c>
      <c r="Z40" s="70"/>
      <c r="AA40" s="14">
        <f t="shared" ref="AA40" si="39">ROUND($C$5*$AA$5/365*B40,2)</f>
        <v>1.64</v>
      </c>
      <c r="AB40" s="15">
        <v>0</v>
      </c>
      <c r="AC40" s="16">
        <f t="shared" ref="AC40" si="40">AC39+AA40-AB40</f>
        <v>6.56</v>
      </c>
      <c r="AD40" s="70"/>
      <c r="AF40" s="19">
        <v>1</v>
      </c>
      <c r="AG40" s="30">
        <f t="shared" si="3"/>
        <v>46034</v>
      </c>
      <c r="AH40" s="31">
        <f t="shared" si="4"/>
        <v>19166.669999999998</v>
      </c>
      <c r="AI40" s="31">
        <f t="shared" si="5"/>
        <v>0</v>
      </c>
      <c r="AJ40" s="34">
        <f t="shared" si="6"/>
        <v>0</v>
      </c>
      <c r="AK40" s="31">
        <f t="shared" si="7"/>
        <v>0</v>
      </c>
      <c r="AL40" s="32">
        <f t="shared" ref="AL40" si="41">AI40+AJ40+AK40</f>
        <v>0</v>
      </c>
      <c r="AM40" s="5">
        <f>AL40</f>
        <v>0</v>
      </c>
      <c r="AN40" s="45"/>
      <c r="AO40" s="5">
        <f>A8-A39</f>
        <v>-31</v>
      </c>
      <c r="AP40" s="46"/>
      <c r="AQ40" s="44"/>
      <c r="AR40" s="44"/>
    </row>
    <row r="41" spans="1:44" outlineLevel="1" x14ac:dyDescent="0.45">
      <c r="A41" s="27">
        <v>46035</v>
      </c>
      <c r="B41" s="28">
        <f t="shared" si="10"/>
        <v>1</v>
      </c>
      <c r="C41" s="14">
        <v>0</v>
      </c>
      <c r="D41" s="15">
        <v>0</v>
      </c>
      <c r="E41" s="16">
        <f t="shared" si="8"/>
        <v>19166.669999999998</v>
      </c>
      <c r="F41" s="2"/>
      <c r="G41" s="33">
        <f t="shared" si="17"/>
        <v>11.55</v>
      </c>
      <c r="H41" s="34">
        <v>0</v>
      </c>
      <c r="I41" s="16">
        <f t="shared" si="11"/>
        <v>57.750000000000014</v>
      </c>
      <c r="K41" s="14">
        <v>0</v>
      </c>
      <c r="L41" s="15">
        <v>0</v>
      </c>
      <c r="M41" s="16">
        <f t="shared" si="9"/>
        <v>0</v>
      </c>
      <c r="O41" s="33">
        <f t="shared" si="12"/>
        <v>0</v>
      </c>
      <c r="P41" s="34">
        <v>0</v>
      </c>
      <c r="Q41" s="16">
        <f t="shared" si="13"/>
        <v>0</v>
      </c>
      <c r="S41" s="33">
        <v>0</v>
      </c>
      <c r="T41" s="34">
        <v>0</v>
      </c>
      <c r="U41" s="16">
        <f t="shared" si="14"/>
        <v>0</v>
      </c>
      <c r="W41" s="14">
        <f t="shared" si="0"/>
        <v>0</v>
      </c>
      <c r="X41" s="15">
        <v>0</v>
      </c>
      <c r="Y41" s="16">
        <f t="shared" si="15"/>
        <v>0</v>
      </c>
      <c r="Z41" s="70"/>
      <c r="AA41" s="14">
        <f t="shared" si="1"/>
        <v>1.64</v>
      </c>
      <c r="AB41" s="15">
        <v>0</v>
      </c>
      <c r="AC41" s="16">
        <f t="shared" si="2"/>
        <v>8.1999999999999993</v>
      </c>
      <c r="AD41" s="70"/>
      <c r="AF41" s="19" t="s">
        <v>16</v>
      </c>
      <c r="AG41" s="30">
        <f t="shared" si="3"/>
        <v>46035</v>
      </c>
      <c r="AH41" s="31">
        <f t="shared" si="4"/>
        <v>19166.669999999998</v>
      </c>
      <c r="AI41" s="31">
        <f t="shared" si="5"/>
        <v>0</v>
      </c>
      <c r="AJ41" s="34">
        <f t="shared" si="6"/>
        <v>0</v>
      </c>
      <c r="AK41" s="31">
        <f t="shared" si="7"/>
        <v>0</v>
      </c>
      <c r="AL41" s="32">
        <f t="shared" si="16"/>
        <v>0</v>
      </c>
    </row>
    <row r="42" spans="1:44" outlineLevel="1" x14ac:dyDescent="0.45">
      <c r="A42" s="27">
        <v>46036</v>
      </c>
      <c r="B42" s="28">
        <f t="shared" si="10"/>
        <v>1</v>
      </c>
      <c r="C42" s="14">
        <v>0</v>
      </c>
      <c r="D42" s="15">
        <v>0</v>
      </c>
      <c r="E42" s="16">
        <f t="shared" si="8"/>
        <v>19166.669999999998</v>
      </c>
      <c r="F42" s="2"/>
      <c r="G42" s="33">
        <f t="shared" si="17"/>
        <v>11.55</v>
      </c>
      <c r="H42" s="34">
        <v>0</v>
      </c>
      <c r="I42" s="16">
        <f t="shared" si="11"/>
        <v>69.300000000000011</v>
      </c>
      <c r="K42" s="14">
        <v>0</v>
      </c>
      <c r="L42" s="15">
        <v>0</v>
      </c>
      <c r="M42" s="16">
        <f t="shared" si="9"/>
        <v>0</v>
      </c>
      <c r="O42" s="33">
        <f t="shared" si="12"/>
        <v>0</v>
      </c>
      <c r="P42" s="34">
        <v>0</v>
      </c>
      <c r="Q42" s="16">
        <f t="shared" si="13"/>
        <v>0</v>
      </c>
      <c r="S42" s="33">
        <v>0</v>
      </c>
      <c r="T42" s="34">
        <v>0</v>
      </c>
      <c r="U42" s="16">
        <f t="shared" si="14"/>
        <v>0</v>
      </c>
      <c r="W42" s="14">
        <f t="shared" si="0"/>
        <v>0</v>
      </c>
      <c r="X42" s="15">
        <v>0</v>
      </c>
      <c r="Y42" s="16">
        <f t="shared" si="15"/>
        <v>0</v>
      </c>
      <c r="Z42" s="70"/>
      <c r="AA42" s="14">
        <f t="shared" si="1"/>
        <v>1.64</v>
      </c>
      <c r="AB42" s="15">
        <v>0</v>
      </c>
      <c r="AC42" s="16">
        <f t="shared" si="2"/>
        <v>9.84</v>
      </c>
      <c r="AD42" s="70"/>
      <c r="AF42" s="19" t="s">
        <v>16</v>
      </c>
      <c r="AG42" s="30">
        <f t="shared" si="3"/>
        <v>46036</v>
      </c>
      <c r="AH42" s="31">
        <f t="shared" si="4"/>
        <v>19166.669999999998</v>
      </c>
      <c r="AI42" s="31">
        <f t="shared" si="5"/>
        <v>0</v>
      </c>
      <c r="AJ42" s="34">
        <f t="shared" si="6"/>
        <v>0</v>
      </c>
      <c r="AK42" s="31">
        <f t="shared" si="7"/>
        <v>0</v>
      </c>
      <c r="AL42" s="32">
        <f t="shared" si="16"/>
        <v>0</v>
      </c>
    </row>
    <row r="43" spans="1:44" outlineLevel="1" x14ac:dyDescent="0.45">
      <c r="A43" s="27">
        <v>46037</v>
      </c>
      <c r="B43" s="28">
        <f t="shared" si="10"/>
        <v>1</v>
      </c>
      <c r="C43" s="14">
        <v>0</v>
      </c>
      <c r="D43" s="15">
        <v>0</v>
      </c>
      <c r="E43" s="16">
        <f t="shared" si="8"/>
        <v>19166.669999999998</v>
      </c>
      <c r="F43" s="2"/>
      <c r="G43" s="33">
        <f t="shared" si="17"/>
        <v>11.55</v>
      </c>
      <c r="H43" s="34">
        <v>0</v>
      </c>
      <c r="I43" s="16">
        <f t="shared" si="11"/>
        <v>80.850000000000009</v>
      </c>
      <c r="K43" s="14">
        <v>0</v>
      </c>
      <c r="L43" s="15">
        <v>0</v>
      </c>
      <c r="M43" s="16">
        <f t="shared" si="9"/>
        <v>0</v>
      </c>
      <c r="O43" s="33">
        <f t="shared" si="12"/>
        <v>0</v>
      </c>
      <c r="P43" s="34">
        <v>0</v>
      </c>
      <c r="Q43" s="16">
        <f t="shared" si="13"/>
        <v>0</v>
      </c>
      <c r="S43" s="33">
        <v>0</v>
      </c>
      <c r="T43" s="34">
        <v>0</v>
      </c>
      <c r="U43" s="16">
        <f t="shared" si="14"/>
        <v>0</v>
      </c>
      <c r="W43" s="14">
        <f t="shared" si="0"/>
        <v>0</v>
      </c>
      <c r="X43" s="15">
        <v>0</v>
      </c>
      <c r="Y43" s="16">
        <f t="shared" si="15"/>
        <v>0</v>
      </c>
      <c r="Z43" s="70"/>
      <c r="AA43" s="14">
        <f t="shared" si="1"/>
        <v>1.64</v>
      </c>
      <c r="AB43" s="15">
        <v>0</v>
      </c>
      <c r="AC43" s="16">
        <f t="shared" si="2"/>
        <v>11.48</v>
      </c>
      <c r="AD43" s="70"/>
      <c r="AF43" s="19" t="s">
        <v>16</v>
      </c>
      <c r="AG43" s="30">
        <f t="shared" si="3"/>
        <v>46037</v>
      </c>
      <c r="AH43" s="31">
        <f t="shared" si="4"/>
        <v>19166.669999999998</v>
      </c>
      <c r="AI43" s="31">
        <f t="shared" si="5"/>
        <v>0</v>
      </c>
      <c r="AJ43" s="34">
        <f t="shared" si="6"/>
        <v>0</v>
      </c>
      <c r="AK43" s="31">
        <f t="shared" si="7"/>
        <v>0</v>
      </c>
      <c r="AL43" s="32">
        <f t="shared" si="16"/>
        <v>0</v>
      </c>
    </row>
    <row r="44" spans="1:44" outlineLevel="1" x14ac:dyDescent="0.45">
      <c r="A44" s="27">
        <v>46038</v>
      </c>
      <c r="B44" s="28">
        <f t="shared" si="10"/>
        <v>1</v>
      </c>
      <c r="C44" s="14">
        <v>0</v>
      </c>
      <c r="D44" s="15">
        <v>0</v>
      </c>
      <c r="E44" s="16">
        <f t="shared" si="8"/>
        <v>19166.669999999998</v>
      </c>
      <c r="F44" s="2"/>
      <c r="G44" s="33">
        <f t="shared" si="17"/>
        <v>11.55</v>
      </c>
      <c r="H44" s="34">
        <v>0</v>
      </c>
      <c r="I44" s="16">
        <f t="shared" si="11"/>
        <v>92.4</v>
      </c>
      <c r="K44" s="14">
        <v>0</v>
      </c>
      <c r="L44" s="15">
        <v>0</v>
      </c>
      <c r="M44" s="16">
        <f t="shared" si="9"/>
        <v>0</v>
      </c>
      <c r="O44" s="33">
        <f t="shared" si="12"/>
        <v>0</v>
      </c>
      <c r="P44" s="34">
        <v>0</v>
      </c>
      <c r="Q44" s="16">
        <f t="shared" si="13"/>
        <v>0</v>
      </c>
      <c r="S44" s="33">
        <v>0</v>
      </c>
      <c r="T44" s="34">
        <v>0</v>
      </c>
      <c r="U44" s="16">
        <f t="shared" si="14"/>
        <v>0</v>
      </c>
      <c r="W44" s="14">
        <f t="shared" si="0"/>
        <v>0</v>
      </c>
      <c r="X44" s="15">
        <v>0</v>
      </c>
      <c r="Y44" s="16">
        <f t="shared" si="15"/>
        <v>0</v>
      </c>
      <c r="Z44" s="70"/>
      <c r="AA44" s="14">
        <f t="shared" si="1"/>
        <v>1.64</v>
      </c>
      <c r="AB44" s="15">
        <v>0</v>
      </c>
      <c r="AC44" s="16">
        <f t="shared" si="2"/>
        <v>13.120000000000001</v>
      </c>
      <c r="AD44" s="70"/>
      <c r="AF44" s="19" t="s">
        <v>16</v>
      </c>
      <c r="AG44" s="30">
        <f t="shared" si="3"/>
        <v>46038</v>
      </c>
      <c r="AH44" s="31">
        <f t="shared" si="4"/>
        <v>19166.669999999998</v>
      </c>
      <c r="AI44" s="31">
        <f t="shared" si="5"/>
        <v>0</v>
      </c>
      <c r="AJ44" s="34">
        <f t="shared" si="6"/>
        <v>0</v>
      </c>
      <c r="AK44" s="31">
        <f t="shared" si="7"/>
        <v>0</v>
      </c>
      <c r="AL44" s="32">
        <f t="shared" si="16"/>
        <v>0</v>
      </c>
    </row>
    <row r="45" spans="1:44" outlineLevel="1" x14ac:dyDescent="0.45">
      <c r="A45" s="27">
        <v>46039</v>
      </c>
      <c r="B45" s="28">
        <f t="shared" si="10"/>
        <v>1</v>
      </c>
      <c r="C45" s="14">
        <v>0</v>
      </c>
      <c r="D45" s="15">
        <v>0</v>
      </c>
      <c r="E45" s="16">
        <f t="shared" si="8"/>
        <v>19166.669999999998</v>
      </c>
      <c r="F45" s="2"/>
      <c r="G45" s="33">
        <f t="shared" si="17"/>
        <v>11.55</v>
      </c>
      <c r="H45" s="34">
        <v>0</v>
      </c>
      <c r="I45" s="16">
        <f t="shared" si="11"/>
        <v>103.95</v>
      </c>
      <c r="K45" s="14">
        <v>0</v>
      </c>
      <c r="L45" s="15">
        <v>0</v>
      </c>
      <c r="M45" s="16">
        <f t="shared" si="9"/>
        <v>0</v>
      </c>
      <c r="O45" s="33">
        <f t="shared" si="12"/>
        <v>0</v>
      </c>
      <c r="P45" s="34">
        <v>0</v>
      </c>
      <c r="Q45" s="16">
        <f t="shared" si="13"/>
        <v>0</v>
      </c>
      <c r="S45" s="33">
        <v>0</v>
      </c>
      <c r="T45" s="34">
        <v>0</v>
      </c>
      <c r="U45" s="16">
        <f t="shared" si="14"/>
        <v>0</v>
      </c>
      <c r="W45" s="14">
        <f t="shared" si="0"/>
        <v>0</v>
      </c>
      <c r="X45" s="15">
        <v>0</v>
      </c>
      <c r="Y45" s="16">
        <f t="shared" si="15"/>
        <v>0</v>
      </c>
      <c r="Z45" s="70"/>
      <c r="AA45" s="14">
        <f t="shared" si="1"/>
        <v>1.64</v>
      </c>
      <c r="AB45" s="15">
        <v>0</v>
      </c>
      <c r="AC45" s="16">
        <f t="shared" si="2"/>
        <v>14.760000000000002</v>
      </c>
      <c r="AD45" s="70"/>
      <c r="AF45" s="19" t="s">
        <v>16</v>
      </c>
      <c r="AG45" s="30">
        <f t="shared" si="3"/>
        <v>46039</v>
      </c>
      <c r="AH45" s="31">
        <f t="shared" si="4"/>
        <v>19166.669999999998</v>
      </c>
      <c r="AI45" s="31">
        <f t="shared" si="5"/>
        <v>0</v>
      </c>
      <c r="AJ45" s="34">
        <f t="shared" si="6"/>
        <v>0</v>
      </c>
      <c r="AK45" s="31">
        <f t="shared" si="7"/>
        <v>0</v>
      </c>
      <c r="AL45" s="32">
        <f t="shared" si="16"/>
        <v>0</v>
      </c>
    </row>
    <row r="46" spans="1:44" outlineLevel="1" x14ac:dyDescent="0.45">
      <c r="A46" s="27">
        <v>46040</v>
      </c>
      <c r="B46" s="28">
        <f t="shared" si="10"/>
        <v>1</v>
      </c>
      <c r="C46" s="14">
        <v>0</v>
      </c>
      <c r="D46" s="15">
        <v>0</v>
      </c>
      <c r="E46" s="16">
        <f t="shared" si="8"/>
        <v>19166.669999999998</v>
      </c>
      <c r="F46" s="2"/>
      <c r="G46" s="33">
        <f t="shared" si="17"/>
        <v>11.55</v>
      </c>
      <c r="H46" s="34">
        <v>0</v>
      </c>
      <c r="I46" s="16">
        <f t="shared" si="11"/>
        <v>115.5</v>
      </c>
      <c r="K46" s="14">
        <v>0</v>
      </c>
      <c r="L46" s="15">
        <v>0</v>
      </c>
      <c r="M46" s="16">
        <f t="shared" si="9"/>
        <v>0</v>
      </c>
      <c r="O46" s="33">
        <f t="shared" si="12"/>
        <v>0</v>
      </c>
      <c r="P46" s="34">
        <v>0</v>
      </c>
      <c r="Q46" s="16">
        <f t="shared" si="13"/>
        <v>0</v>
      </c>
      <c r="S46" s="33">
        <v>0</v>
      </c>
      <c r="T46" s="34">
        <v>0</v>
      </c>
      <c r="U46" s="16">
        <f t="shared" si="14"/>
        <v>0</v>
      </c>
      <c r="W46" s="14">
        <f t="shared" si="0"/>
        <v>0</v>
      </c>
      <c r="X46" s="15">
        <v>0</v>
      </c>
      <c r="Y46" s="16">
        <f t="shared" si="15"/>
        <v>0</v>
      </c>
      <c r="Z46" s="70"/>
      <c r="AA46" s="14">
        <f t="shared" si="1"/>
        <v>1.64</v>
      </c>
      <c r="AB46" s="15">
        <v>0</v>
      </c>
      <c r="AC46" s="16">
        <f t="shared" si="2"/>
        <v>16.400000000000002</v>
      </c>
      <c r="AD46" s="70"/>
      <c r="AF46" s="19" t="s">
        <v>16</v>
      </c>
      <c r="AG46" s="30">
        <f t="shared" si="3"/>
        <v>46040</v>
      </c>
      <c r="AH46" s="31">
        <f t="shared" si="4"/>
        <v>19166.669999999998</v>
      </c>
      <c r="AI46" s="31">
        <f t="shared" si="5"/>
        <v>0</v>
      </c>
      <c r="AJ46" s="34">
        <f t="shared" si="6"/>
        <v>0</v>
      </c>
      <c r="AK46" s="31">
        <f t="shared" si="7"/>
        <v>0</v>
      </c>
      <c r="AL46" s="32">
        <f t="shared" si="16"/>
        <v>0</v>
      </c>
    </row>
    <row r="47" spans="1:44" outlineLevel="1" x14ac:dyDescent="0.45">
      <c r="A47" s="27">
        <v>46041</v>
      </c>
      <c r="B47" s="28">
        <f t="shared" si="10"/>
        <v>1</v>
      </c>
      <c r="C47" s="14">
        <v>0</v>
      </c>
      <c r="D47" s="15">
        <v>0</v>
      </c>
      <c r="E47" s="16">
        <f t="shared" si="8"/>
        <v>19166.669999999998</v>
      </c>
      <c r="F47" s="2"/>
      <c r="G47" s="33">
        <f t="shared" si="17"/>
        <v>11.55</v>
      </c>
      <c r="H47" s="34">
        <v>0</v>
      </c>
      <c r="I47" s="16">
        <f t="shared" si="11"/>
        <v>127.05</v>
      </c>
      <c r="K47" s="14">
        <v>0</v>
      </c>
      <c r="L47" s="15">
        <v>0</v>
      </c>
      <c r="M47" s="16">
        <f t="shared" si="9"/>
        <v>0</v>
      </c>
      <c r="O47" s="33">
        <f t="shared" si="12"/>
        <v>0</v>
      </c>
      <c r="P47" s="34">
        <v>0</v>
      </c>
      <c r="Q47" s="16">
        <f t="shared" si="13"/>
        <v>0</v>
      </c>
      <c r="S47" s="33">
        <v>0</v>
      </c>
      <c r="T47" s="34">
        <v>0</v>
      </c>
      <c r="U47" s="16">
        <f t="shared" si="14"/>
        <v>0</v>
      </c>
      <c r="W47" s="14">
        <f t="shared" si="0"/>
        <v>0</v>
      </c>
      <c r="X47" s="15">
        <v>0</v>
      </c>
      <c r="Y47" s="16">
        <f t="shared" si="15"/>
        <v>0</v>
      </c>
      <c r="Z47" s="70"/>
      <c r="AA47" s="14">
        <f t="shared" si="1"/>
        <v>1.64</v>
      </c>
      <c r="AB47" s="15">
        <v>0</v>
      </c>
      <c r="AC47" s="16">
        <f t="shared" si="2"/>
        <v>18.040000000000003</v>
      </c>
      <c r="AD47" s="70"/>
      <c r="AF47" s="19" t="s">
        <v>16</v>
      </c>
      <c r="AG47" s="30">
        <f t="shared" si="3"/>
        <v>46041</v>
      </c>
      <c r="AH47" s="31">
        <f t="shared" si="4"/>
        <v>19166.669999999998</v>
      </c>
      <c r="AI47" s="31">
        <f t="shared" si="5"/>
        <v>0</v>
      </c>
      <c r="AJ47" s="34">
        <f t="shared" si="6"/>
        <v>0</v>
      </c>
      <c r="AK47" s="31">
        <f t="shared" si="7"/>
        <v>0</v>
      </c>
      <c r="AL47" s="32">
        <f t="shared" si="16"/>
        <v>0</v>
      </c>
    </row>
    <row r="48" spans="1:44" outlineLevel="1" x14ac:dyDescent="0.45">
      <c r="A48" s="27">
        <v>46042</v>
      </c>
      <c r="B48" s="28">
        <f t="shared" si="10"/>
        <v>1</v>
      </c>
      <c r="C48" s="14">
        <v>0</v>
      </c>
      <c r="D48" s="15">
        <v>0</v>
      </c>
      <c r="E48" s="16">
        <f t="shared" si="8"/>
        <v>19166.669999999998</v>
      </c>
      <c r="F48" s="2"/>
      <c r="G48" s="33">
        <f t="shared" si="17"/>
        <v>11.55</v>
      </c>
      <c r="H48" s="34">
        <v>0</v>
      </c>
      <c r="I48" s="16">
        <f t="shared" si="11"/>
        <v>138.6</v>
      </c>
      <c r="K48" s="14">
        <v>0</v>
      </c>
      <c r="L48" s="15">
        <v>0</v>
      </c>
      <c r="M48" s="16">
        <f t="shared" si="9"/>
        <v>0</v>
      </c>
      <c r="O48" s="33">
        <f t="shared" si="12"/>
        <v>0</v>
      </c>
      <c r="P48" s="34">
        <v>0</v>
      </c>
      <c r="Q48" s="16">
        <f t="shared" si="13"/>
        <v>0</v>
      </c>
      <c r="S48" s="33">
        <v>0</v>
      </c>
      <c r="T48" s="34">
        <v>0</v>
      </c>
      <c r="U48" s="16">
        <f t="shared" si="14"/>
        <v>0</v>
      </c>
      <c r="W48" s="14">
        <f t="shared" si="0"/>
        <v>0</v>
      </c>
      <c r="X48" s="15">
        <v>0</v>
      </c>
      <c r="Y48" s="16">
        <f t="shared" si="15"/>
        <v>0</v>
      </c>
      <c r="Z48" s="70"/>
      <c r="AA48" s="14">
        <f t="shared" si="1"/>
        <v>1.64</v>
      </c>
      <c r="AB48" s="15">
        <v>0</v>
      </c>
      <c r="AC48" s="16">
        <f t="shared" si="2"/>
        <v>19.680000000000003</v>
      </c>
      <c r="AD48" s="70"/>
      <c r="AF48" s="19" t="s">
        <v>16</v>
      </c>
      <c r="AG48" s="30">
        <f t="shared" si="3"/>
        <v>46042</v>
      </c>
      <c r="AH48" s="31">
        <f t="shared" si="4"/>
        <v>19166.669999999998</v>
      </c>
      <c r="AI48" s="31">
        <f t="shared" si="5"/>
        <v>0</v>
      </c>
      <c r="AJ48" s="34">
        <f t="shared" si="6"/>
        <v>0</v>
      </c>
      <c r="AK48" s="31">
        <f t="shared" si="7"/>
        <v>0</v>
      </c>
      <c r="AL48" s="32">
        <f t="shared" si="16"/>
        <v>0</v>
      </c>
    </row>
    <row r="49" spans="1:38" outlineLevel="1" x14ac:dyDescent="0.45">
      <c r="A49" s="27">
        <v>46043</v>
      </c>
      <c r="B49" s="28">
        <f t="shared" si="10"/>
        <v>1</v>
      </c>
      <c r="C49" s="14">
        <v>0</v>
      </c>
      <c r="D49" s="15">
        <v>0</v>
      </c>
      <c r="E49" s="16">
        <f t="shared" si="8"/>
        <v>19166.669999999998</v>
      </c>
      <c r="F49" s="2"/>
      <c r="G49" s="33">
        <f t="shared" si="17"/>
        <v>11.55</v>
      </c>
      <c r="H49" s="34">
        <v>0</v>
      </c>
      <c r="I49" s="16">
        <f t="shared" si="11"/>
        <v>150.15</v>
      </c>
      <c r="K49" s="14">
        <v>0</v>
      </c>
      <c r="L49" s="15">
        <v>0</v>
      </c>
      <c r="M49" s="16">
        <f t="shared" si="9"/>
        <v>0</v>
      </c>
      <c r="O49" s="33">
        <f t="shared" si="12"/>
        <v>0</v>
      </c>
      <c r="P49" s="34">
        <v>0</v>
      </c>
      <c r="Q49" s="16">
        <f t="shared" si="13"/>
        <v>0</v>
      </c>
      <c r="S49" s="33">
        <v>0</v>
      </c>
      <c r="T49" s="34">
        <v>0</v>
      </c>
      <c r="U49" s="16">
        <f t="shared" si="14"/>
        <v>0</v>
      </c>
      <c r="W49" s="14">
        <f t="shared" si="0"/>
        <v>0</v>
      </c>
      <c r="X49" s="15">
        <v>0</v>
      </c>
      <c r="Y49" s="16">
        <f t="shared" si="15"/>
        <v>0</v>
      </c>
      <c r="Z49" s="70"/>
      <c r="AA49" s="14">
        <f t="shared" si="1"/>
        <v>1.64</v>
      </c>
      <c r="AB49" s="15">
        <v>0</v>
      </c>
      <c r="AC49" s="16">
        <f t="shared" si="2"/>
        <v>21.320000000000004</v>
      </c>
      <c r="AD49" s="70"/>
      <c r="AF49" s="19" t="s">
        <v>16</v>
      </c>
      <c r="AG49" s="30">
        <f t="shared" si="3"/>
        <v>46043</v>
      </c>
      <c r="AH49" s="31">
        <f t="shared" si="4"/>
        <v>19166.669999999998</v>
      </c>
      <c r="AI49" s="31">
        <f t="shared" si="5"/>
        <v>0</v>
      </c>
      <c r="AJ49" s="34">
        <f t="shared" si="6"/>
        <v>0</v>
      </c>
      <c r="AK49" s="31">
        <f t="shared" si="7"/>
        <v>0</v>
      </c>
      <c r="AL49" s="32">
        <f t="shared" si="16"/>
        <v>0</v>
      </c>
    </row>
    <row r="50" spans="1:38" outlineLevel="1" x14ac:dyDescent="0.45">
      <c r="A50" s="27">
        <v>46044</v>
      </c>
      <c r="B50" s="28">
        <f t="shared" si="10"/>
        <v>1</v>
      </c>
      <c r="C50" s="14">
        <v>0</v>
      </c>
      <c r="D50" s="15">
        <v>0</v>
      </c>
      <c r="E50" s="16">
        <f t="shared" si="8"/>
        <v>19166.669999999998</v>
      </c>
      <c r="F50" s="2"/>
      <c r="G50" s="33">
        <f t="shared" si="17"/>
        <v>11.55</v>
      </c>
      <c r="H50" s="34">
        <v>0</v>
      </c>
      <c r="I50" s="16">
        <f t="shared" si="11"/>
        <v>161.70000000000002</v>
      </c>
      <c r="K50" s="14">
        <v>0</v>
      </c>
      <c r="L50" s="15">
        <v>0</v>
      </c>
      <c r="M50" s="16">
        <f t="shared" si="9"/>
        <v>0</v>
      </c>
      <c r="O50" s="33">
        <f t="shared" si="12"/>
        <v>0</v>
      </c>
      <c r="P50" s="34">
        <v>0</v>
      </c>
      <c r="Q50" s="16">
        <f t="shared" si="13"/>
        <v>0</v>
      </c>
      <c r="S50" s="33">
        <v>0</v>
      </c>
      <c r="T50" s="34">
        <v>0</v>
      </c>
      <c r="U50" s="16">
        <f t="shared" si="14"/>
        <v>0</v>
      </c>
      <c r="W50" s="14">
        <f t="shared" si="0"/>
        <v>0</v>
      </c>
      <c r="X50" s="15">
        <v>0</v>
      </c>
      <c r="Y50" s="16">
        <f t="shared" si="15"/>
        <v>0</v>
      </c>
      <c r="Z50" s="70"/>
      <c r="AA50" s="14">
        <f t="shared" si="1"/>
        <v>1.64</v>
      </c>
      <c r="AB50" s="15">
        <v>0</v>
      </c>
      <c r="AC50" s="16">
        <f t="shared" si="2"/>
        <v>22.960000000000004</v>
      </c>
      <c r="AD50" s="70"/>
      <c r="AF50" s="19" t="s">
        <v>16</v>
      </c>
      <c r="AG50" s="30">
        <f t="shared" si="3"/>
        <v>46044</v>
      </c>
      <c r="AH50" s="31">
        <f t="shared" si="4"/>
        <v>19166.669999999998</v>
      </c>
      <c r="AI50" s="31">
        <f t="shared" si="5"/>
        <v>0</v>
      </c>
      <c r="AJ50" s="34">
        <f t="shared" si="6"/>
        <v>0</v>
      </c>
      <c r="AK50" s="31">
        <f t="shared" si="7"/>
        <v>0</v>
      </c>
      <c r="AL50" s="32">
        <f t="shared" si="16"/>
        <v>0</v>
      </c>
    </row>
    <row r="51" spans="1:38" outlineLevel="1" x14ac:dyDescent="0.45">
      <c r="A51" s="27">
        <v>46045</v>
      </c>
      <c r="B51" s="28">
        <f t="shared" si="10"/>
        <v>1</v>
      </c>
      <c r="C51" s="14">
        <v>0</v>
      </c>
      <c r="D51" s="15">
        <v>0</v>
      </c>
      <c r="E51" s="16">
        <f t="shared" si="8"/>
        <v>19166.669999999998</v>
      </c>
      <c r="F51" s="2"/>
      <c r="G51" s="33">
        <f t="shared" si="17"/>
        <v>11.55</v>
      </c>
      <c r="H51" s="34">
        <v>0</v>
      </c>
      <c r="I51" s="16">
        <f t="shared" si="11"/>
        <v>173.25000000000003</v>
      </c>
      <c r="K51" s="14">
        <v>0</v>
      </c>
      <c r="L51" s="15">
        <v>0</v>
      </c>
      <c r="M51" s="16">
        <f t="shared" si="9"/>
        <v>0</v>
      </c>
      <c r="O51" s="33">
        <f t="shared" si="12"/>
        <v>0</v>
      </c>
      <c r="P51" s="34">
        <v>0</v>
      </c>
      <c r="Q51" s="16">
        <f t="shared" si="13"/>
        <v>0</v>
      </c>
      <c r="S51" s="33">
        <v>0</v>
      </c>
      <c r="T51" s="34">
        <v>0</v>
      </c>
      <c r="U51" s="16">
        <f t="shared" si="14"/>
        <v>0</v>
      </c>
      <c r="W51" s="14">
        <f t="shared" si="0"/>
        <v>0</v>
      </c>
      <c r="X51" s="15">
        <v>0</v>
      </c>
      <c r="Y51" s="16">
        <f t="shared" si="15"/>
        <v>0</v>
      </c>
      <c r="Z51" s="70"/>
      <c r="AA51" s="14">
        <f t="shared" si="1"/>
        <v>1.64</v>
      </c>
      <c r="AB51" s="15">
        <v>0</v>
      </c>
      <c r="AC51" s="16">
        <f t="shared" si="2"/>
        <v>24.600000000000005</v>
      </c>
      <c r="AD51" s="70"/>
      <c r="AF51" s="19" t="s">
        <v>16</v>
      </c>
      <c r="AG51" s="30">
        <f t="shared" si="3"/>
        <v>46045</v>
      </c>
      <c r="AH51" s="31">
        <f t="shared" si="4"/>
        <v>19166.669999999998</v>
      </c>
      <c r="AI51" s="31">
        <f t="shared" si="5"/>
        <v>0</v>
      </c>
      <c r="AJ51" s="34">
        <f t="shared" si="6"/>
        <v>0</v>
      </c>
      <c r="AK51" s="31">
        <f t="shared" si="7"/>
        <v>0</v>
      </c>
      <c r="AL51" s="32">
        <f t="shared" si="16"/>
        <v>0</v>
      </c>
    </row>
    <row r="52" spans="1:38" outlineLevel="1" x14ac:dyDescent="0.45">
      <c r="A52" s="27">
        <v>46046</v>
      </c>
      <c r="B52" s="28">
        <f t="shared" si="10"/>
        <v>1</v>
      </c>
      <c r="C52" s="14">
        <v>0</v>
      </c>
      <c r="D52" s="15">
        <v>0</v>
      </c>
      <c r="E52" s="16">
        <f t="shared" si="8"/>
        <v>19166.669999999998</v>
      </c>
      <c r="F52" s="2"/>
      <c r="G52" s="33">
        <f t="shared" si="17"/>
        <v>11.55</v>
      </c>
      <c r="H52" s="34">
        <v>0</v>
      </c>
      <c r="I52" s="16">
        <f t="shared" si="11"/>
        <v>184.80000000000004</v>
      </c>
      <c r="K52" s="14">
        <v>0</v>
      </c>
      <c r="L52" s="15">
        <v>0</v>
      </c>
      <c r="M52" s="16">
        <f t="shared" si="9"/>
        <v>0</v>
      </c>
      <c r="O52" s="33">
        <f t="shared" si="12"/>
        <v>0</v>
      </c>
      <c r="P52" s="34">
        <v>0</v>
      </c>
      <c r="Q52" s="16">
        <f t="shared" si="13"/>
        <v>0</v>
      </c>
      <c r="S52" s="33">
        <v>0</v>
      </c>
      <c r="T52" s="34">
        <v>0</v>
      </c>
      <c r="U52" s="16">
        <f t="shared" si="14"/>
        <v>0</v>
      </c>
      <c r="W52" s="14">
        <f t="shared" si="0"/>
        <v>0</v>
      </c>
      <c r="X52" s="15">
        <v>0</v>
      </c>
      <c r="Y52" s="16">
        <f t="shared" si="15"/>
        <v>0</v>
      </c>
      <c r="Z52" s="70"/>
      <c r="AA52" s="14">
        <f t="shared" si="1"/>
        <v>1.64</v>
      </c>
      <c r="AB52" s="15">
        <v>0</v>
      </c>
      <c r="AC52" s="16">
        <f t="shared" si="2"/>
        <v>26.240000000000006</v>
      </c>
      <c r="AD52" s="70"/>
      <c r="AF52" s="19" t="s">
        <v>16</v>
      </c>
      <c r="AG52" s="30">
        <f t="shared" si="3"/>
        <v>46046</v>
      </c>
      <c r="AH52" s="31">
        <f t="shared" si="4"/>
        <v>19166.669999999998</v>
      </c>
      <c r="AI52" s="31">
        <f t="shared" si="5"/>
        <v>0</v>
      </c>
      <c r="AJ52" s="34">
        <f t="shared" si="6"/>
        <v>0</v>
      </c>
      <c r="AK52" s="31">
        <f t="shared" si="7"/>
        <v>0</v>
      </c>
      <c r="AL52" s="32">
        <f t="shared" si="16"/>
        <v>0</v>
      </c>
    </row>
    <row r="53" spans="1:38" outlineLevel="1" x14ac:dyDescent="0.45">
      <c r="A53" s="27">
        <v>46047</v>
      </c>
      <c r="B53" s="28">
        <f t="shared" si="10"/>
        <v>1</v>
      </c>
      <c r="C53" s="14">
        <v>0</v>
      </c>
      <c r="D53" s="15">
        <v>0</v>
      </c>
      <c r="E53" s="16">
        <f t="shared" si="8"/>
        <v>19166.669999999998</v>
      </c>
      <c r="F53" s="2"/>
      <c r="G53" s="33">
        <f t="shared" si="17"/>
        <v>11.55</v>
      </c>
      <c r="H53" s="34">
        <v>0</v>
      </c>
      <c r="I53" s="16">
        <f t="shared" si="11"/>
        <v>196.35000000000005</v>
      </c>
      <c r="K53" s="14">
        <v>0</v>
      </c>
      <c r="L53" s="15">
        <v>0</v>
      </c>
      <c r="M53" s="16">
        <f t="shared" si="9"/>
        <v>0</v>
      </c>
      <c r="O53" s="33">
        <f t="shared" si="12"/>
        <v>0</v>
      </c>
      <c r="P53" s="34">
        <v>0</v>
      </c>
      <c r="Q53" s="16">
        <f t="shared" si="13"/>
        <v>0</v>
      </c>
      <c r="S53" s="33">
        <v>0</v>
      </c>
      <c r="T53" s="34">
        <v>0</v>
      </c>
      <c r="U53" s="16">
        <f t="shared" si="14"/>
        <v>0</v>
      </c>
      <c r="W53" s="14">
        <f t="shared" si="0"/>
        <v>0</v>
      </c>
      <c r="X53" s="15">
        <v>0</v>
      </c>
      <c r="Y53" s="16">
        <f t="shared" si="15"/>
        <v>0</v>
      </c>
      <c r="Z53" s="70"/>
      <c r="AA53" s="14">
        <f t="shared" si="1"/>
        <v>1.64</v>
      </c>
      <c r="AB53" s="15">
        <v>0</v>
      </c>
      <c r="AC53" s="16">
        <f t="shared" si="2"/>
        <v>27.880000000000006</v>
      </c>
      <c r="AD53" s="70"/>
      <c r="AF53" s="19" t="s">
        <v>16</v>
      </c>
      <c r="AG53" s="30">
        <f t="shared" si="3"/>
        <v>46047</v>
      </c>
      <c r="AH53" s="31">
        <f t="shared" si="4"/>
        <v>19166.669999999998</v>
      </c>
      <c r="AI53" s="31">
        <f t="shared" si="5"/>
        <v>0</v>
      </c>
      <c r="AJ53" s="34">
        <f t="shared" si="6"/>
        <v>0</v>
      </c>
      <c r="AK53" s="31">
        <f t="shared" si="7"/>
        <v>0</v>
      </c>
      <c r="AL53" s="32">
        <f t="shared" si="16"/>
        <v>0</v>
      </c>
    </row>
    <row r="54" spans="1:38" outlineLevel="1" x14ac:dyDescent="0.45">
      <c r="A54" s="27">
        <v>46048</v>
      </c>
      <c r="B54" s="28">
        <f t="shared" si="10"/>
        <v>1</v>
      </c>
      <c r="C54" s="14">
        <v>0</v>
      </c>
      <c r="D54" s="15">
        <v>0</v>
      </c>
      <c r="E54" s="16">
        <f t="shared" si="8"/>
        <v>19166.669999999998</v>
      </c>
      <c r="F54" s="2"/>
      <c r="G54" s="33">
        <f t="shared" si="17"/>
        <v>11.55</v>
      </c>
      <c r="H54" s="34">
        <v>0</v>
      </c>
      <c r="I54" s="16">
        <f t="shared" si="11"/>
        <v>207.90000000000006</v>
      </c>
      <c r="K54" s="14">
        <v>0</v>
      </c>
      <c r="L54" s="15">
        <v>0</v>
      </c>
      <c r="M54" s="16">
        <f t="shared" si="9"/>
        <v>0</v>
      </c>
      <c r="O54" s="33">
        <f t="shared" si="12"/>
        <v>0</v>
      </c>
      <c r="P54" s="34">
        <v>0</v>
      </c>
      <c r="Q54" s="16">
        <f t="shared" si="13"/>
        <v>0</v>
      </c>
      <c r="S54" s="33">
        <v>0</v>
      </c>
      <c r="T54" s="34">
        <v>0</v>
      </c>
      <c r="U54" s="16">
        <f t="shared" si="14"/>
        <v>0</v>
      </c>
      <c r="W54" s="14">
        <f t="shared" si="0"/>
        <v>0</v>
      </c>
      <c r="X54" s="15">
        <v>0</v>
      </c>
      <c r="Y54" s="16">
        <f t="shared" si="15"/>
        <v>0</v>
      </c>
      <c r="Z54" s="70"/>
      <c r="AA54" s="14">
        <f t="shared" si="1"/>
        <v>1.64</v>
      </c>
      <c r="AB54" s="15">
        <v>0</v>
      </c>
      <c r="AC54" s="16">
        <f t="shared" si="2"/>
        <v>29.520000000000007</v>
      </c>
      <c r="AD54" s="70"/>
      <c r="AF54" s="19" t="s">
        <v>16</v>
      </c>
      <c r="AG54" s="30">
        <f t="shared" si="3"/>
        <v>46048</v>
      </c>
      <c r="AH54" s="31">
        <f t="shared" si="4"/>
        <v>19166.669999999998</v>
      </c>
      <c r="AI54" s="31">
        <f t="shared" si="5"/>
        <v>0</v>
      </c>
      <c r="AJ54" s="34">
        <f t="shared" si="6"/>
        <v>0</v>
      </c>
      <c r="AK54" s="31">
        <f t="shared" si="7"/>
        <v>0</v>
      </c>
      <c r="AL54" s="32">
        <f t="shared" si="16"/>
        <v>0</v>
      </c>
    </row>
    <row r="55" spans="1:38" outlineLevel="1" x14ac:dyDescent="0.45">
      <c r="A55" s="27">
        <v>46049</v>
      </c>
      <c r="B55" s="28">
        <f t="shared" si="10"/>
        <v>1</v>
      </c>
      <c r="C55" s="14">
        <v>0</v>
      </c>
      <c r="D55" s="15">
        <v>0</v>
      </c>
      <c r="E55" s="16">
        <f t="shared" si="8"/>
        <v>19166.669999999998</v>
      </c>
      <c r="F55" s="2"/>
      <c r="G55" s="33">
        <f t="shared" si="17"/>
        <v>11.55</v>
      </c>
      <c r="H55" s="34">
        <v>0</v>
      </c>
      <c r="I55" s="16">
        <f t="shared" si="11"/>
        <v>219.45000000000007</v>
      </c>
      <c r="K55" s="14">
        <v>0</v>
      </c>
      <c r="L55" s="15">
        <v>0</v>
      </c>
      <c r="M55" s="16">
        <f t="shared" si="9"/>
        <v>0</v>
      </c>
      <c r="O55" s="33">
        <f t="shared" si="12"/>
        <v>0</v>
      </c>
      <c r="P55" s="34">
        <v>0</v>
      </c>
      <c r="Q55" s="16">
        <f t="shared" si="13"/>
        <v>0</v>
      </c>
      <c r="S55" s="33">
        <v>0</v>
      </c>
      <c r="T55" s="34">
        <v>0</v>
      </c>
      <c r="U55" s="16">
        <f t="shared" si="14"/>
        <v>0</v>
      </c>
      <c r="W55" s="14">
        <f t="shared" si="0"/>
        <v>0</v>
      </c>
      <c r="X55" s="15">
        <v>0</v>
      </c>
      <c r="Y55" s="16">
        <f t="shared" si="15"/>
        <v>0</v>
      </c>
      <c r="Z55" s="70"/>
      <c r="AA55" s="14">
        <f t="shared" si="1"/>
        <v>1.64</v>
      </c>
      <c r="AB55" s="15">
        <v>0</v>
      </c>
      <c r="AC55" s="16">
        <f t="shared" si="2"/>
        <v>31.160000000000007</v>
      </c>
      <c r="AD55" s="70"/>
      <c r="AF55" s="19" t="s">
        <v>16</v>
      </c>
      <c r="AG55" s="30">
        <f t="shared" si="3"/>
        <v>46049</v>
      </c>
      <c r="AH55" s="31">
        <f t="shared" si="4"/>
        <v>19166.669999999998</v>
      </c>
      <c r="AI55" s="31">
        <f t="shared" si="5"/>
        <v>0</v>
      </c>
      <c r="AJ55" s="34">
        <f t="shared" si="6"/>
        <v>0</v>
      </c>
      <c r="AK55" s="31">
        <f t="shared" si="7"/>
        <v>0</v>
      </c>
      <c r="AL55" s="32">
        <f t="shared" si="16"/>
        <v>0</v>
      </c>
    </row>
    <row r="56" spans="1:38" outlineLevel="1" x14ac:dyDescent="0.45">
      <c r="A56" s="27">
        <v>46050</v>
      </c>
      <c r="B56" s="28">
        <f t="shared" si="10"/>
        <v>1</v>
      </c>
      <c r="C56" s="14">
        <v>0</v>
      </c>
      <c r="D56" s="15">
        <v>0</v>
      </c>
      <c r="E56" s="16">
        <f t="shared" si="8"/>
        <v>19166.669999999998</v>
      </c>
      <c r="F56" s="2"/>
      <c r="G56" s="33">
        <f t="shared" si="17"/>
        <v>11.55</v>
      </c>
      <c r="H56" s="34">
        <v>0</v>
      </c>
      <c r="I56" s="16">
        <f t="shared" si="11"/>
        <v>231.00000000000009</v>
      </c>
      <c r="K56" s="14">
        <v>0</v>
      </c>
      <c r="L56" s="15">
        <v>0</v>
      </c>
      <c r="M56" s="16">
        <f t="shared" si="9"/>
        <v>0</v>
      </c>
      <c r="O56" s="33">
        <f t="shared" si="12"/>
        <v>0</v>
      </c>
      <c r="P56" s="34">
        <v>0</v>
      </c>
      <c r="Q56" s="16">
        <f t="shared" si="13"/>
        <v>0</v>
      </c>
      <c r="S56" s="33">
        <v>0</v>
      </c>
      <c r="T56" s="34">
        <v>0</v>
      </c>
      <c r="U56" s="16">
        <f t="shared" si="14"/>
        <v>0</v>
      </c>
      <c r="W56" s="14">
        <f t="shared" si="0"/>
        <v>0</v>
      </c>
      <c r="X56" s="15">
        <v>0</v>
      </c>
      <c r="Y56" s="16">
        <f t="shared" si="15"/>
        <v>0</v>
      </c>
      <c r="Z56" s="70"/>
      <c r="AA56" s="14">
        <f t="shared" si="1"/>
        <v>1.64</v>
      </c>
      <c r="AB56" s="15">
        <v>0</v>
      </c>
      <c r="AC56" s="16">
        <f t="shared" si="2"/>
        <v>32.800000000000004</v>
      </c>
      <c r="AD56" s="70"/>
      <c r="AF56" s="19" t="s">
        <v>16</v>
      </c>
      <c r="AG56" s="30">
        <f t="shared" si="3"/>
        <v>46050</v>
      </c>
      <c r="AH56" s="31">
        <f t="shared" si="4"/>
        <v>19166.669999999998</v>
      </c>
      <c r="AI56" s="31">
        <f t="shared" si="5"/>
        <v>0</v>
      </c>
      <c r="AJ56" s="34">
        <f t="shared" si="6"/>
        <v>0</v>
      </c>
      <c r="AK56" s="31">
        <f t="shared" si="7"/>
        <v>0</v>
      </c>
      <c r="AL56" s="32">
        <f t="shared" si="16"/>
        <v>0</v>
      </c>
    </row>
    <row r="57" spans="1:38" outlineLevel="1" x14ac:dyDescent="0.45">
      <c r="A57" s="27">
        <v>46051</v>
      </c>
      <c r="B57" s="28">
        <f t="shared" si="10"/>
        <v>1</v>
      </c>
      <c r="C57" s="14">
        <v>0</v>
      </c>
      <c r="D57" s="15">
        <v>0</v>
      </c>
      <c r="E57" s="16">
        <f t="shared" si="8"/>
        <v>19166.669999999998</v>
      </c>
      <c r="F57" s="2"/>
      <c r="G57" s="33">
        <f t="shared" si="17"/>
        <v>11.55</v>
      </c>
      <c r="H57" s="34">
        <v>0</v>
      </c>
      <c r="I57" s="16">
        <f t="shared" si="11"/>
        <v>242.5500000000001</v>
      </c>
      <c r="K57" s="14">
        <v>0</v>
      </c>
      <c r="L57" s="15">
        <v>0</v>
      </c>
      <c r="M57" s="16">
        <f t="shared" si="9"/>
        <v>0</v>
      </c>
      <c r="O57" s="33">
        <f t="shared" si="12"/>
        <v>0</v>
      </c>
      <c r="P57" s="34">
        <v>0</v>
      </c>
      <c r="Q57" s="16">
        <f t="shared" si="13"/>
        <v>0</v>
      </c>
      <c r="S57" s="33">
        <v>0</v>
      </c>
      <c r="T57" s="34">
        <v>0</v>
      </c>
      <c r="U57" s="16">
        <f t="shared" si="14"/>
        <v>0</v>
      </c>
      <c r="W57" s="14">
        <f t="shared" si="0"/>
        <v>0</v>
      </c>
      <c r="X57" s="15">
        <v>0</v>
      </c>
      <c r="Y57" s="16">
        <f t="shared" si="15"/>
        <v>0</v>
      </c>
      <c r="Z57" s="70"/>
      <c r="AA57" s="14">
        <f t="shared" si="1"/>
        <v>1.64</v>
      </c>
      <c r="AB57" s="15">
        <v>0</v>
      </c>
      <c r="AC57" s="16">
        <f t="shared" si="2"/>
        <v>34.440000000000005</v>
      </c>
      <c r="AD57" s="70"/>
      <c r="AF57" s="19" t="s">
        <v>16</v>
      </c>
      <c r="AG57" s="30">
        <f t="shared" si="3"/>
        <v>46051</v>
      </c>
      <c r="AH57" s="31">
        <f t="shared" si="4"/>
        <v>19166.669999999998</v>
      </c>
      <c r="AI57" s="31">
        <f t="shared" si="5"/>
        <v>0</v>
      </c>
      <c r="AJ57" s="34">
        <f t="shared" si="6"/>
        <v>0</v>
      </c>
      <c r="AK57" s="31">
        <f t="shared" si="7"/>
        <v>0</v>
      </c>
      <c r="AL57" s="32">
        <f t="shared" si="16"/>
        <v>0</v>
      </c>
    </row>
    <row r="58" spans="1:38" outlineLevel="1" x14ac:dyDescent="0.45">
      <c r="A58" s="27">
        <v>46052</v>
      </c>
      <c r="B58" s="28">
        <f t="shared" si="10"/>
        <v>1</v>
      </c>
      <c r="C58" s="14">
        <v>0</v>
      </c>
      <c r="D58" s="15">
        <v>0</v>
      </c>
      <c r="E58" s="16">
        <f t="shared" si="8"/>
        <v>19166.669999999998</v>
      </c>
      <c r="F58" s="2"/>
      <c r="G58" s="33">
        <f t="shared" si="17"/>
        <v>11.55</v>
      </c>
      <c r="H58" s="34">
        <v>0</v>
      </c>
      <c r="I58" s="16">
        <f t="shared" si="11"/>
        <v>254.10000000000011</v>
      </c>
      <c r="K58" s="14">
        <v>0</v>
      </c>
      <c r="L58" s="15">
        <v>0</v>
      </c>
      <c r="M58" s="16">
        <f t="shared" si="9"/>
        <v>0</v>
      </c>
      <c r="O58" s="33">
        <f t="shared" si="12"/>
        <v>0</v>
      </c>
      <c r="P58" s="34">
        <v>0</v>
      </c>
      <c r="Q58" s="16">
        <f t="shared" si="13"/>
        <v>0</v>
      </c>
      <c r="S58" s="33">
        <v>0</v>
      </c>
      <c r="T58" s="34">
        <v>0</v>
      </c>
      <c r="U58" s="16">
        <f t="shared" si="14"/>
        <v>0</v>
      </c>
      <c r="W58" s="14">
        <f t="shared" si="0"/>
        <v>0</v>
      </c>
      <c r="X58" s="15">
        <v>0</v>
      </c>
      <c r="Y58" s="16">
        <f t="shared" si="15"/>
        <v>0</v>
      </c>
      <c r="Z58" s="70"/>
      <c r="AA58" s="14">
        <f t="shared" si="1"/>
        <v>1.64</v>
      </c>
      <c r="AB58" s="15">
        <v>0</v>
      </c>
      <c r="AC58" s="16">
        <f t="shared" si="2"/>
        <v>36.080000000000005</v>
      </c>
      <c r="AD58" s="70"/>
      <c r="AF58" s="19" t="s">
        <v>16</v>
      </c>
      <c r="AG58" s="30">
        <f t="shared" si="3"/>
        <v>46052</v>
      </c>
      <c r="AH58" s="31">
        <f t="shared" si="4"/>
        <v>19166.669999999998</v>
      </c>
      <c r="AI58" s="31">
        <f t="shared" si="5"/>
        <v>0</v>
      </c>
      <c r="AJ58" s="34">
        <f t="shared" si="6"/>
        <v>0</v>
      </c>
      <c r="AK58" s="31">
        <f t="shared" si="7"/>
        <v>0</v>
      </c>
      <c r="AL58" s="32">
        <f t="shared" si="16"/>
        <v>0</v>
      </c>
    </row>
    <row r="59" spans="1:38" outlineLevel="1" x14ac:dyDescent="0.45">
      <c r="A59" s="27">
        <v>46053</v>
      </c>
      <c r="B59" s="28">
        <f t="shared" si="10"/>
        <v>1</v>
      </c>
      <c r="C59" s="14">
        <v>0</v>
      </c>
      <c r="D59" s="15">
        <v>0</v>
      </c>
      <c r="E59" s="16">
        <f t="shared" si="8"/>
        <v>19166.669999999998</v>
      </c>
      <c r="F59" s="2"/>
      <c r="G59" s="33">
        <f t="shared" si="17"/>
        <v>11.55</v>
      </c>
      <c r="H59" s="34">
        <v>0</v>
      </c>
      <c r="I59" s="16">
        <f t="shared" si="11"/>
        <v>265.65000000000009</v>
      </c>
      <c r="K59" s="14">
        <v>0</v>
      </c>
      <c r="L59" s="15">
        <v>0</v>
      </c>
      <c r="M59" s="16">
        <f t="shared" si="9"/>
        <v>0</v>
      </c>
      <c r="O59" s="33">
        <f t="shared" si="12"/>
        <v>0</v>
      </c>
      <c r="P59" s="34">
        <v>0</v>
      </c>
      <c r="Q59" s="16">
        <f t="shared" si="13"/>
        <v>0</v>
      </c>
      <c r="S59" s="33">
        <v>0</v>
      </c>
      <c r="T59" s="34">
        <v>0</v>
      </c>
      <c r="U59" s="16">
        <f t="shared" si="14"/>
        <v>0</v>
      </c>
      <c r="W59" s="14">
        <f t="shared" si="0"/>
        <v>0</v>
      </c>
      <c r="X59" s="15">
        <v>0</v>
      </c>
      <c r="Y59" s="16">
        <f t="shared" si="15"/>
        <v>0</v>
      </c>
      <c r="Z59" s="70"/>
      <c r="AA59" s="14">
        <f t="shared" si="1"/>
        <v>1.64</v>
      </c>
      <c r="AB59" s="15">
        <v>0</v>
      </c>
      <c r="AC59" s="16">
        <f t="shared" si="2"/>
        <v>37.720000000000006</v>
      </c>
      <c r="AD59" s="70"/>
      <c r="AF59" s="19" t="s">
        <v>16</v>
      </c>
      <c r="AG59" s="30">
        <f t="shared" si="3"/>
        <v>46053</v>
      </c>
      <c r="AH59" s="31">
        <f t="shared" si="4"/>
        <v>19166.669999999998</v>
      </c>
      <c r="AI59" s="31">
        <f t="shared" si="5"/>
        <v>0</v>
      </c>
      <c r="AJ59" s="34">
        <f t="shared" si="6"/>
        <v>0</v>
      </c>
      <c r="AK59" s="31">
        <f t="shared" si="7"/>
        <v>0</v>
      </c>
      <c r="AL59" s="32">
        <f t="shared" si="16"/>
        <v>0</v>
      </c>
    </row>
    <row r="60" spans="1:38" outlineLevel="1" x14ac:dyDescent="0.45">
      <c r="A60" s="27">
        <v>46054</v>
      </c>
      <c r="B60" s="28">
        <f t="shared" si="10"/>
        <v>1</v>
      </c>
      <c r="C60" s="14">
        <v>0</v>
      </c>
      <c r="D60" s="15">
        <v>0</v>
      </c>
      <c r="E60" s="16">
        <f t="shared" si="8"/>
        <v>19166.669999999998</v>
      </c>
      <c r="F60" s="2"/>
      <c r="G60" s="33">
        <f t="shared" si="17"/>
        <v>11.55</v>
      </c>
      <c r="H60" s="34">
        <v>0</v>
      </c>
      <c r="I60" s="16">
        <f t="shared" si="11"/>
        <v>277.2000000000001</v>
      </c>
      <c r="K60" s="14">
        <v>0</v>
      </c>
      <c r="L60" s="15">
        <v>0</v>
      </c>
      <c r="M60" s="16">
        <f t="shared" si="9"/>
        <v>0</v>
      </c>
      <c r="O60" s="33">
        <f t="shared" si="12"/>
        <v>0</v>
      </c>
      <c r="P60" s="34">
        <v>0</v>
      </c>
      <c r="Q60" s="16">
        <f t="shared" si="13"/>
        <v>0</v>
      </c>
      <c r="S60" s="33">
        <v>0</v>
      </c>
      <c r="T60" s="34">
        <v>0</v>
      </c>
      <c r="U60" s="16">
        <f t="shared" si="14"/>
        <v>0</v>
      </c>
      <c r="W60" s="14">
        <f t="shared" si="0"/>
        <v>0</v>
      </c>
      <c r="X60" s="15">
        <v>0</v>
      </c>
      <c r="Y60" s="16">
        <f t="shared" si="15"/>
        <v>0</v>
      </c>
      <c r="Z60" s="70"/>
      <c r="AA60" s="14">
        <f t="shared" si="1"/>
        <v>1.64</v>
      </c>
      <c r="AB60" s="15">
        <v>0</v>
      </c>
      <c r="AC60" s="16">
        <f t="shared" si="2"/>
        <v>39.360000000000007</v>
      </c>
      <c r="AD60" s="70"/>
      <c r="AF60" s="19" t="s">
        <v>16</v>
      </c>
      <c r="AG60" s="30">
        <f t="shared" si="3"/>
        <v>46054</v>
      </c>
      <c r="AH60" s="31">
        <f t="shared" si="4"/>
        <v>19166.669999999998</v>
      </c>
      <c r="AI60" s="31">
        <f t="shared" si="5"/>
        <v>0</v>
      </c>
      <c r="AJ60" s="34">
        <f t="shared" si="6"/>
        <v>0</v>
      </c>
      <c r="AK60" s="31">
        <f t="shared" si="7"/>
        <v>0</v>
      </c>
      <c r="AL60" s="32">
        <f t="shared" si="16"/>
        <v>0</v>
      </c>
    </row>
    <row r="61" spans="1:38" outlineLevel="1" x14ac:dyDescent="0.45">
      <c r="A61" s="27">
        <v>46055</v>
      </c>
      <c r="B61" s="28">
        <f t="shared" si="10"/>
        <v>1</v>
      </c>
      <c r="C61" s="14">
        <v>0</v>
      </c>
      <c r="D61" s="15">
        <v>0</v>
      </c>
      <c r="E61" s="16">
        <f t="shared" si="8"/>
        <v>19166.669999999998</v>
      </c>
      <c r="F61" s="2"/>
      <c r="G61" s="33">
        <f t="shared" si="17"/>
        <v>11.55</v>
      </c>
      <c r="H61" s="34">
        <v>0</v>
      </c>
      <c r="I61" s="16">
        <f t="shared" si="11"/>
        <v>288.75000000000011</v>
      </c>
      <c r="K61" s="14">
        <v>0</v>
      </c>
      <c r="L61" s="15">
        <v>0</v>
      </c>
      <c r="M61" s="16">
        <f t="shared" si="9"/>
        <v>0</v>
      </c>
      <c r="O61" s="33">
        <f t="shared" si="12"/>
        <v>0</v>
      </c>
      <c r="P61" s="34">
        <v>0</v>
      </c>
      <c r="Q61" s="16">
        <f t="shared" si="13"/>
        <v>0</v>
      </c>
      <c r="S61" s="33">
        <v>0</v>
      </c>
      <c r="T61" s="34">
        <v>0</v>
      </c>
      <c r="U61" s="16">
        <f t="shared" si="14"/>
        <v>0</v>
      </c>
      <c r="W61" s="14">
        <f t="shared" si="0"/>
        <v>0</v>
      </c>
      <c r="X61" s="15">
        <v>0</v>
      </c>
      <c r="Y61" s="16">
        <f t="shared" si="15"/>
        <v>0</v>
      </c>
      <c r="Z61" s="70"/>
      <c r="AA61" s="14">
        <f t="shared" si="1"/>
        <v>1.64</v>
      </c>
      <c r="AB61" s="15">
        <v>0</v>
      </c>
      <c r="AC61" s="16">
        <f t="shared" si="2"/>
        <v>41.000000000000007</v>
      </c>
      <c r="AD61" s="70"/>
      <c r="AF61" s="19" t="s">
        <v>16</v>
      </c>
      <c r="AG61" s="30">
        <f t="shared" si="3"/>
        <v>46055</v>
      </c>
      <c r="AH61" s="31">
        <f t="shared" si="4"/>
        <v>19166.669999999998</v>
      </c>
      <c r="AI61" s="31">
        <f t="shared" si="5"/>
        <v>0</v>
      </c>
      <c r="AJ61" s="34">
        <f t="shared" si="6"/>
        <v>0</v>
      </c>
      <c r="AK61" s="31">
        <f t="shared" si="7"/>
        <v>0</v>
      </c>
      <c r="AL61" s="32">
        <f t="shared" si="16"/>
        <v>0</v>
      </c>
    </row>
    <row r="62" spans="1:38" outlineLevel="1" x14ac:dyDescent="0.45">
      <c r="A62" s="27">
        <v>46056</v>
      </c>
      <c r="B62" s="28">
        <f t="shared" si="10"/>
        <v>1</v>
      </c>
      <c r="C62" s="14">
        <v>0</v>
      </c>
      <c r="D62" s="15">
        <v>0</v>
      </c>
      <c r="E62" s="16">
        <f t="shared" si="8"/>
        <v>19166.669999999998</v>
      </c>
      <c r="F62" s="2"/>
      <c r="G62" s="33">
        <f t="shared" si="17"/>
        <v>11.55</v>
      </c>
      <c r="H62" s="34">
        <v>0</v>
      </c>
      <c r="I62" s="16">
        <f t="shared" si="11"/>
        <v>300.30000000000013</v>
      </c>
      <c r="K62" s="14">
        <v>0</v>
      </c>
      <c r="L62" s="15">
        <v>0</v>
      </c>
      <c r="M62" s="16">
        <f t="shared" si="9"/>
        <v>0</v>
      </c>
      <c r="O62" s="33">
        <f t="shared" si="12"/>
        <v>0</v>
      </c>
      <c r="P62" s="34">
        <v>0</v>
      </c>
      <c r="Q62" s="16">
        <f t="shared" si="13"/>
        <v>0</v>
      </c>
      <c r="S62" s="33">
        <v>0</v>
      </c>
      <c r="T62" s="34">
        <v>0</v>
      </c>
      <c r="U62" s="16">
        <f t="shared" si="14"/>
        <v>0</v>
      </c>
      <c r="W62" s="14">
        <f t="shared" si="0"/>
        <v>0</v>
      </c>
      <c r="X62" s="15">
        <v>0</v>
      </c>
      <c r="Y62" s="16">
        <f t="shared" si="15"/>
        <v>0</v>
      </c>
      <c r="Z62" s="70"/>
      <c r="AA62" s="14">
        <f t="shared" si="1"/>
        <v>1.64</v>
      </c>
      <c r="AB62" s="15">
        <v>0</v>
      </c>
      <c r="AC62" s="16">
        <f t="shared" si="2"/>
        <v>42.640000000000008</v>
      </c>
      <c r="AD62" s="70"/>
      <c r="AF62" s="19" t="s">
        <v>16</v>
      </c>
      <c r="AG62" s="30">
        <f t="shared" si="3"/>
        <v>46056</v>
      </c>
      <c r="AH62" s="31">
        <f t="shared" si="4"/>
        <v>19166.669999999998</v>
      </c>
      <c r="AI62" s="31">
        <f t="shared" si="5"/>
        <v>0</v>
      </c>
      <c r="AJ62" s="34">
        <f t="shared" si="6"/>
        <v>0</v>
      </c>
      <c r="AK62" s="31">
        <f t="shared" si="7"/>
        <v>0</v>
      </c>
      <c r="AL62" s="32">
        <f t="shared" si="16"/>
        <v>0</v>
      </c>
    </row>
    <row r="63" spans="1:38" outlineLevel="1" x14ac:dyDescent="0.45">
      <c r="A63" s="27">
        <v>46057</v>
      </c>
      <c r="B63" s="28">
        <f t="shared" si="10"/>
        <v>1</v>
      </c>
      <c r="C63" s="14">
        <v>0</v>
      </c>
      <c r="D63" s="15">
        <v>0</v>
      </c>
      <c r="E63" s="16">
        <f t="shared" si="8"/>
        <v>19166.669999999998</v>
      </c>
      <c r="F63" s="2"/>
      <c r="G63" s="33">
        <f t="shared" si="17"/>
        <v>11.55</v>
      </c>
      <c r="H63" s="34">
        <v>0</v>
      </c>
      <c r="I63" s="16">
        <f t="shared" si="11"/>
        <v>311.85000000000014</v>
      </c>
      <c r="K63" s="14">
        <v>0</v>
      </c>
      <c r="L63" s="15">
        <v>0</v>
      </c>
      <c r="M63" s="16">
        <f t="shared" si="9"/>
        <v>0</v>
      </c>
      <c r="O63" s="33">
        <f t="shared" si="12"/>
        <v>0</v>
      </c>
      <c r="P63" s="34">
        <v>0</v>
      </c>
      <c r="Q63" s="16">
        <f t="shared" si="13"/>
        <v>0</v>
      </c>
      <c r="S63" s="33">
        <v>0</v>
      </c>
      <c r="T63" s="34">
        <v>0</v>
      </c>
      <c r="U63" s="16">
        <f t="shared" si="14"/>
        <v>0</v>
      </c>
      <c r="W63" s="14">
        <f t="shared" si="0"/>
        <v>0</v>
      </c>
      <c r="X63" s="15">
        <v>0</v>
      </c>
      <c r="Y63" s="16">
        <f t="shared" si="15"/>
        <v>0</v>
      </c>
      <c r="Z63" s="70"/>
      <c r="AA63" s="14">
        <f t="shared" si="1"/>
        <v>1.64</v>
      </c>
      <c r="AB63" s="15">
        <v>0</v>
      </c>
      <c r="AC63" s="16">
        <f t="shared" si="2"/>
        <v>44.280000000000008</v>
      </c>
      <c r="AD63" s="70"/>
      <c r="AF63" s="19" t="s">
        <v>16</v>
      </c>
      <c r="AG63" s="30">
        <f t="shared" si="3"/>
        <v>46057</v>
      </c>
      <c r="AH63" s="31">
        <f t="shared" si="4"/>
        <v>19166.669999999998</v>
      </c>
      <c r="AI63" s="31">
        <f t="shared" si="5"/>
        <v>0</v>
      </c>
      <c r="AJ63" s="34">
        <f t="shared" si="6"/>
        <v>0</v>
      </c>
      <c r="AK63" s="31">
        <f t="shared" si="7"/>
        <v>0</v>
      </c>
      <c r="AL63" s="32">
        <f t="shared" si="16"/>
        <v>0</v>
      </c>
    </row>
    <row r="64" spans="1:38" outlineLevel="1" x14ac:dyDescent="0.45">
      <c r="A64" s="27">
        <v>46058</v>
      </c>
      <c r="B64" s="28">
        <f t="shared" si="10"/>
        <v>1</v>
      </c>
      <c r="C64" s="14">
        <v>0</v>
      </c>
      <c r="D64" s="15">
        <v>0</v>
      </c>
      <c r="E64" s="16">
        <f t="shared" si="8"/>
        <v>19166.669999999998</v>
      </c>
      <c r="F64" s="2"/>
      <c r="G64" s="33">
        <f t="shared" si="17"/>
        <v>11.55</v>
      </c>
      <c r="H64" s="34">
        <v>0</v>
      </c>
      <c r="I64" s="16">
        <f t="shared" si="11"/>
        <v>323.40000000000015</v>
      </c>
      <c r="K64" s="14">
        <v>0</v>
      </c>
      <c r="L64" s="15">
        <v>0</v>
      </c>
      <c r="M64" s="16">
        <f t="shared" si="9"/>
        <v>0</v>
      </c>
      <c r="O64" s="33">
        <f t="shared" si="12"/>
        <v>0</v>
      </c>
      <c r="P64" s="34">
        <v>0</v>
      </c>
      <c r="Q64" s="16">
        <f t="shared" si="13"/>
        <v>0</v>
      </c>
      <c r="S64" s="33">
        <v>0</v>
      </c>
      <c r="T64" s="34">
        <v>0</v>
      </c>
      <c r="U64" s="16">
        <f t="shared" si="14"/>
        <v>0</v>
      </c>
      <c r="W64" s="14">
        <f t="shared" si="0"/>
        <v>0</v>
      </c>
      <c r="X64" s="15">
        <v>0</v>
      </c>
      <c r="Y64" s="16">
        <f t="shared" si="15"/>
        <v>0</v>
      </c>
      <c r="Z64" s="70"/>
      <c r="AA64" s="14">
        <f t="shared" si="1"/>
        <v>1.64</v>
      </c>
      <c r="AB64" s="15">
        <v>0</v>
      </c>
      <c r="AC64" s="16">
        <f t="shared" si="2"/>
        <v>45.920000000000009</v>
      </c>
      <c r="AD64" s="70"/>
      <c r="AF64" s="19" t="s">
        <v>16</v>
      </c>
      <c r="AG64" s="30">
        <f t="shared" si="3"/>
        <v>46058</v>
      </c>
      <c r="AH64" s="31">
        <f t="shared" si="4"/>
        <v>19166.669999999998</v>
      </c>
      <c r="AI64" s="31">
        <f t="shared" si="5"/>
        <v>0</v>
      </c>
      <c r="AJ64" s="34">
        <f t="shared" si="6"/>
        <v>0</v>
      </c>
      <c r="AK64" s="31">
        <f t="shared" si="7"/>
        <v>0</v>
      </c>
      <c r="AL64" s="32">
        <f t="shared" si="16"/>
        <v>0</v>
      </c>
    </row>
    <row r="65" spans="1:44" outlineLevel="1" x14ac:dyDescent="0.45">
      <c r="A65" s="27">
        <v>46059</v>
      </c>
      <c r="B65" s="28">
        <f t="shared" si="10"/>
        <v>1</v>
      </c>
      <c r="C65" s="14">
        <v>0</v>
      </c>
      <c r="D65" s="15">
        <v>0</v>
      </c>
      <c r="E65" s="16">
        <f t="shared" si="8"/>
        <v>19166.669999999998</v>
      </c>
      <c r="F65" s="2"/>
      <c r="G65" s="33">
        <f t="shared" si="17"/>
        <v>11.55</v>
      </c>
      <c r="H65" s="34">
        <v>0</v>
      </c>
      <c r="I65" s="16">
        <f t="shared" si="11"/>
        <v>334.95000000000016</v>
      </c>
      <c r="K65" s="14">
        <v>0</v>
      </c>
      <c r="L65" s="15">
        <v>0</v>
      </c>
      <c r="M65" s="16">
        <f t="shared" si="9"/>
        <v>0</v>
      </c>
      <c r="O65" s="33">
        <f t="shared" si="12"/>
        <v>0</v>
      </c>
      <c r="P65" s="34">
        <v>0</v>
      </c>
      <c r="Q65" s="16">
        <f t="shared" si="13"/>
        <v>0</v>
      </c>
      <c r="S65" s="33">
        <v>0</v>
      </c>
      <c r="T65" s="34">
        <v>0</v>
      </c>
      <c r="U65" s="16">
        <f t="shared" si="14"/>
        <v>0</v>
      </c>
      <c r="W65" s="14">
        <f t="shared" si="0"/>
        <v>0</v>
      </c>
      <c r="X65" s="15">
        <v>0</v>
      </c>
      <c r="Y65" s="16">
        <f t="shared" si="15"/>
        <v>0</v>
      </c>
      <c r="Z65" s="70"/>
      <c r="AA65" s="14">
        <f t="shared" si="1"/>
        <v>1.64</v>
      </c>
      <c r="AB65" s="15">
        <v>0</v>
      </c>
      <c r="AC65" s="16">
        <f t="shared" si="2"/>
        <v>47.560000000000009</v>
      </c>
      <c r="AD65" s="70"/>
      <c r="AF65" s="19" t="s">
        <v>16</v>
      </c>
      <c r="AG65" s="30">
        <f t="shared" si="3"/>
        <v>46059</v>
      </c>
      <c r="AH65" s="31">
        <f t="shared" si="4"/>
        <v>19166.669999999998</v>
      </c>
      <c r="AI65" s="31">
        <f t="shared" si="5"/>
        <v>0</v>
      </c>
      <c r="AJ65" s="34">
        <f t="shared" si="6"/>
        <v>0</v>
      </c>
      <c r="AK65" s="31">
        <f t="shared" si="7"/>
        <v>0</v>
      </c>
      <c r="AL65" s="32">
        <f t="shared" si="16"/>
        <v>0</v>
      </c>
    </row>
    <row r="66" spans="1:44" s="39" customFormat="1" x14ac:dyDescent="0.45">
      <c r="A66" s="27">
        <v>46060</v>
      </c>
      <c r="B66" s="28">
        <f t="shared" si="10"/>
        <v>1</v>
      </c>
      <c r="C66" s="14">
        <v>0</v>
      </c>
      <c r="D66" s="15">
        <v>0</v>
      </c>
      <c r="E66" s="16">
        <f t="shared" ref="E66:E67" si="42">ROUND(E65+C66-D66,2)</f>
        <v>19166.669999999998</v>
      </c>
      <c r="F66" s="2"/>
      <c r="G66" s="33">
        <f t="shared" si="17"/>
        <v>11.55</v>
      </c>
      <c r="H66" s="34">
        <v>0</v>
      </c>
      <c r="I66" s="16">
        <f t="shared" ref="I66:I68" si="43">I65+G66-H66</f>
        <v>346.50000000000017</v>
      </c>
      <c r="J66" s="2"/>
      <c r="K66" s="14">
        <v>0</v>
      </c>
      <c r="L66" s="15">
        <v>0</v>
      </c>
      <c r="M66" s="16">
        <f t="shared" ref="M66:M67" si="44">ROUND(M65+K66-L66,2)</f>
        <v>0</v>
      </c>
      <c r="O66" s="33">
        <f t="shared" si="12"/>
        <v>0</v>
      </c>
      <c r="P66" s="34">
        <v>0</v>
      </c>
      <c r="Q66" s="16">
        <f t="shared" ref="Q66:Q67" si="45">Q65+O66-P66</f>
        <v>0</v>
      </c>
      <c r="R66" s="2"/>
      <c r="S66" s="33">
        <v>0</v>
      </c>
      <c r="T66" s="34">
        <v>0</v>
      </c>
      <c r="U66" s="16">
        <f t="shared" ref="U66:U67" si="46">U65+S66-T66</f>
        <v>0</v>
      </c>
      <c r="V66" s="2"/>
      <c r="W66" s="14">
        <f t="shared" si="0"/>
        <v>0</v>
      </c>
      <c r="X66" s="15">
        <v>0</v>
      </c>
      <c r="Y66" s="16">
        <f t="shared" ref="Y66:Y67" si="47">Y65+W66-X66</f>
        <v>0</v>
      </c>
      <c r="Z66" s="70"/>
      <c r="AA66" s="14">
        <f t="shared" ref="AA66:AA67" si="48">ROUND($C$5*$AA$5/365*B66,2)</f>
        <v>1.64</v>
      </c>
      <c r="AB66" s="15">
        <v>0</v>
      </c>
      <c r="AC66" s="16">
        <f t="shared" ref="AC66:AC67" si="49">AC65+AA66-AB66</f>
        <v>49.20000000000001</v>
      </c>
      <c r="AD66" s="70"/>
      <c r="AE66" s="2"/>
      <c r="AF66" s="19" t="s">
        <v>16</v>
      </c>
      <c r="AG66" s="30">
        <f t="shared" ref="AG66:AG67" si="50">A66</f>
        <v>46060</v>
      </c>
      <c r="AH66" s="31">
        <f t="shared" ref="AH66:AH67" si="51">E66</f>
        <v>19166.669999999998</v>
      </c>
      <c r="AI66" s="31">
        <f t="shared" ref="AI66:AI68" si="52">D66</f>
        <v>0</v>
      </c>
      <c r="AJ66" s="34">
        <v>0</v>
      </c>
      <c r="AK66" s="31">
        <f t="shared" ref="AK66:AK67" si="53">AB66</f>
        <v>0</v>
      </c>
      <c r="AL66" s="32">
        <f t="shared" ref="AL66:AL67" si="54">AI66+AJ66+AK66</f>
        <v>0</v>
      </c>
      <c r="AM66" s="5"/>
      <c r="AN66" s="44"/>
      <c r="AO66" s="5"/>
      <c r="AP66" s="46"/>
      <c r="AQ66" s="44"/>
      <c r="AR66" s="44"/>
    </row>
    <row r="67" spans="1:44" outlineLevel="1" x14ac:dyDescent="0.45">
      <c r="A67" s="27">
        <v>46061</v>
      </c>
      <c r="B67" s="28">
        <f t="shared" si="10"/>
        <v>1</v>
      </c>
      <c r="C67" s="14">
        <v>0</v>
      </c>
      <c r="D67" s="15">
        <v>0</v>
      </c>
      <c r="E67" s="16">
        <f t="shared" si="42"/>
        <v>19166.669999999998</v>
      </c>
      <c r="F67" s="2"/>
      <c r="G67" s="33">
        <f t="shared" si="17"/>
        <v>11.55</v>
      </c>
      <c r="H67" s="34">
        <v>0</v>
      </c>
      <c r="I67" s="16">
        <f t="shared" si="43"/>
        <v>358.05000000000018</v>
      </c>
      <c r="K67" s="14">
        <v>0</v>
      </c>
      <c r="L67" s="15">
        <v>0</v>
      </c>
      <c r="M67" s="16">
        <f t="shared" si="44"/>
        <v>0</v>
      </c>
      <c r="O67" s="33">
        <f t="shared" si="12"/>
        <v>0</v>
      </c>
      <c r="P67" s="34">
        <v>0</v>
      </c>
      <c r="Q67" s="16">
        <f t="shared" si="45"/>
        <v>0</v>
      </c>
      <c r="S67" s="33">
        <v>0</v>
      </c>
      <c r="T67" s="34">
        <v>0</v>
      </c>
      <c r="U67" s="16">
        <f t="shared" si="46"/>
        <v>0</v>
      </c>
      <c r="W67" s="14">
        <f t="shared" si="0"/>
        <v>0</v>
      </c>
      <c r="X67" s="15">
        <v>0</v>
      </c>
      <c r="Y67" s="16">
        <f t="shared" si="47"/>
        <v>0</v>
      </c>
      <c r="Z67" s="70"/>
      <c r="AA67" s="14">
        <f t="shared" si="48"/>
        <v>1.64</v>
      </c>
      <c r="AB67" s="15">
        <v>0</v>
      </c>
      <c r="AC67" s="16">
        <f t="shared" si="49"/>
        <v>50.840000000000011</v>
      </c>
      <c r="AD67" s="70"/>
      <c r="AF67" s="19" t="s">
        <v>16</v>
      </c>
      <c r="AG67" s="30">
        <f t="shared" si="50"/>
        <v>46061</v>
      </c>
      <c r="AH67" s="31">
        <f t="shared" si="51"/>
        <v>19166.669999999998</v>
      </c>
      <c r="AI67" s="31">
        <f t="shared" si="52"/>
        <v>0</v>
      </c>
      <c r="AJ67" s="34">
        <v>0</v>
      </c>
      <c r="AK67" s="31">
        <f t="shared" si="53"/>
        <v>0</v>
      </c>
      <c r="AL67" s="32">
        <f t="shared" si="54"/>
        <v>0</v>
      </c>
    </row>
    <row r="68" spans="1:44" outlineLevel="1" x14ac:dyDescent="0.45">
      <c r="A68" s="27">
        <v>46062</v>
      </c>
      <c r="B68" s="35">
        <f t="shared" ref="B68" si="55">A68-A67</f>
        <v>1</v>
      </c>
      <c r="C68" s="36">
        <v>0</v>
      </c>
      <c r="D68" s="37">
        <v>833.33</v>
      </c>
      <c r="E68" s="38">
        <f t="shared" ref="E68" si="56">ROUND(E67+C68-D68,2)</f>
        <v>18333.34</v>
      </c>
      <c r="F68" s="39"/>
      <c r="G68" s="33">
        <f t="shared" si="17"/>
        <v>11.05</v>
      </c>
      <c r="H68" s="37">
        <f>I67</f>
        <v>358.05000000000018</v>
      </c>
      <c r="I68" s="38">
        <f t="shared" si="43"/>
        <v>11.050000000000011</v>
      </c>
      <c r="J68" s="39"/>
      <c r="K68" s="36">
        <v>0</v>
      </c>
      <c r="L68" s="37">
        <v>0</v>
      </c>
      <c r="M68" s="38">
        <f t="shared" ref="M68" si="57">ROUND(M67+K68-L68,2)</f>
        <v>0</v>
      </c>
      <c r="N68" s="39"/>
      <c r="O68" s="33">
        <f t="shared" si="12"/>
        <v>0</v>
      </c>
      <c r="P68" s="37">
        <f>Q67+O68</f>
        <v>0</v>
      </c>
      <c r="Q68" s="38">
        <f t="shared" ref="Q68" si="58">Q67+O68-P68</f>
        <v>0</v>
      </c>
      <c r="R68" s="39"/>
      <c r="S68" s="36">
        <v>0</v>
      </c>
      <c r="T68" s="37">
        <v>0</v>
      </c>
      <c r="U68" s="38">
        <f t="shared" ref="U68" si="59">U67+S68-T68</f>
        <v>0</v>
      </c>
      <c r="V68" s="39"/>
      <c r="W68" s="14">
        <f t="shared" si="0"/>
        <v>0</v>
      </c>
      <c r="X68" s="37">
        <f>Y67+W68</f>
        <v>0</v>
      </c>
      <c r="Y68" s="38">
        <f t="shared" ref="Y68" si="60">Y67+W68-X68</f>
        <v>0</v>
      </c>
      <c r="Z68" s="70"/>
      <c r="AA68" s="36">
        <f t="shared" ref="AA68" si="61">ROUND($C$5*$AA$5/365*B68,2)</f>
        <v>1.64</v>
      </c>
      <c r="AB68" s="37">
        <f>AC67</f>
        <v>50.840000000000011</v>
      </c>
      <c r="AC68" s="38">
        <f t="shared" ref="AC68" si="62">AC67+AA68-AB68</f>
        <v>1.6400000000000006</v>
      </c>
      <c r="AD68" s="85"/>
      <c r="AE68" s="39"/>
      <c r="AF68" s="40">
        <v>2</v>
      </c>
      <c r="AG68" s="41">
        <f t="shared" ref="AG68" si="63">A68</f>
        <v>46062</v>
      </c>
      <c r="AH68" s="42">
        <f t="shared" ref="AH68" si="64">E68</f>
        <v>18333.34</v>
      </c>
      <c r="AI68" s="42">
        <f t="shared" si="52"/>
        <v>833.33</v>
      </c>
      <c r="AJ68" s="37">
        <f t="shared" ref="AJ68" si="65">H68</f>
        <v>358.05000000000018</v>
      </c>
      <c r="AK68" s="42">
        <f>AC67</f>
        <v>50.840000000000011</v>
      </c>
      <c r="AL68" s="43">
        <f>AI68+AJ68+AK68</f>
        <v>1242.22</v>
      </c>
      <c r="AM68" s="44">
        <f>AL68</f>
        <v>1242.22</v>
      </c>
    </row>
    <row r="69" spans="1:44" outlineLevel="1" x14ac:dyDescent="0.45">
      <c r="A69" s="27">
        <v>46063</v>
      </c>
      <c r="B69" s="28">
        <f t="shared" si="10"/>
        <v>1</v>
      </c>
      <c r="C69" s="14">
        <v>0</v>
      </c>
      <c r="D69" s="15">
        <v>0</v>
      </c>
      <c r="E69" s="16">
        <f t="shared" si="8"/>
        <v>18333.34</v>
      </c>
      <c r="F69" s="2"/>
      <c r="G69" s="33">
        <f t="shared" si="17"/>
        <v>11.05</v>
      </c>
      <c r="H69" s="34">
        <v>0</v>
      </c>
      <c r="I69" s="16">
        <f t="shared" si="11"/>
        <v>22.100000000000012</v>
      </c>
      <c r="K69" s="14">
        <v>0</v>
      </c>
      <c r="L69" s="15">
        <v>0</v>
      </c>
      <c r="M69" s="16">
        <f t="shared" si="9"/>
        <v>0</v>
      </c>
      <c r="O69" s="33">
        <f t="shared" si="12"/>
        <v>0</v>
      </c>
      <c r="P69" s="34">
        <v>0</v>
      </c>
      <c r="Q69" s="16">
        <f t="shared" si="13"/>
        <v>0</v>
      </c>
      <c r="S69" s="33">
        <v>0</v>
      </c>
      <c r="T69" s="34">
        <v>0</v>
      </c>
      <c r="U69" s="16">
        <f t="shared" si="14"/>
        <v>0</v>
      </c>
      <c r="W69" s="14">
        <f t="shared" si="0"/>
        <v>0</v>
      </c>
      <c r="X69" s="15">
        <v>0</v>
      </c>
      <c r="Y69" s="16">
        <f t="shared" si="15"/>
        <v>0</v>
      </c>
      <c r="Z69" s="70"/>
      <c r="AA69" s="14">
        <f t="shared" si="1"/>
        <v>1.64</v>
      </c>
      <c r="AB69" s="15">
        <v>0</v>
      </c>
      <c r="AC69" s="16">
        <f t="shared" si="2"/>
        <v>3.2800000000000002</v>
      </c>
      <c r="AD69" s="70"/>
      <c r="AF69" s="19">
        <v>52</v>
      </c>
      <c r="AG69" s="30">
        <f t="shared" si="3"/>
        <v>46063</v>
      </c>
      <c r="AH69" s="31">
        <f t="shared" si="4"/>
        <v>18333.34</v>
      </c>
      <c r="AI69" s="31">
        <f t="shared" si="5"/>
        <v>0</v>
      </c>
      <c r="AJ69" s="34">
        <f t="shared" si="6"/>
        <v>0</v>
      </c>
      <c r="AK69" s="31">
        <f t="shared" si="7"/>
        <v>0</v>
      </c>
      <c r="AL69" s="32">
        <f t="shared" si="16"/>
        <v>0</v>
      </c>
    </row>
    <row r="70" spans="1:44" outlineLevel="1" x14ac:dyDescent="0.45">
      <c r="A70" s="27">
        <v>46064</v>
      </c>
      <c r="B70" s="28">
        <f t="shared" si="10"/>
        <v>1</v>
      </c>
      <c r="C70" s="14">
        <v>0</v>
      </c>
      <c r="D70" s="15">
        <v>0</v>
      </c>
      <c r="E70" s="16">
        <f t="shared" si="8"/>
        <v>18333.34</v>
      </c>
      <c r="F70" s="2"/>
      <c r="G70" s="33">
        <f t="shared" si="17"/>
        <v>11.05</v>
      </c>
      <c r="H70" s="34">
        <v>0</v>
      </c>
      <c r="I70" s="16">
        <f t="shared" si="11"/>
        <v>33.150000000000013</v>
      </c>
      <c r="K70" s="14">
        <v>0</v>
      </c>
      <c r="L70" s="15">
        <v>0</v>
      </c>
      <c r="M70" s="16">
        <f t="shared" si="9"/>
        <v>0</v>
      </c>
      <c r="O70" s="33">
        <f t="shared" si="12"/>
        <v>0</v>
      </c>
      <c r="P70" s="34">
        <v>0</v>
      </c>
      <c r="Q70" s="16">
        <f t="shared" si="13"/>
        <v>0</v>
      </c>
      <c r="S70" s="33">
        <v>0</v>
      </c>
      <c r="T70" s="34">
        <v>0</v>
      </c>
      <c r="U70" s="16">
        <f t="shared" si="14"/>
        <v>0</v>
      </c>
      <c r="W70" s="14">
        <f t="shared" si="0"/>
        <v>0</v>
      </c>
      <c r="X70" s="15">
        <v>0</v>
      </c>
      <c r="Y70" s="16">
        <f t="shared" si="15"/>
        <v>0</v>
      </c>
      <c r="Z70" s="70"/>
      <c r="AA70" s="14">
        <f t="shared" si="1"/>
        <v>1.64</v>
      </c>
      <c r="AB70" s="15">
        <v>0</v>
      </c>
      <c r="AC70" s="16">
        <f t="shared" si="2"/>
        <v>4.92</v>
      </c>
      <c r="AD70" s="70"/>
      <c r="AF70" s="19">
        <v>53</v>
      </c>
      <c r="AG70" s="30">
        <f t="shared" si="3"/>
        <v>46064</v>
      </c>
      <c r="AH70" s="31">
        <f t="shared" si="4"/>
        <v>18333.34</v>
      </c>
      <c r="AI70" s="31">
        <f t="shared" si="5"/>
        <v>0</v>
      </c>
      <c r="AJ70" s="34">
        <f t="shared" si="6"/>
        <v>0</v>
      </c>
      <c r="AK70" s="31">
        <f t="shared" si="7"/>
        <v>0</v>
      </c>
      <c r="AL70" s="32">
        <f t="shared" si="16"/>
        <v>0</v>
      </c>
    </row>
    <row r="71" spans="1:44" outlineLevel="1" x14ac:dyDescent="0.45">
      <c r="A71" s="27">
        <v>46065</v>
      </c>
      <c r="B71" s="28">
        <f t="shared" si="10"/>
        <v>1</v>
      </c>
      <c r="C71" s="14">
        <v>0</v>
      </c>
      <c r="D71" s="15">
        <v>0</v>
      </c>
      <c r="E71" s="16">
        <f t="shared" si="8"/>
        <v>18333.34</v>
      </c>
      <c r="F71" s="2"/>
      <c r="G71" s="33">
        <f t="shared" si="17"/>
        <v>11.05</v>
      </c>
      <c r="H71" s="34">
        <v>0</v>
      </c>
      <c r="I71" s="16">
        <f t="shared" si="11"/>
        <v>44.200000000000017</v>
      </c>
      <c r="K71" s="14">
        <v>0</v>
      </c>
      <c r="L71" s="15">
        <v>0</v>
      </c>
      <c r="M71" s="16">
        <f t="shared" si="9"/>
        <v>0</v>
      </c>
      <c r="O71" s="33">
        <f t="shared" si="12"/>
        <v>0</v>
      </c>
      <c r="P71" s="34">
        <v>0</v>
      </c>
      <c r="Q71" s="16">
        <f t="shared" si="13"/>
        <v>0</v>
      </c>
      <c r="S71" s="33">
        <v>0</v>
      </c>
      <c r="T71" s="34">
        <v>0</v>
      </c>
      <c r="U71" s="16">
        <f t="shared" si="14"/>
        <v>0</v>
      </c>
      <c r="W71" s="14">
        <f t="shared" si="0"/>
        <v>0</v>
      </c>
      <c r="X71" s="15">
        <v>0</v>
      </c>
      <c r="Y71" s="16">
        <f t="shared" si="15"/>
        <v>0</v>
      </c>
      <c r="Z71" s="70"/>
      <c r="AA71" s="14">
        <f t="shared" si="1"/>
        <v>1.64</v>
      </c>
      <c r="AB71" s="15">
        <v>0</v>
      </c>
      <c r="AC71" s="16">
        <f t="shared" si="2"/>
        <v>6.56</v>
      </c>
      <c r="AD71" s="70"/>
      <c r="AF71" s="19">
        <v>54</v>
      </c>
      <c r="AG71" s="30">
        <f t="shared" si="3"/>
        <v>46065</v>
      </c>
      <c r="AH71" s="31">
        <f t="shared" si="4"/>
        <v>18333.34</v>
      </c>
      <c r="AI71" s="31">
        <f t="shared" si="5"/>
        <v>0</v>
      </c>
      <c r="AJ71" s="34">
        <f t="shared" si="6"/>
        <v>0</v>
      </c>
      <c r="AK71" s="31">
        <f t="shared" si="7"/>
        <v>0</v>
      </c>
      <c r="AL71" s="32">
        <f t="shared" si="16"/>
        <v>0</v>
      </c>
    </row>
    <row r="72" spans="1:44" outlineLevel="1" x14ac:dyDescent="0.45">
      <c r="A72" s="27">
        <v>46066</v>
      </c>
      <c r="B72" s="28">
        <f t="shared" si="10"/>
        <v>1</v>
      </c>
      <c r="C72" s="14">
        <v>0</v>
      </c>
      <c r="D72" s="15">
        <v>0</v>
      </c>
      <c r="E72" s="16">
        <f t="shared" si="8"/>
        <v>18333.34</v>
      </c>
      <c r="F72" s="2"/>
      <c r="G72" s="33">
        <f t="shared" si="17"/>
        <v>11.05</v>
      </c>
      <c r="H72" s="34">
        <v>0</v>
      </c>
      <c r="I72" s="16">
        <f t="shared" si="11"/>
        <v>55.250000000000014</v>
      </c>
      <c r="K72" s="14">
        <v>0</v>
      </c>
      <c r="L72" s="15">
        <v>0</v>
      </c>
      <c r="M72" s="16">
        <f t="shared" si="9"/>
        <v>0</v>
      </c>
      <c r="O72" s="33">
        <f t="shared" si="12"/>
        <v>0</v>
      </c>
      <c r="P72" s="34">
        <v>0</v>
      </c>
      <c r="Q72" s="16">
        <f t="shared" si="13"/>
        <v>0</v>
      </c>
      <c r="S72" s="33">
        <v>0</v>
      </c>
      <c r="T72" s="34">
        <v>0</v>
      </c>
      <c r="U72" s="16">
        <f t="shared" si="14"/>
        <v>0</v>
      </c>
      <c r="W72" s="14">
        <f t="shared" ref="W72:W96" si="66">ROUND(M71*$W$5*B72,2)</f>
        <v>0</v>
      </c>
      <c r="X72" s="15">
        <v>0</v>
      </c>
      <c r="Y72" s="16">
        <f t="shared" si="15"/>
        <v>0</v>
      </c>
      <c r="Z72" s="70"/>
      <c r="AA72" s="14">
        <f t="shared" ref="AA72:AA135" si="67">ROUND($C$5*$AA$5/365*B72,2)</f>
        <v>1.64</v>
      </c>
      <c r="AB72" s="15">
        <v>0</v>
      </c>
      <c r="AC72" s="16">
        <f t="shared" ref="AC72:AC135" si="68">AC71+AA72-AB72</f>
        <v>8.1999999999999993</v>
      </c>
      <c r="AD72" s="70"/>
      <c r="AF72" s="19">
        <v>55</v>
      </c>
      <c r="AG72" s="30">
        <f t="shared" ref="AG72:AG135" si="69">A72</f>
        <v>46066</v>
      </c>
      <c r="AH72" s="31">
        <f t="shared" ref="AH72:AH135" si="70">E72</f>
        <v>18333.34</v>
      </c>
      <c r="AI72" s="31">
        <f t="shared" ref="AI72:AI135" si="71">D72</f>
        <v>0</v>
      </c>
      <c r="AJ72" s="34">
        <f t="shared" ref="AJ72:AJ135" si="72">H72</f>
        <v>0</v>
      </c>
      <c r="AK72" s="31">
        <f t="shared" ref="AK72:AK135" si="73">AB72</f>
        <v>0</v>
      </c>
      <c r="AL72" s="32">
        <f t="shared" si="16"/>
        <v>0</v>
      </c>
    </row>
    <row r="73" spans="1:44" outlineLevel="1" x14ac:dyDescent="0.45">
      <c r="A73" s="27">
        <v>46067</v>
      </c>
      <c r="B73" s="28">
        <f t="shared" si="10"/>
        <v>1</v>
      </c>
      <c r="C73" s="14">
        <v>0</v>
      </c>
      <c r="D73" s="15">
        <v>0</v>
      </c>
      <c r="E73" s="16">
        <f t="shared" ref="E73:E136" si="74">ROUND(E72+C73-D73,2)</f>
        <v>18333.34</v>
      </c>
      <c r="F73" s="2"/>
      <c r="G73" s="33">
        <f t="shared" si="17"/>
        <v>11.05</v>
      </c>
      <c r="H73" s="34">
        <v>0</v>
      </c>
      <c r="I73" s="16">
        <f t="shared" si="11"/>
        <v>66.300000000000011</v>
      </c>
      <c r="K73" s="14">
        <v>0</v>
      </c>
      <c r="L73" s="15">
        <v>0</v>
      </c>
      <c r="M73" s="16">
        <f t="shared" ref="M73:M136" si="75">ROUND(M72+K73-L73,2)</f>
        <v>0</v>
      </c>
      <c r="O73" s="33">
        <f t="shared" si="12"/>
        <v>0</v>
      </c>
      <c r="P73" s="34">
        <v>0</v>
      </c>
      <c r="Q73" s="16">
        <f t="shared" si="13"/>
        <v>0</v>
      </c>
      <c r="S73" s="33">
        <v>0</v>
      </c>
      <c r="T73" s="34">
        <v>0</v>
      </c>
      <c r="U73" s="16">
        <f t="shared" si="14"/>
        <v>0</v>
      </c>
      <c r="W73" s="14">
        <f t="shared" si="66"/>
        <v>0</v>
      </c>
      <c r="X73" s="15">
        <v>0</v>
      </c>
      <c r="Y73" s="16">
        <f t="shared" si="15"/>
        <v>0</v>
      </c>
      <c r="Z73" s="70"/>
      <c r="AA73" s="14">
        <f t="shared" si="67"/>
        <v>1.64</v>
      </c>
      <c r="AB73" s="15">
        <v>0</v>
      </c>
      <c r="AC73" s="16">
        <f t="shared" si="68"/>
        <v>9.84</v>
      </c>
      <c r="AD73" s="70"/>
      <c r="AF73" s="19">
        <v>56</v>
      </c>
      <c r="AG73" s="30">
        <f t="shared" si="69"/>
        <v>46067</v>
      </c>
      <c r="AH73" s="31">
        <f t="shared" si="70"/>
        <v>18333.34</v>
      </c>
      <c r="AI73" s="31">
        <f t="shared" si="71"/>
        <v>0</v>
      </c>
      <c r="AJ73" s="34">
        <f t="shared" si="72"/>
        <v>0</v>
      </c>
      <c r="AK73" s="31">
        <f t="shared" si="73"/>
        <v>0</v>
      </c>
      <c r="AL73" s="32">
        <f t="shared" si="16"/>
        <v>0</v>
      </c>
    </row>
    <row r="74" spans="1:44" outlineLevel="1" x14ac:dyDescent="0.45">
      <c r="A74" s="27">
        <v>46068</v>
      </c>
      <c r="B74" s="28">
        <f t="shared" ref="B74:B137" si="76">A74-A73</f>
        <v>1</v>
      </c>
      <c r="C74" s="14">
        <v>0</v>
      </c>
      <c r="D74" s="15">
        <v>0</v>
      </c>
      <c r="E74" s="16">
        <f t="shared" si="74"/>
        <v>18333.34</v>
      </c>
      <c r="F74" s="2"/>
      <c r="G74" s="33">
        <f t="shared" si="17"/>
        <v>11.05</v>
      </c>
      <c r="H74" s="34">
        <v>0</v>
      </c>
      <c r="I74" s="16">
        <f t="shared" ref="I74:I137" si="77">I73+G74-H74</f>
        <v>77.350000000000009</v>
      </c>
      <c r="K74" s="14">
        <v>0</v>
      </c>
      <c r="L74" s="15">
        <v>0</v>
      </c>
      <c r="M74" s="16">
        <f t="shared" si="75"/>
        <v>0</v>
      </c>
      <c r="O74" s="33">
        <f t="shared" ref="O74:O137" si="78">ROUND(M74*$O$5/$D$5*B74,2)</f>
        <v>0</v>
      </c>
      <c r="P74" s="34">
        <v>0</v>
      </c>
      <c r="Q74" s="16">
        <f t="shared" ref="Q74:Q137" si="79">Q73+O74-P74</f>
        <v>0</v>
      </c>
      <c r="S74" s="33">
        <v>0</v>
      </c>
      <c r="T74" s="34">
        <v>0</v>
      </c>
      <c r="U74" s="16">
        <f t="shared" ref="U74:U137" si="80">U73+S74-T74</f>
        <v>0</v>
      </c>
      <c r="W74" s="14">
        <f t="shared" si="66"/>
        <v>0</v>
      </c>
      <c r="X74" s="15">
        <v>0</v>
      </c>
      <c r="Y74" s="16">
        <f t="shared" ref="Y74:Y137" si="81">Y73+W74-X74</f>
        <v>0</v>
      </c>
      <c r="Z74" s="70"/>
      <c r="AA74" s="14">
        <f t="shared" si="67"/>
        <v>1.64</v>
      </c>
      <c r="AB74" s="15">
        <v>0</v>
      </c>
      <c r="AC74" s="16">
        <f t="shared" si="68"/>
        <v>11.48</v>
      </c>
      <c r="AD74" s="70"/>
      <c r="AF74" s="19">
        <v>57</v>
      </c>
      <c r="AG74" s="30">
        <f t="shared" si="69"/>
        <v>46068</v>
      </c>
      <c r="AH74" s="31">
        <f t="shared" si="70"/>
        <v>18333.34</v>
      </c>
      <c r="AI74" s="31">
        <f t="shared" si="71"/>
        <v>0</v>
      </c>
      <c r="AJ74" s="34">
        <f t="shared" si="72"/>
        <v>0</v>
      </c>
      <c r="AK74" s="31">
        <f t="shared" si="73"/>
        <v>0</v>
      </c>
      <c r="AL74" s="32">
        <f t="shared" ref="AL74:AL137" si="82">AI74+AJ74+AK74</f>
        <v>0</v>
      </c>
    </row>
    <row r="75" spans="1:44" outlineLevel="1" x14ac:dyDescent="0.45">
      <c r="A75" s="27">
        <v>46069</v>
      </c>
      <c r="B75" s="28">
        <f t="shared" si="76"/>
        <v>1</v>
      </c>
      <c r="C75" s="14">
        <v>0</v>
      </c>
      <c r="D75" s="15">
        <v>0</v>
      </c>
      <c r="E75" s="16">
        <f t="shared" si="74"/>
        <v>18333.34</v>
      </c>
      <c r="F75" s="2"/>
      <c r="G75" s="33">
        <f t="shared" si="17"/>
        <v>11.05</v>
      </c>
      <c r="H75" s="34">
        <v>0</v>
      </c>
      <c r="I75" s="16">
        <f t="shared" si="77"/>
        <v>88.4</v>
      </c>
      <c r="K75" s="14">
        <v>0</v>
      </c>
      <c r="L75" s="15">
        <v>0</v>
      </c>
      <c r="M75" s="16">
        <f t="shared" si="75"/>
        <v>0</v>
      </c>
      <c r="O75" s="33">
        <f t="shared" si="78"/>
        <v>0</v>
      </c>
      <c r="P75" s="34">
        <v>0</v>
      </c>
      <c r="Q75" s="16">
        <f t="shared" si="79"/>
        <v>0</v>
      </c>
      <c r="S75" s="33">
        <v>0</v>
      </c>
      <c r="T75" s="34">
        <v>0</v>
      </c>
      <c r="U75" s="16">
        <f t="shared" si="80"/>
        <v>0</v>
      </c>
      <c r="W75" s="14">
        <f t="shared" si="66"/>
        <v>0</v>
      </c>
      <c r="X75" s="15">
        <v>0</v>
      </c>
      <c r="Y75" s="16">
        <f t="shared" si="81"/>
        <v>0</v>
      </c>
      <c r="Z75" s="70"/>
      <c r="AA75" s="14">
        <f t="shared" si="67"/>
        <v>1.64</v>
      </c>
      <c r="AB75" s="15">
        <v>0</v>
      </c>
      <c r="AC75" s="16">
        <f t="shared" si="68"/>
        <v>13.120000000000001</v>
      </c>
      <c r="AD75" s="70"/>
      <c r="AF75" s="19">
        <v>58</v>
      </c>
      <c r="AG75" s="30">
        <f t="shared" si="69"/>
        <v>46069</v>
      </c>
      <c r="AH75" s="31">
        <f t="shared" si="70"/>
        <v>18333.34</v>
      </c>
      <c r="AI75" s="31">
        <f t="shared" si="71"/>
        <v>0</v>
      </c>
      <c r="AJ75" s="34">
        <f t="shared" si="72"/>
        <v>0</v>
      </c>
      <c r="AK75" s="31">
        <f t="shared" si="73"/>
        <v>0</v>
      </c>
      <c r="AL75" s="32">
        <f t="shared" si="82"/>
        <v>0</v>
      </c>
    </row>
    <row r="76" spans="1:44" outlineLevel="1" x14ac:dyDescent="0.45">
      <c r="A76" s="27">
        <v>46070</v>
      </c>
      <c r="B76" s="28">
        <f t="shared" si="76"/>
        <v>1</v>
      </c>
      <c r="C76" s="14">
        <v>0</v>
      </c>
      <c r="D76" s="15">
        <v>0</v>
      </c>
      <c r="E76" s="16">
        <f t="shared" si="74"/>
        <v>18333.34</v>
      </c>
      <c r="F76" s="2"/>
      <c r="G76" s="33">
        <f t="shared" ref="G76:G139" si="83">ROUND(E76*$G$5/$D$5*B76,2)</f>
        <v>11.05</v>
      </c>
      <c r="H76" s="34">
        <v>0</v>
      </c>
      <c r="I76" s="16">
        <f t="shared" si="77"/>
        <v>99.45</v>
      </c>
      <c r="K76" s="14">
        <v>0</v>
      </c>
      <c r="L76" s="15">
        <v>0</v>
      </c>
      <c r="M76" s="16">
        <f t="shared" si="75"/>
        <v>0</v>
      </c>
      <c r="O76" s="33">
        <f t="shared" si="78"/>
        <v>0</v>
      </c>
      <c r="P76" s="34">
        <v>0</v>
      </c>
      <c r="Q76" s="16">
        <f t="shared" si="79"/>
        <v>0</v>
      </c>
      <c r="S76" s="33">
        <v>0</v>
      </c>
      <c r="T76" s="34">
        <v>0</v>
      </c>
      <c r="U76" s="16">
        <f t="shared" si="80"/>
        <v>0</v>
      </c>
      <c r="W76" s="14">
        <f t="shared" si="66"/>
        <v>0</v>
      </c>
      <c r="X76" s="15">
        <v>0</v>
      </c>
      <c r="Y76" s="16">
        <f t="shared" si="81"/>
        <v>0</v>
      </c>
      <c r="Z76" s="70"/>
      <c r="AA76" s="14">
        <f t="shared" si="67"/>
        <v>1.64</v>
      </c>
      <c r="AB76" s="15">
        <v>0</v>
      </c>
      <c r="AC76" s="16">
        <f t="shared" si="68"/>
        <v>14.760000000000002</v>
      </c>
      <c r="AD76" s="70"/>
      <c r="AF76" s="19">
        <v>59</v>
      </c>
      <c r="AG76" s="30">
        <f t="shared" si="69"/>
        <v>46070</v>
      </c>
      <c r="AH76" s="31">
        <f t="shared" si="70"/>
        <v>18333.34</v>
      </c>
      <c r="AI76" s="31">
        <f t="shared" si="71"/>
        <v>0</v>
      </c>
      <c r="AJ76" s="34">
        <f t="shared" si="72"/>
        <v>0</v>
      </c>
      <c r="AK76" s="31">
        <f t="shared" si="73"/>
        <v>0</v>
      </c>
      <c r="AL76" s="32">
        <f t="shared" si="82"/>
        <v>0</v>
      </c>
    </row>
    <row r="77" spans="1:44" outlineLevel="1" x14ac:dyDescent="0.45">
      <c r="A77" s="27">
        <v>46071</v>
      </c>
      <c r="B77" s="28">
        <f t="shared" si="76"/>
        <v>1</v>
      </c>
      <c r="C77" s="14">
        <v>0</v>
      </c>
      <c r="D77" s="15">
        <v>0</v>
      </c>
      <c r="E77" s="16">
        <f t="shared" si="74"/>
        <v>18333.34</v>
      </c>
      <c r="F77" s="2"/>
      <c r="G77" s="33">
        <f t="shared" si="83"/>
        <v>11.05</v>
      </c>
      <c r="H77" s="34">
        <v>0</v>
      </c>
      <c r="I77" s="16">
        <f t="shared" si="77"/>
        <v>110.5</v>
      </c>
      <c r="K77" s="14">
        <v>0</v>
      </c>
      <c r="L77" s="15">
        <v>0</v>
      </c>
      <c r="M77" s="16">
        <f t="shared" si="75"/>
        <v>0</v>
      </c>
      <c r="O77" s="33">
        <f t="shared" si="78"/>
        <v>0</v>
      </c>
      <c r="P77" s="34">
        <v>0</v>
      </c>
      <c r="Q77" s="16">
        <f t="shared" si="79"/>
        <v>0</v>
      </c>
      <c r="S77" s="33">
        <v>0</v>
      </c>
      <c r="T77" s="34">
        <v>0</v>
      </c>
      <c r="U77" s="16">
        <f t="shared" si="80"/>
        <v>0</v>
      </c>
      <c r="W77" s="14">
        <f t="shared" si="66"/>
        <v>0</v>
      </c>
      <c r="X77" s="15">
        <v>0</v>
      </c>
      <c r="Y77" s="16">
        <f t="shared" si="81"/>
        <v>0</v>
      </c>
      <c r="Z77" s="70"/>
      <c r="AA77" s="14">
        <f t="shared" si="67"/>
        <v>1.64</v>
      </c>
      <c r="AB77" s="15">
        <v>0</v>
      </c>
      <c r="AC77" s="16">
        <f t="shared" si="68"/>
        <v>16.400000000000002</v>
      </c>
      <c r="AD77" s="70"/>
      <c r="AF77" s="19">
        <v>60</v>
      </c>
      <c r="AG77" s="30">
        <f t="shared" si="69"/>
        <v>46071</v>
      </c>
      <c r="AH77" s="31">
        <f t="shared" si="70"/>
        <v>18333.34</v>
      </c>
      <c r="AI77" s="31">
        <f t="shared" si="71"/>
        <v>0</v>
      </c>
      <c r="AJ77" s="34">
        <f t="shared" si="72"/>
        <v>0</v>
      </c>
      <c r="AK77" s="31">
        <f t="shared" si="73"/>
        <v>0</v>
      </c>
      <c r="AL77" s="32">
        <f t="shared" si="82"/>
        <v>0</v>
      </c>
    </row>
    <row r="78" spans="1:44" outlineLevel="1" x14ac:dyDescent="0.45">
      <c r="A78" s="27">
        <v>46072</v>
      </c>
      <c r="B78" s="28">
        <f t="shared" si="76"/>
        <v>1</v>
      </c>
      <c r="C78" s="14">
        <v>0</v>
      </c>
      <c r="D78" s="15">
        <v>0</v>
      </c>
      <c r="E78" s="16">
        <f t="shared" si="74"/>
        <v>18333.34</v>
      </c>
      <c r="F78" s="2"/>
      <c r="G78" s="33">
        <f t="shared" si="83"/>
        <v>11.05</v>
      </c>
      <c r="H78" s="34">
        <v>0</v>
      </c>
      <c r="I78" s="16">
        <f t="shared" si="77"/>
        <v>121.55</v>
      </c>
      <c r="K78" s="14">
        <v>0</v>
      </c>
      <c r="L78" s="15">
        <v>0</v>
      </c>
      <c r="M78" s="16">
        <f t="shared" si="75"/>
        <v>0</v>
      </c>
      <c r="O78" s="33">
        <f t="shared" si="78"/>
        <v>0</v>
      </c>
      <c r="P78" s="34">
        <v>0</v>
      </c>
      <c r="Q78" s="16">
        <f t="shared" si="79"/>
        <v>0</v>
      </c>
      <c r="S78" s="33">
        <v>0</v>
      </c>
      <c r="T78" s="34">
        <v>0</v>
      </c>
      <c r="U78" s="16">
        <f t="shared" si="80"/>
        <v>0</v>
      </c>
      <c r="W78" s="14">
        <f t="shared" si="66"/>
        <v>0</v>
      </c>
      <c r="X78" s="15">
        <v>0</v>
      </c>
      <c r="Y78" s="16">
        <f t="shared" si="81"/>
        <v>0</v>
      </c>
      <c r="Z78" s="70"/>
      <c r="AA78" s="14">
        <f t="shared" si="67"/>
        <v>1.64</v>
      </c>
      <c r="AB78" s="15">
        <v>0</v>
      </c>
      <c r="AC78" s="16">
        <f t="shared" si="68"/>
        <v>18.040000000000003</v>
      </c>
      <c r="AD78" s="70"/>
      <c r="AF78" s="19">
        <v>61</v>
      </c>
      <c r="AG78" s="30">
        <f t="shared" si="69"/>
        <v>46072</v>
      </c>
      <c r="AH78" s="31">
        <f t="shared" si="70"/>
        <v>18333.34</v>
      </c>
      <c r="AI78" s="31">
        <f t="shared" si="71"/>
        <v>0</v>
      </c>
      <c r="AJ78" s="34">
        <f t="shared" si="72"/>
        <v>0</v>
      </c>
      <c r="AK78" s="31">
        <f t="shared" si="73"/>
        <v>0</v>
      </c>
      <c r="AL78" s="32">
        <f t="shared" si="82"/>
        <v>0</v>
      </c>
    </row>
    <row r="79" spans="1:44" outlineLevel="1" x14ac:dyDescent="0.45">
      <c r="A79" s="27">
        <v>46073</v>
      </c>
      <c r="B79" s="28">
        <f t="shared" si="76"/>
        <v>1</v>
      </c>
      <c r="C79" s="14">
        <v>0</v>
      </c>
      <c r="D79" s="15">
        <v>0</v>
      </c>
      <c r="E79" s="16">
        <f t="shared" si="74"/>
        <v>18333.34</v>
      </c>
      <c r="F79" s="2"/>
      <c r="G79" s="33">
        <f t="shared" si="83"/>
        <v>11.05</v>
      </c>
      <c r="H79" s="34">
        <v>0</v>
      </c>
      <c r="I79" s="16">
        <f t="shared" si="77"/>
        <v>132.6</v>
      </c>
      <c r="K79" s="14">
        <v>0</v>
      </c>
      <c r="L79" s="15">
        <v>0</v>
      </c>
      <c r="M79" s="16">
        <f t="shared" si="75"/>
        <v>0</v>
      </c>
      <c r="O79" s="33">
        <f t="shared" si="78"/>
        <v>0</v>
      </c>
      <c r="P79" s="34">
        <v>0</v>
      </c>
      <c r="Q79" s="16">
        <f t="shared" si="79"/>
        <v>0</v>
      </c>
      <c r="S79" s="33">
        <v>0</v>
      </c>
      <c r="T79" s="34">
        <v>0</v>
      </c>
      <c r="U79" s="16">
        <f t="shared" si="80"/>
        <v>0</v>
      </c>
      <c r="W79" s="14">
        <f t="shared" si="66"/>
        <v>0</v>
      </c>
      <c r="X79" s="15">
        <v>0</v>
      </c>
      <c r="Y79" s="16">
        <f t="shared" si="81"/>
        <v>0</v>
      </c>
      <c r="Z79" s="70"/>
      <c r="AA79" s="14">
        <f t="shared" si="67"/>
        <v>1.64</v>
      </c>
      <c r="AB79" s="15">
        <v>0</v>
      </c>
      <c r="AC79" s="16">
        <f t="shared" si="68"/>
        <v>19.680000000000003</v>
      </c>
      <c r="AD79" s="70"/>
      <c r="AF79" s="19">
        <v>62</v>
      </c>
      <c r="AG79" s="30">
        <f t="shared" si="69"/>
        <v>46073</v>
      </c>
      <c r="AH79" s="31">
        <f t="shared" si="70"/>
        <v>18333.34</v>
      </c>
      <c r="AI79" s="31">
        <f t="shared" si="71"/>
        <v>0</v>
      </c>
      <c r="AJ79" s="34">
        <f t="shared" si="72"/>
        <v>0</v>
      </c>
      <c r="AK79" s="31">
        <f t="shared" si="73"/>
        <v>0</v>
      </c>
      <c r="AL79" s="32">
        <f t="shared" si="82"/>
        <v>0</v>
      </c>
    </row>
    <row r="80" spans="1:44" outlineLevel="1" x14ac:dyDescent="0.45">
      <c r="A80" s="27">
        <v>46074</v>
      </c>
      <c r="B80" s="28">
        <f t="shared" si="76"/>
        <v>1</v>
      </c>
      <c r="C80" s="14">
        <v>0</v>
      </c>
      <c r="D80" s="15">
        <v>0</v>
      </c>
      <c r="E80" s="16">
        <f t="shared" si="74"/>
        <v>18333.34</v>
      </c>
      <c r="F80" s="2"/>
      <c r="G80" s="33">
        <f t="shared" si="83"/>
        <v>11.05</v>
      </c>
      <c r="H80" s="34">
        <v>0</v>
      </c>
      <c r="I80" s="16">
        <f t="shared" si="77"/>
        <v>143.65</v>
      </c>
      <c r="K80" s="14">
        <v>0</v>
      </c>
      <c r="L80" s="15">
        <v>0</v>
      </c>
      <c r="M80" s="16">
        <f t="shared" si="75"/>
        <v>0</v>
      </c>
      <c r="O80" s="33">
        <f t="shared" si="78"/>
        <v>0</v>
      </c>
      <c r="P80" s="34">
        <v>0</v>
      </c>
      <c r="Q80" s="16">
        <f t="shared" si="79"/>
        <v>0</v>
      </c>
      <c r="S80" s="33">
        <v>0</v>
      </c>
      <c r="T80" s="34">
        <v>0</v>
      </c>
      <c r="U80" s="16">
        <f t="shared" si="80"/>
        <v>0</v>
      </c>
      <c r="W80" s="14">
        <f t="shared" si="66"/>
        <v>0</v>
      </c>
      <c r="X80" s="15">
        <v>0</v>
      </c>
      <c r="Y80" s="16">
        <f t="shared" si="81"/>
        <v>0</v>
      </c>
      <c r="Z80" s="70"/>
      <c r="AA80" s="14">
        <f t="shared" si="67"/>
        <v>1.64</v>
      </c>
      <c r="AB80" s="15">
        <v>0</v>
      </c>
      <c r="AC80" s="16">
        <f t="shared" si="68"/>
        <v>21.320000000000004</v>
      </c>
      <c r="AD80" s="70"/>
      <c r="AF80" s="19">
        <v>63</v>
      </c>
      <c r="AG80" s="30">
        <f t="shared" si="69"/>
        <v>46074</v>
      </c>
      <c r="AH80" s="31">
        <f t="shared" si="70"/>
        <v>18333.34</v>
      </c>
      <c r="AI80" s="31">
        <f t="shared" si="71"/>
        <v>0</v>
      </c>
      <c r="AJ80" s="34">
        <f t="shared" si="72"/>
        <v>0</v>
      </c>
      <c r="AK80" s="31">
        <f t="shared" si="73"/>
        <v>0</v>
      </c>
      <c r="AL80" s="32">
        <f t="shared" si="82"/>
        <v>0</v>
      </c>
    </row>
    <row r="81" spans="1:40" outlineLevel="1" x14ac:dyDescent="0.45">
      <c r="A81" s="27">
        <v>46075</v>
      </c>
      <c r="B81" s="28">
        <f t="shared" si="76"/>
        <v>1</v>
      </c>
      <c r="C81" s="14">
        <v>0</v>
      </c>
      <c r="D81" s="15">
        <v>0</v>
      </c>
      <c r="E81" s="16">
        <f t="shared" si="74"/>
        <v>18333.34</v>
      </c>
      <c r="F81" s="2"/>
      <c r="G81" s="33">
        <f t="shared" si="83"/>
        <v>11.05</v>
      </c>
      <c r="H81" s="34">
        <v>0</v>
      </c>
      <c r="I81" s="16">
        <f t="shared" si="77"/>
        <v>154.70000000000002</v>
      </c>
      <c r="K81" s="14">
        <v>0</v>
      </c>
      <c r="L81" s="15">
        <v>0</v>
      </c>
      <c r="M81" s="16">
        <f t="shared" si="75"/>
        <v>0</v>
      </c>
      <c r="O81" s="33">
        <f t="shared" si="78"/>
        <v>0</v>
      </c>
      <c r="P81" s="34">
        <v>0</v>
      </c>
      <c r="Q81" s="16">
        <f t="shared" si="79"/>
        <v>0</v>
      </c>
      <c r="S81" s="33">
        <v>0</v>
      </c>
      <c r="T81" s="34">
        <v>0</v>
      </c>
      <c r="U81" s="16">
        <f t="shared" si="80"/>
        <v>0</v>
      </c>
      <c r="W81" s="14">
        <f t="shared" si="66"/>
        <v>0</v>
      </c>
      <c r="X81" s="15">
        <v>0</v>
      </c>
      <c r="Y81" s="16">
        <f t="shared" si="81"/>
        <v>0</v>
      </c>
      <c r="Z81" s="70"/>
      <c r="AA81" s="14">
        <f t="shared" si="67"/>
        <v>1.64</v>
      </c>
      <c r="AB81" s="15">
        <v>0</v>
      </c>
      <c r="AC81" s="16">
        <f t="shared" si="68"/>
        <v>22.960000000000004</v>
      </c>
      <c r="AD81" s="70"/>
      <c r="AF81" s="19">
        <v>64</v>
      </c>
      <c r="AG81" s="30">
        <f t="shared" si="69"/>
        <v>46075</v>
      </c>
      <c r="AH81" s="31">
        <f t="shared" si="70"/>
        <v>18333.34</v>
      </c>
      <c r="AI81" s="31">
        <f t="shared" si="71"/>
        <v>0</v>
      </c>
      <c r="AJ81" s="34">
        <f t="shared" si="72"/>
        <v>0</v>
      </c>
      <c r="AK81" s="31">
        <f t="shared" si="73"/>
        <v>0</v>
      </c>
      <c r="AL81" s="32">
        <f t="shared" si="82"/>
        <v>0</v>
      </c>
    </row>
    <row r="82" spans="1:40" outlineLevel="1" x14ac:dyDescent="0.45">
      <c r="A82" s="27">
        <v>46076</v>
      </c>
      <c r="B82" s="28">
        <f t="shared" si="76"/>
        <v>1</v>
      </c>
      <c r="C82" s="14">
        <v>0</v>
      </c>
      <c r="D82" s="15">
        <v>0</v>
      </c>
      <c r="E82" s="16">
        <f t="shared" si="74"/>
        <v>18333.34</v>
      </c>
      <c r="F82" s="2"/>
      <c r="G82" s="33">
        <f t="shared" si="83"/>
        <v>11.05</v>
      </c>
      <c r="H82" s="34">
        <v>0</v>
      </c>
      <c r="I82" s="16">
        <f t="shared" si="77"/>
        <v>165.75000000000003</v>
      </c>
      <c r="K82" s="14">
        <v>0</v>
      </c>
      <c r="L82" s="15">
        <v>0</v>
      </c>
      <c r="M82" s="16">
        <f t="shared" si="75"/>
        <v>0</v>
      </c>
      <c r="O82" s="33">
        <f t="shared" si="78"/>
        <v>0</v>
      </c>
      <c r="P82" s="34">
        <v>0</v>
      </c>
      <c r="Q82" s="16">
        <f t="shared" si="79"/>
        <v>0</v>
      </c>
      <c r="S82" s="33">
        <v>0</v>
      </c>
      <c r="T82" s="34">
        <v>0</v>
      </c>
      <c r="U82" s="16">
        <f t="shared" si="80"/>
        <v>0</v>
      </c>
      <c r="W82" s="14">
        <f t="shared" si="66"/>
        <v>0</v>
      </c>
      <c r="X82" s="15">
        <v>0</v>
      </c>
      <c r="Y82" s="16">
        <f t="shared" si="81"/>
        <v>0</v>
      </c>
      <c r="Z82" s="70"/>
      <c r="AA82" s="14">
        <f t="shared" si="67"/>
        <v>1.64</v>
      </c>
      <c r="AB82" s="15">
        <v>0</v>
      </c>
      <c r="AC82" s="16">
        <f t="shared" si="68"/>
        <v>24.600000000000005</v>
      </c>
      <c r="AD82" s="70"/>
      <c r="AF82" s="19">
        <v>65</v>
      </c>
      <c r="AG82" s="30">
        <f t="shared" si="69"/>
        <v>46076</v>
      </c>
      <c r="AH82" s="31">
        <f t="shared" si="70"/>
        <v>18333.34</v>
      </c>
      <c r="AI82" s="31">
        <f t="shared" si="71"/>
        <v>0</v>
      </c>
      <c r="AJ82" s="34">
        <f t="shared" si="72"/>
        <v>0</v>
      </c>
      <c r="AK82" s="31">
        <f t="shared" si="73"/>
        <v>0</v>
      </c>
      <c r="AL82" s="32">
        <f t="shared" si="82"/>
        <v>0</v>
      </c>
    </row>
    <row r="83" spans="1:40" outlineLevel="1" x14ac:dyDescent="0.45">
      <c r="A83" s="27">
        <v>46077</v>
      </c>
      <c r="B83" s="28">
        <f t="shared" si="76"/>
        <v>1</v>
      </c>
      <c r="C83" s="14">
        <v>0</v>
      </c>
      <c r="D83" s="15">
        <v>0</v>
      </c>
      <c r="E83" s="16">
        <f t="shared" si="74"/>
        <v>18333.34</v>
      </c>
      <c r="F83" s="2"/>
      <c r="G83" s="33">
        <f t="shared" si="83"/>
        <v>11.05</v>
      </c>
      <c r="H83" s="34">
        <v>0</v>
      </c>
      <c r="I83" s="16">
        <f t="shared" si="77"/>
        <v>176.80000000000004</v>
      </c>
      <c r="K83" s="14">
        <v>0</v>
      </c>
      <c r="L83" s="15">
        <v>0</v>
      </c>
      <c r="M83" s="16">
        <f t="shared" si="75"/>
        <v>0</v>
      </c>
      <c r="O83" s="33">
        <f t="shared" si="78"/>
        <v>0</v>
      </c>
      <c r="P83" s="34">
        <v>0</v>
      </c>
      <c r="Q83" s="16">
        <f t="shared" si="79"/>
        <v>0</v>
      </c>
      <c r="S83" s="33">
        <v>0</v>
      </c>
      <c r="T83" s="34">
        <v>0</v>
      </c>
      <c r="U83" s="16">
        <f t="shared" si="80"/>
        <v>0</v>
      </c>
      <c r="W83" s="14">
        <f t="shared" si="66"/>
        <v>0</v>
      </c>
      <c r="X83" s="15">
        <v>0</v>
      </c>
      <c r="Y83" s="16">
        <f t="shared" si="81"/>
        <v>0</v>
      </c>
      <c r="Z83" s="70"/>
      <c r="AA83" s="14">
        <f t="shared" si="67"/>
        <v>1.64</v>
      </c>
      <c r="AB83" s="15">
        <v>0</v>
      </c>
      <c r="AC83" s="16">
        <f t="shared" si="68"/>
        <v>26.240000000000006</v>
      </c>
      <c r="AD83" s="70"/>
      <c r="AF83" s="19">
        <v>66</v>
      </c>
      <c r="AG83" s="30">
        <f t="shared" si="69"/>
        <v>46077</v>
      </c>
      <c r="AH83" s="31">
        <f t="shared" si="70"/>
        <v>18333.34</v>
      </c>
      <c r="AI83" s="31">
        <f t="shared" si="71"/>
        <v>0</v>
      </c>
      <c r="AJ83" s="34">
        <f t="shared" si="72"/>
        <v>0</v>
      </c>
      <c r="AK83" s="31">
        <f t="shared" si="73"/>
        <v>0</v>
      </c>
      <c r="AL83" s="32">
        <f t="shared" si="82"/>
        <v>0</v>
      </c>
    </row>
    <row r="84" spans="1:40" outlineLevel="1" x14ac:dyDescent="0.45">
      <c r="A84" s="27">
        <v>46078</v>
      </c>
      <c r="B84" s="28">
        <f t="shared" si="76"/>
        <v>1</v>
      </c>
      <c r="C84" s="14">
        <v>0</v>
      </c>
      <c r="D84" s="15">
        <v>0</v>
      </c>
      <c r="E84" s="16">
        <f t="shared" si="74"/>
        <v>18333.34</v>
      </c>
      <c r="F84" s="2"/>
      <c r="G84" s="33">
        <f t="shared" si="83"/>
        <v>11.05</v>
      </c>
      <c r="H84" s="34">
        <v>0</v>
      </c>
      <c r="I84" s="16">
        <f t="shared" si="77"/>
        <v>187.85000000000005</v>
      </c>
      <c r="K84" s="14">
        <v>0</v>
      </c>
      <c r="L84" s="15">
        <v>0</v>
      </c>
      <c r="M84" s="16">
        <f t="shared" si="75"/>
        <v>0</v>
      </c>
      <c r="O84" s="33">
        <f t="shared" si="78"/>
        <v>0</v>
      </c>
      <c r="P84" s="34">
        <v>0</v>
      </c>
      <c r="Q84" s="16">
        <f t="shared" si="79"/>
        <v>0</v>
      </c>
      <c r="S84" s="33">
        <v>0</v>
      </c>
      <c r="T84" s="34">
        <v>0</v>
      </c>
      <c r="U84" s="16">
        <f t="shared" si="80"/>
        <v>0</v>
      </c>
      <c r="W84" s="14">
        <f t="shared" si="66"/>
        <v>0</v>
      </c>
      <c r="X84" s="15">
        <v>0</v>
      </c>
      <c r="Y84" s="16">
        <f t="shared" si="81"/>
        <v>0</v>
      </c>
      <c r="Z84" s="70"/>
      <c r="AA84" s="14">
        <f t="shared" si="67"/>
        <v>1.64</v>
      </c>
      <c r="AB84" s="15">
        <v>0</v>
      </c>
      <c r="AC84" s="16">
        <f t="shared" si="68"/>
        <v>27.880000000000006</v>
      </c>
      <c r="AD84" s="70"/>
      <c r="AF84" s="19">
        <v>67</v>
      </c>
      <c r="AG84" s="30">
        <f t="shared" si="69"/>
        <v>46078</v>
      </c>
      <c r="AH84" s="31">
        <f t="shared" si="70"/>
        <v>18333.34</v>
      </c>
      <c r="AI84" s="31">
        <f t="shared" si="71"/>
        <v>0</v>
      </c>
      <c r="AJ84" s="34">
        <f t="shared" si="72"/>
        <v>0</v>
      </c>
      <c r="AK84" s="31">
        <f t="shared" si="73"/>
        <v>0</v>
      </c>
      <c r="AL84" s="32">
        <f t="shared" si="82"/>
        <v>0</v>
      </c>
    </row>
    <row r="85" spans="1:40" outlineLevel="1" x14ac:dyDescent="0.45">
      <c r="A85" s="27">
        <v>46079</v>
      </c>
      <c r="B85" s="28">
        <f t="shared" si="76"/>
        <v>1</v>
      </c>
      <c r="C85" s="14">
        <v>0</v>
      </c>
      <c r="D85" s="15">
        <v>0</v>
      </c>
      <c r="E85" s="16">
        <f t="shared" si="74"/>
        <v>18333.34</v>
      </c>
      <c r="F85" s="2"/>
      <c r="G85" s="33">
        <f t="shared" si="83"/>
        <v>11.05</v>
      </c>
      <c r="H85" s="34">
        <v>0</v>
      </c>
      <c r="I85" s="16">
        <f t="shared" si="77"/>
        <v>198.90000000000006</v>
      </c>
      <c r="K85" s="14">
        <v>0</v>
      </c>
      <c r="L85" s="15">
        <v>0</v>
      </c>
      <c r="M85" s="16">
        <f t="shared" si="75"/>
        <v>0</v>
      </c>
      <c r="O85" s="33">
        <f t="shared" si="78"/>
        <v>0</v>
      </c>
      <c r="P85" s="34">
        <v>0</v>
      </c>
      <c r="Q85" s="16">
        <f t="shared" si="79"/>
        <v>0</v>
      </c>
      <c r="S85" s="33">
        <v>0</v>
      </c>
      <c r="T85" s="34">
        <v>0</v>
      </c>
      <c r="U85" s="16">
        <f t="shared" si="80"/>
        <v>0</v>
      </c>
      <c r="W85" s="14">
        <f t="shared" si="66"/>
        <v>0</v>
      </c>
      <c r="X85" s="15">
        <v>0</v>
      </c>
      <c r="Y85" s="16">
        <f t="shared" si="81"/>
        <v>0</v>
      </c>
      <c r="Z85" s="70"/>
      <c r="AA85" s="14">
        <f t="shared" si="67"/>
        <v>1.64</v>
      </c>
      <c r="AB85" s="15">
        <v>0</v>
      </c>
      <c r="AC85" s="16">
        <f t="shared" si="68"/>
        <v>29.520000000000007</v>
      </c>
      <c r="AD85" s="70"/>
      <c r="AF85" s="19">
        <v>68</v>
      </c>
      <c r="AG85" s="30">
        <f t="shared" si="69"/>
        <v>46079</v>
      </c>
      <c r="AH85" s="31">
        <f t="shared" si="70"/>
        <v>18333.34</v>
      </c>
      <c r="AI85" s="31">
        <f t="shared" si="71"/>
        <v>0</v>
      </c>
      <c r="AJ85" s="34">
        <f t="shared" si="72"/>
        <v>0</v>
      </c>
      <c r="AK85" s="31">
        <f t="shared" si="73"/>
        <v>0</v>
      </c>
      <c r="AL85" s="32">
        <f t="shared" si="82"/>
        <v>0</v>
      </c>
    </row>
    <row r="86" spans="1:40" outlineLevel="1" x14ac:dyDescent="0.45">
      <c r="A86" s="27">
        <v>46080</v>
      </c>
      <c r="B86" s="28">
        <f t="shared" si="76"/>
        <v>1</v>
      </c>
      <c r="C86" s="14">
        <v>0</v>
      </c>
      <c r="D86" s="15">
        <v>0</v>
      </c>
      <c r="E86" s="16">
        <f t="shared" si="74"/>
        <v>18333.34</v>
      </c>
      <c r="F86" s="2"/>
      <c r="G86" s="33">
        <f t="shared" si="83"/>
        <v>11.05</v>
      </c>
      <c r="H86" s="34">
        <v>0</v>
      </c>
      <c r="I86" s="16">
        <f t="shared" si="77"/>
        <v>209.95000000000007</v>
      </c>
      <c r="K86" s="14">
        <v>0</v>
      </c>
      <c r="L86" s="15">
        <v>0</v>
      </c>
      <c r="M86" s="16">
        <f t="shared" si="75"/>
        <v>0</v>
      </c>
      <c r="O86" s="33">
        <f t="shared" si="78"/>
        <v>0</v>
      </c>
      <c r="P86" s="34">
        <v>0</v>
      </c>
      <c r="Q86" s="16">
        <f t="shared" si="79"/>
        <v>0</v>
      </c>
      <c r="S86" s="33">
        <v>0</v>
      </c>
      <c r="T86" s="34">
        <v>0</v>
      </c>
      <c r="U86" s="16">
        <f t="shared" si="80"/>
        <v>0</v>
      </c>
      <c r="W86" s="14">
        <f t="shared" si="66"/>
        <v>0</v>
      </c>
      <c r="X86" s="15">
        <v>0</v>
      </c>
      <c r="Y86" s="16">
        <f t="shared" si="81"/>
        <v>0</v>
      </c>
      <c r="Z86" s="70"/>
      <c r="AA86" s="14">
        <f t="shared" si="67"/>
        <v>1.64</v>
      </c>
      <c r="AB86" s="15">
        <v>0</v>
      </c>
      <c r="AC86" s="16">
        <f t="shared" si="68"/>
        <v>31.160000000000007</v>
      </c>
      <c r="AD86" s="70"/>
      <c r="AF86" s="19">
        <v>69</v>
      </c>
      <c r="AG86" s="30">
        <f t="shared" si="69"/>
        <v>46080</v>
      </c>
      <c r="AH86" s="31">
        <f t="shared" si="70"/>
        <v>18333.34</v>
      </c>
      <c r="AI86" s="31">
        <f t="shared" si="71"/>
        <v>0</v>
      </c>
      <c r="AJ86" s="34">
        <f t="shared" si="72"/>
        <v>0</v>
      </c>
      <c r="AK86" s="31">
        <f t="shared" si="73"/>
        <v>0</v>
      </c>
      <c r="AL86" s="32">
        <f t="shared" si="82"/>
        <v>0</v>
      </c>
    </row>
    <row r="87" spans="1:40" outlineLevel="1" x14ac:dyDescent="0.45">
      <c r="A87" s="27">
        <v>46081</v>
      </c>
      <c r="B87" s="28">
        <f t="shared" si="76"/>
        <v>1</v>
      </c>
      <c r="C87" s="14">
        <v>0</v>
      </c>
      <c r="D87" s="15">
        <v>0</v>
      </c>
      <c r="E87" s="16">
        <f t="shared" si="74"/>
        <v>18333.34</v>
      </c>
      <c r="F87" s="2"/>
      <c r="G87" s="33">
        <f t="shared" si="83"/>
        <v>11.05</v>
      </c>
      <c r="H87" s="34">
        <v>0</v>
      </c>
      <c r="I87" s="16">
        <f t="shared" si="77"/>
        <v>221.00000000000009</v>
      </c>
      <c r="K87" s="14">
        <v>0</v>
      </c>
      <c r="L87" s="15">
        <v>0</v>
      </c>
      <c r="M87" s="16">
        <f t="shared" si="75"/>
        <v>0</v>
      </c>
      <c r="O87" s="33">
        <f t="shared" si="78"/>
        <v>0</v>
      </c>
      <c r="P87" s="34">
        <v>0</v>
      </c>
      <c r="Q87" s="16">
        <f t="shared" si="79"/>
        <v>0</v>
      </c>
      <c r="S87" s="33">
        <v>0</v>
      </c>
      <c r="T87" s="34">
        <v>0</v>
      </c>
      <c r="U87" s="16">
        <f t="shared" si="80"/>
        <v>0</v>
      </c>
      <c r="W87" s="14">
        <f t="shared" si="66"/>
        <v>0</v>
      </c>
      <c r="X87" s="15">
        <v>0</v>
      </c>
      <c r="Y87" s="16">
        <f t="shared" si="81"/>
        <v>0</v>
      </c>
      <c r="Z87" s="70"/>
      <c r="AA87" s="14">
        <f t="shared" si="67"/>
        <v>1.64</v>
      </c>
      <c r="AB87" s="15">
        <v>0</v>
      </c>
      <c r="AC87" s="16">
        <f t="shared" si="68"/>
        <v>32.800000000000004</v>
      </c>
      <c r="AD87" s="70"/>
      <c r="AF87" s="19">
        <v>70</v>
      </c>
      <c r="AG87" s="30">
        <f t="shared" si="69"/>
        <v>46081</v>
      </c>
      <c r="AH87" s="31">
        <f t="shared" si="70"/>
        <v>18333.34</v>
      </c>
      <c r="AI87" s="31">
        <f t="shared" si="71"/>
        <v>0</v>
      </c>
      <c r="AJ87" s="34">
        <f t="shared" si="72"/>
        <v>0</v>
      </c>
      <c r="AK87" s="31">
        <f t="shared" si="73"/>
        <v>0</v>
      </c>
      <c r="AL87" s="32">
        <f t="shared" si="82"/>
        <v>0</v>
      </c>
    </row>
    <row r="88" spans="1:40" outlineLevel="1" x14ac:dyDescent="0.45">
      <c r="A88" s="27">
        <v>46082</v>
      </c>
      <c r="B88" s="28">
        <f t="shared" si="76"/>
        <v>1</v>
      </c>
      <c r="C88" s="14">
        <v>0</v>
      </c>
      <c r="D88" s="15">
        <v>0</v>
      </c>
      <c r="E88" s="16">
        <f t="shared" si="74"/>
        <v>18333.34</v>
      </c>
      <c r="F88" s="2"/>
      <c r="G88" s="33">
        <f t="shared" si="83"/>
        <v>11.05</v>
      </c>
      <c r="H88" s="34">
        <v>0</v>
      </c>
      <c r="I88" s="16">
        <f t="shared" si="77"/>
        <v>232.0500000000001</v>
      </c>
      <c r="K88" s="14">
        <v>0</v>
      </c>
      <c r="L88" s="15">
        <v>0</v>
      </c>
      <c r="M88" s="16">
        <f t="shared" si="75"/>
        <v>0</v>
      </c>
      <c r="O88" s="33">
        <f t="shared" si="78"/>
        <v>0</v>
      </c>
      <c r="P88" s="34">
        <v>0</v>
      </c>
      <c r="Q88" s="16">
        <f t="shared" si="79"/>
        <v>0</v>
      </c>
      <c r="S88" s="33">
        <v>0</v>
      </c>
      <c r="T88" s="34">
        <v>0</v>
      </c>
      <c r="U88" s="16">
        <f t="shared" si="80"/>
        <v>0</v>
      </c>
      <c r="W88" s="14">
        <f t="shared" si="66"/>
        <v>0</v>
      </c>
      <c r="X88" s="15">
        <v>0</v>
      </c>
      <c r="Y88" s="16">
        <f t="shared" si="81"/>
        <v>0</v>
      </c>
      <c r="Z88" s="70"/>
      <c r="AA88" s="14">
        <f t="shared" si="67"/>
        <v>1.64</v>
      </c>
      <c r="AB88" s="15">
        <v>0</v>
      </c>
      <c r="AC88" s="16">
        <f t="shared" si="68"/>
        <v>34.440000000000005</v>
      </c>
      <c r="AD88" s="70"/>
      <c r="AF88" s="19">
        <v>71</v>
      </c>
      <c r="AG88" s="30">
        <f t="shared" si="69"/>
        <v>46082</v>
      </c>
      <c r="AH88" s="31">
        <f t="shared" si="70"/>
        <v>18333.34</v>
      </c>
      <c r="AI88" s="31">
        <f t="shared" si="71"/>
        <v>0</v>
      </c>
      <c r="AJ88" s="34">
        <f t="shared" si="72"/>
        <v>0</v>
      </c>
      <c r="AK88" s="31">
        <f t="shared" si="73"/>
        <v>0</v>
      </c>
      <c r="AL88" s="32">
        <f t="shared" si="82"/>
        <v>0</v>
      </c>
    </row>
    <row r="89" spans="1:40" outlineLevel="1" x14ac:dyDescent="0.45">
      <c r="A89" s="27">
        <v>46083</v>
      </c>
      <c r="B89" s="28">
        <f t="shared" si="76"/>
        <v>1</v>
      </c>
      <c r="C89" s="14">
        <v>0</v>
      </c>
      <c r="D89" s="15">
        <v>0</v>
      </c>
      <c r="E89" s="16">
        <f t="shared" si="74"/>
        <v>18333.34</v>
      </c>
      <c r="F89" s="2"/>
      <c r="G89" s="33">
        <f t="shared" si="83"/>
        <v>11.05</v>
      </c>
      <c r="H89" s="34">
        <v>0</v>
      </c>
      <c r="I89" s="16">
        <f t="shared" si="77"/>
        <v>243.10000000000011</v>
      </c>
      <c r="K89" s="14">
        <v>0</v>
      </c>
      <c r="L89" s="15">
        <v>0</v>
      </c>
      <c r="M89" s="16">
        <f t="shared" si="75"/>
        <v>0</v>
      </c>
      <c r="O89" s="33">
        <f t="shared" si="78"/>
        <v>0</v>
      </c>
      <c r="P89" s="34">
        <v>0</v>
      </c>
      <c r="Q89" s="16">
        <f t="shared" si="79"/>
        <v>0</v>
      </c>
      <c r="S89" s="33">
        <v>0</v>
      </c>
      <c r="T89" s="34">
        <v>0</v>
      </c>
      <c r="U89" s="16">
        <f t="shared" si="80"/>
        <v>0</v>
      </c>
      <c r="W89" s="14">
        <f t="shared" si="66"/>
        <v>0</v>
      </c>
      <c r="X89" s="15">
        <v>0</v>
      </c>
      <c r="Y89" s="16">
        <f t="shared" si="81"/>
        <v>0</v>
      </c>
      <c r="Z89" s="70"/>
      <c r="AA89" s="14">
        <f t="shared" si="67"/>
        <v>1.64</v>
      </c>
      <c r="AB89" s="15">
        <v>0</v>
      </c>
      <c r="AC89" s="16">
        <f t="shared" si="68"/>
        <v>36.080000000000005</v>
      </c>
      <c r="AD89" s="70"/>
      <c r="AF89" s="19">
        <v>72</v>
      </c>
      <c r="AG89" s="30">
        <f t="shared" si="69"/>
        <v>46083</v>
      </c>
      <c r="AH89" s="31">
        <f t="shared" si="70"/>
        <v>18333.34</v>
      </c>
      <c r="AI89" s="31">
        <f t="shared" si="71"/>
        <v>0</v>
      </c>
      <c r="AJ89" s="34">
        <f t="shared" si="72"/>
        <v>0</v>
      </c>
      <c r="AK89" s="31">
        <f t="shared" si="73"/>
        <v>0</v>
      </c>
      <c r="AL89" s="32">
        <f t="shared" si="82"/>
        <v>0</v>
      </c>
    </row>
    <row r="90" spans="1:40" outlineLevel="1" x14ac:dyDescent="0.45">
      <c r="A90" s="27">
        <v>46084</v>
      </c>
      <c r="B90" s="28">
        <f t="shared" si="76"/>
        <v>1</v>
      </c>
      <c r="C90" s="14">
        <v>0</v>
      </c>
      <c r="D90" s="15">
        <v>0</v>
      </c>
      <c r="E90" s="16">
        <f t="shared" si="74"/>
        <v>18333.34</v>
      </c>
      <c r="F90" s="2"/>
      <c r="G90" s="33">
        <f t="shared" si="83"/>
        <v>11.05</v>
      </c>
      <c r="H90" s="34">
        <v>0</v>
      </c>
      <c r="I90" s="16">
        <f t="shared" si="77"/>
        <v>254.15000000000012</v>
      </c>
      <c r="K90" s="14">
        <v>0</v>
      </c>
      <c r="L90" s="15">
        <v>0</v>
      </c>
      <c r="M90" s="16">
        <f t="shared" si="75"/>
        <v>0</v>
      </c>
      <c r="O90" s="33">
        <f t="shared" si="78"/>
        <v>0</v>
      </c>
      <c r="P90" s="34">
        <v>0</v>
      </c>
      <c r="Q90" s="16">
        <f t="shared" si="79"/>
        <v>0</v>
      </c>
      <c r="S90" s="33">
        <v>0</v>
      </c>
      <c r="T90" s="34">
        <v>0</v>
      </c>
      <c r="U90" s="16">
        <f t="shared" si="80"/>
        <v>0</v>
      </c>
      <c r="W90" s="14">
        <f t="shared" si="66"/>
        <v>0</v>
      </c>
      <c r="X90" s="15">
        <v>0</v>
      </c>
      <c r="Y90" s="16">
        <f t="shared" si="81"/>
        <v>0</v>
      </c>
      <c r="Z90" s="70"/>
      <c r="AA90" s="14">
        <f t="shared" si="67"/>
        <v>1.64</v>
      </c>
      <c r="AB90" s="15">
        <v>0</v>
      </c>
      <c r="AC90" s="16">
        <f t="shared" si="68"/>
        <v>37.720000000000006</v>
      </c>
      <c r="AD90" s="70"/>
      <c r="AF90" s="19">
        <v>73</v>
      </c>
      <c r="AG90" s="30">
        <f t="shared" si="69"/>
        <v>46084</v>
      </c>
      <c r="AH90" s="31">
        <f t="shared" si="70"/>
        <v>18333.34</v>
      </c>
      <c r="AI90" s="31">
        <f t="shared" si="71"/>
        <v>0</v>
      </c>
      <c r="AJ90" s="34">
        <f t="shared" si="72"/>
        <v>0</v>
      </c>
      <c r="AK90" s="31">
        <f t="shared" si="73"/>
        <v>0</v>
      </c>
      <c r="AL90" s="32">
        <f t="shared" si="82"/>
        <v>0</v>
      </c>
    </row>
    <row r="91" spans="1:40" outlineLevel="1" x14ac:dyDescent="0.45">
      <c r="A91" s="27">
        <v>46085</v>
      </c>
      <c r="B91" s="28">
        <f t="shared" si="76"/>
        <v>1</v>
      </c>
      <c r="C91" s="14">
        <v>0</v>
      </c>
      <c r="D91" s="15">
        <v>0</v>
      </c>
      <c r="E91" s="16">
        <f t="shared" si="74"/>
        <v>18333.34</v>
      </c>
      <c r="F91" s="2"/>
      <c r="G91" s="33">
        <f t="shared" si="83"/>
        <v>11.05</v>
      </c>
      <c r="H91" s="34">
        <v>0</v>
      </c>
      <c r="I91" s="16">
        <f t="shared" si="77"/>
        <v>265.2000000000001</v>
      </c>
      <c r="K91" s="14">
        <v>0</v>
      </c>
      <c r="L91" s="15">
        <v>0</v>
      </c>
      <c r="M91" s="16">
        <f t="shared" si="75"/>
        <v>0</v>
      </c>
      <c r="O91" s="33">
        <f t="shared" si="78"/>
        <v>0</v>
      </c>
      <c r="P91" s="34">
        <v>0</v>
      </c>
      <c r="Q91" s="16">
        <f t="shared" si="79"/>
        <v>0</v>
      </c>
      <c r="S91" s="33">
        <v>0</v>
      </c>
      <c r="T91" s="34">
        <v>0</v>
      </c>
      <c r="U91" s="16">
        <f t="shared" si="80"/>
        <v>0</v>
      </c>
      <c r="W91" s="14">
        <f t="shared" si="66"/>
        <v>0</v>
      </c>
      <c r="X91" s="15">
        <v>0</v>
      </c>
      <c r="Y91" s="16">
        <f t="shared" si="81"/>
        <v>0</v>
      </c>
      <c r="Z91" s="70"/>
      <c r="AA91" s="14">
        <f t="shared" si="67"/>
        <v>1.64</v>
      </c>
      <c r="AB91" s="15">
        <v>0</v>
      </c>
      <c r="AC91" s="16">
        <f t="shared" si="68"/>
        <v>39.360000000000007</v>
      </c>
      <c r="AD91" s="70"/>
      <c r="AF91" s="19">
        <v>74</v>
      </c>
      <c r="AG91" s="30">
        <f t="shared" si="69"/>
        <v>46085</v>
      </c>
      <c r="AH91" s="31">
        <f t="shared" si="70"/>
        <v>18333.34</v>
      </c>
      <c r="AI91" s="31">
        <f t="shared" si="71"/>
        <v>0</v>
      </c>
      <c r="AJ91" s="34">
        <f t="shared" si="72"/>
        <v>0</v>
      </c>
      <c r="AK91" s="31">
        <f t="shared" si="73"/>
        <v>0</v>
      </c>
      <c r="AL91" s="32">
        <f t="shared" si="82"/>
        <v>0</v>
      </c>
    </row>
    <row r="92" spans="1:40" outlineLevel="1" x14ac:dyDescent="0.45">
      <c r="A92" s="27">
        <v>46086</v>
      </c>
      <c r="B92" s="28">
        <f t="shared" si="76"/>
        <v>1</v>
      </c>
      <c r="C92" s="14">
        <v>0</v>
      </c>
      <c r="D92" s="15">
        <v>0</v>
      </c>
      <c r="E92" s="16">
        <f t="shared" si="74"/>
        <v>18333.34</v>
      </c>
      <c r="F92" s="2"/>
      <c r="G92" s="33">
        <f t="shared" si="83"/>
        <v>11.05</v>
      </c>
      <c r="H92" s="34">
        <v>0</v>
      </c>
      <c r="I92" s="16">
        <f t="shared" si="77"/>
        <v>276.25000000000011</v>
      </c>
      <c r="K92" s="14">
        <v>0</v>
      </c>
      <c r="L92" s="15">
        <v>0</v>
      </c>
      <c r="M92" s="16">
        <f t="shared" si="75"/>
        <v>0</v>
      </c>
      <c r="O92" s="33">
        <f t="shared" si="78"/>
        <v>0</v>
      </c>
      <c r="P92" s="34">
        <v>0</v>
      </c>
      <c r="Q92" s="16">
        <f t="shared" si="79"/>
        <v>0</v>
      </c>
      <c r="S92" s="33">
        <v>0</v>
      </c>
      <c r="T92" s="34">
        <v>0</v>
      </c>
      <c r="U92" s="16">
        <f t="shared" si="80"/>
        <v>0</v>
      </c>
      <c r="W92" s="14">
        <f t="shared" si="66"/>
        <v>0</v>
      </c>
      <c r="X92" s="15">
        <v>0</v>
      </c>
      <c r="Y92" s="16">
        <f t="shared" si="81"/>
        <v>0</v>
      </c>
      <c r="Z92" s="70"/>
      <c r="AA92" s="14">
        <f t="shared" si="67"/>
        <v>1.64</v>
      </c>
      <c r="AB92" s="15">
        <v>0</v>
      </c>
      <c r="AC92" s="16">
        <f t="shared" si="68"/>
        <v>41.000000000000007</v>
      </c>
      <c r="AD92" s="70"/>
      <c r="AF92" s="19">
        <v>75</v>
      </c>
      <c r="AG92" s="30">
        <f t="shared" si="69"/>
        <v>46086</v>
      </c>
      <c r="AH92" s="31">
        <f t="shared" si="70"/>
        <v>18333.34</v>
      </c>
      <c r="AI92" s="31">
        <f t="shared" si="71"/>
        <v>0</v>
      </c>
      <c r="AJ92" s="34">
        <f t="shared" si="72"/>
        <v>0</v>
      </c>
      <c r="AK92" s="31">
        <f t="shared" si="73"/>
        <v>0</v>
      </c>
      <c r="AL92" s="32">
        <f t="shared" si="82"/>
        <v>0</v>
      </c>
    </row>
    <row r="93" spans="1:40" outlineLevel="1" x14ac:dyDescent="0.45">
      <c r="A93" s="27">
        <v>46087</v>
      </c>
      <c r="B93" s="28">
        <f t="shared" si="76"/>
        <v>1</v>
      </c>
      <c r="C93" s="14">
        <v>0</v>
      </c>
      <c r="D93" s="15">
        <v>0</v>
      </c>
      <c r="E93" s="16">
        <f t="shared" si="74"/>
        <v>18333.34</v>
      </c>
      <c r="F93" s="2"/>
      <c r="G93" s="33">
        <f t="shared" si="83"/>
        <v>11.05</v>
      </c>
      <c r="H93" s="34">
        <v>0</v>
      </c>
      <c r="I93" s="16">
        <f t="shared" si="77"/>
        <v>287.30000000000013</v>
      </c>
      <c r="K93" s="14">
        <v>0</v>
      </c>
      <c r="L93" s="15">
        <v>0</v>
      </c>
      <c r="M93" s="16">
        <f t="shared" si="75"/>
        <v>0</v>
      </c>
      <c r="O93" s="33">
        <f t="shared" si="78"/>
        <v>0</v>
      </c>
      <c r="P93" s="34">
        <v>0</v>
      </c>
      <c r="Q93" s="16">
        <f t="shared" si="79"/>
        <v>0</v>
      </c>
      <c r="S93" s="33">
        <v>0</v>
      </c>
      <c r="T93" s="34">
        <v>0</v>
      </c>
      <c r="U93" s="16">
        <f t="shared" si="80"/>
        <v>0</v>
      </c>
      <c r="W93" s="14">
        <f t="shared" si="66"/>
        <v>0</v>
      </c>
      <c r="X93" s="15">
        <v>0</v>
      </c>
      <c r="Y93" s="16">
        <f t="shared" si="81"/>
        <v>0</v>
      </c>
      <c r="Z93" s="70"/>
      <c r="AA93" s="14">
        <f t="shared" si="67"/>
        <v>1.64</v>
      </c>
      <c r="AB93" s="15">
        <v>0</v>
      </c>
      <c r="AC93" s="16">
        <f t="shared" si="68"/>
        <v>42.640000000000008</v>
      </c>
      <c r="AD93" s="70"/>
      <c r="AF93" s="19">
        <v>76</v>
      </c>
      <c r="AG93" s="30">
        <f t="shared" si="69"/>
        <v>46087</v>
      </c>
      <c r="AH93" s="31">
        <f t="shared" si="70"/>
        <v>18333.34</v>
      </c>
      <c r="AI93" s="31">
        <f t="shared" si="71"/>
        <v>0</v>
      </c>
      <c r="AJ93" s="34">
        <f t="shared" si="72"/>
        <v>0</v>
      </c>
      <c r="AK93" s="31">
        <f t="shared" si="73"/>
        <v>0</v>
      </c>
      <c r="AL93" s="32">
        <f t="shared" si="82"/>
        <v>0</v>
      </c>
    </row>
    <row r="94" spans="1:40" outlineLevel="1" x14ac:dyDescent="0.45">
      <c r="A94" s="27">
        <v>46088</v>
      </c>
      <c r="B94" s="28">
        <f t="shared" si="76"/>
        <v>1</v>
      </c>
      <c r="C94" s="14">
        <v>0</v>
      </c>
      <c r="D94" s="15">
        <v>0</v>
      </c>
      <c r="E94" s="16">
        <f t="shared" si="74"/>
        <v>18333.34</v>
      </c>
      <c r="F94" s="2"/>
      <c r="G94" s="33">
        <f t="shared" si="83"/>
        <v>11.05</v>
      </c>
      <c r="H94" s="34">
        <v>0</v>
      </c>
      <c r="I94" s="16">
        <f t="shared" si="77"/>
        <v>298.35000000000014</v>
      </c>
      <c r="K94" s="14">
        <v>0</v>
      </c>
      <c r="L94" s="15">
        <v>0</v>
      </c>
      <c r="M94" s="16">
        <f t="shared" si="75"/>
        <v>0</v>
      </c>
      <c r="O94" s="33">
        <f t="shared" si="78"/>
        <v>0</v>
      </c>
      <c r="P94" s="34">
        <v>0</v>
      </c>
      <c r="Q94" s="16">
        <f t="shared" si="79"/>
        <v>0</v>
      </c>
      <c r="S94" s="33">
        <v>0</v>
      </c>
      <c r="T94" s="34">
        <v>0</v>
      </c>
      <c r="U94" s="16">
        <f t="shared" si="80"/>
        <v>0</v>
      </c>
      <c r="W94" s="14">
        <f t="shared" si="66"/>
        <v>0</v>
      </c>
      <c r="X94" s="15">
        <v>0</v>
      </c>
      <c r="Y94" s="16">
        <f t="shared" si="81"/>
        <v>0</v>
      </c>
      <c r="Z94" s="70"/>
      <c r="AA94" s="14">
        <f t="shared" si="67"/>
        <v>1.64</v>
      </c>
      <c r="AB94" s="15">
        <v>0</v>
      </c>
      <c r="AC94" s="16">
        <f t="shared" si="68"/>
        <v>44.280000000000008</v>
      </c>
      <c r="AD94" s="70"/>
      <c r="AF94" s="19">
        <v>77</v>
      </c>
      <c r="AG94" s="30">
        <f t="shared" si="69"/>
        <v>46088</v>
      </c>
      <c r="AH94" s="31">
        <f t="shared" si="70"/>
        <v>18333.34</v>
      </c>
      <c r="AI94" s="31">
        <f t="shared" si="71"/>
        <v>0</v>
      </c>
      <c r="AJ94" s="34">
        <f t="shared" si="72"/>
        <v>0</v>
      </c>
      <c r="AK94" s="31">
        <f t="shared" si="73"/>
        <v>0</v>
      </c>
      <c r="AL94" s="32">
        <f t="shared" si="82"/>
        <v>0</v>
      </c>
    </row>
    <row r="95" spans="1:40" outlineLevel="1" x14ac:dyDescent="0.45">
      <c r="A95" s="27">
        <v>46089</v>
      </c>
      <c r="B95" s="28">
        <f t="shared" si="76"/>
        <v>1</v>
      </c>
      <c r="C95" s="14">
        <v>0</v>
      </c>
      <c r="D95" s="15">
        <v>0</v>
      </c>
      <c r="E95" s="16">
        <f t="shared" si="74"/>
        <v>18333.34</v>
      </c>
      <c r="F95" s="2"/>
      <c r="G95" s="33">
        <f t="shared" si="83"/>
        <v>11.05</v>
      </c>
      <c r="H95" s="34">
        <v>0</v>
      </c>
      <c r="I95" s="16">
        <f t="shared" si="77"/>
        <v>309.40000000000015</v>
      </c>
      <c r="K95" s="14">
        <v>0</v>
      </c>
      <c r="L95" s="15">
        <v>0</v>
      </c>
      <c r="M95" s="16">
        <f t="shared" si="75"/>
        <v>0</v>
      </c>
      <c r="O95" s="33">
        <f t="shared" si="78"/>
        <v>0</v>
      </c>
      <c r="P95" s="34">
        <v>0</v>
      </c>
      <c r="Q95" s="16">
        <f t="shared" si="79"/>
        <v>0</v>
      </c>
      <c r="S95" s="33">
        <v>0</v>
      </c>
      <c r="T95" s="34">
        <v>0</v>
      </c>
      <c r="U95" s="16">
        <f t="shared" si="80"/>
        <v>0</v>
      </c>
      <c r="W95" s="14">
        <f t="shared" si="66"/>
        <v>0</v>
      </c>
      <c r="X95" s="15">
        <v>0</v>
      </c>
      <c r="Y95" s="16">
        <f t="shared" si="81"/>
        <v>0</v>
      </c>
      <c r="Z95" s="70"/>
      <c r="AA95" s="14">
        <f t="shared" si="67"/>
        <v>1.64</v>
      </c>
      <c r="AB95" s="15">
        <v>0</v>
      </c>
      <c r="AC95" s="16">
        <f t="shared" si="68"/>
        <v>45.920000000000009</v>
      </c>
      <c r="AD95" s="70"/>
      <c r="AF95" s="19">
        <v>78</v>
      </c>
      <c r="AG95" s="30">
        <f t="shared" si="69"/>
        <v>46089</v>
      </c>
      <c r="AH95" s="31">
        <f t="shared" si="70"/>
        <v>18333.34</v>
      </c>
      <c r="AI95" s="31">
        <f t="shared" si="71"/>
        <v>0</v>
      </c>
      <c r="AJ95" s="34">
        <f t="shared" si="72"/>
        <v>0</v>
      </c>
      <c r="AK95" s="31">
        <f t="shared" si="73"/>
        <v>0</v>
      </c>
      <c r="AL95" s="32">
        <f t="shared" si="82"/>
        <v>0</v>
      </c>
    </row>
    <row r="96" spans="1:40" outlineLevel="1" x14ac:dyDescent="0.45">
      <c r="A96" s="27">
        <v>46090</v>
      </c>
      <c r="B96" s="35">
        <f t="shared" ref="B96" si="84">A96-A95</f>
        <v>1</v>
      </c>
      <c r="C96" s="36">
        <v>0</v>
      </c>
      <c r="D96" s="37">
        <v>833.33</v>
      </c>
      <c r="E96" s="38">
        <f t="shared" ref="E96" si="85">ROUND(E95+C96-D96,2)</f>
        <v>17500.009999999998</v>
      </c>
      <c r="F96" s="39"/>
      <c r="G96" s="33">
        <f t="shared" ref="G96" si="86">ROUND(E96*$G$5/$D$5*B96,2)</f>
        <v>10.55</v>
      </c>
      <c r="H96" s="37">
        <f>I95</f>
        <v>309.40000000000015</v>
      </c>
      <c r="I96" s="38">
        <f t="shared" ref="I96" si="87">I95+G96-H96</f>
        <v>10.550000000000011</v>
      </c>
      <c r="J96" s="39"/>
      <c r="K96" s="36">
        <f>D96</f>
        <v>833.33</v>
      </c>
      <c r="L96" s="37">
        <v>0</v>
      </c>
      <c r="M96" s="38">
        <f t="shared" ref="M96" si="88">ROUND(M95+K96-L96,2)</f>
        <v>833.33</v>
      </c>
      <c r="N96" s="39"/>
      <c r="O96" s="33">
        <f t="shared" ref="O96" si="89">ROUND(M96*$O$5/$D$5*B96,2)</f>
        <v>0.5</v>
      </c>
      <c r="P96" s="37">
        <v>0</v>
      </c>
      <c r="Q96" s="38">
        <f t="shared" ref="Q96" si="90">Q95+O96-P96</f>
        <v>0.5</v>
      </c>
      <c r="R96" s="39"/>
      <c r="S96" s="36">
        <f>H96</f>
        <v>309.40000000000015</v>
      </c>
      <c r="T96" s="37">
        <v>0</v>
      </c>
      <c r="U96" s="38">
        <f t="shared" ref="U96" si="91">U95+S96-T96</f>
        <v>309.40000000000015</v>
      </c>
      <c r="V96" s="39"/>
      <c r="W96" s="14">
        <f t="shared" si="66"/>
        <v>0</v>
      </c>
      <c r="X96" s="37">
        <v>0</v>
      </c>
      <c r="Y96" s="38">
        <f t="shared" ref="Y96" si="92">Y95+W96-X96</f>
        <v>0</v>
      </c>
      <c r="Z96" s="85"/>
      <c r="AA96" s="36">
        <f t="shared" ref="AA96" si="93">ROUND($C$5*$AA$5/365*B96,2)</f>
        <v>1.64</v>
      </c>
      <c r="AB96" s="37">
        <v>0</v>
      </c>
      <c r="AC96" s="38">
        <f t="shared" ref="AC96" si="94">AC95+AA96-AB96</f>
        <v>47.560000000000009</v>
      </c>
      <c r="AD96" s="70"/>
      <c r="AF96" s="40">
        <v>30</v>
      </c>
      <c r="AG96" s="41">
        <f t="shared" ref="AG96" si="95">A96</f>
        <v>46090</v>
      </c>
      <c r="AH96" s="42">
        <f t="shared" ref="AH96" si="96">E96</f>
        <v>17500.009999999998</v>
      </c>
      <c r="AI96" s="42">
        <f t="shared" ref="AI96" si="97">D96</f>
        <v>833.33</v>
      </c>
      <c r="AJ96" s="37">
        <f t="shared" ref="AJ96" si="98">H96</f>
        <v>309.40000000000015</v>
      </c>
      <c r="AK96" s="42">
        <f>AC95</f>
        <v>45.920000000000009</v>
      </c>
      <c r="AL96" s="43">
        <f>AI96+AJ96+AK96</f>
        <v>1188.6500000000003</v>
      </c>
      <c r="AM96" s="44">
        <f>AL96</f>
        <v>1188.6500000000003</v>
      </c>
      <c r="AN96" s="44"/>
    </row>
    <row r="97" spans="1:44" s="39" customFormat="1" x14ac:dyDescent="0.45">
      <c r="A97" s="27">
        <v>46091</v>
      </c>
      <c r="B97" s="28">
        <f t="shared" si="76"/>
        <v>1</v>
      </c>
      <c r="C97" s="14">
        <v>0</v>
      </c>
      <c r="D97" s="15">
        <v>0</v>
      </c>
      <c r="E97" s="16">
        <f t="shared" si="74"/>
        <v>17500.009999999998</v>
      </c>
      <c r="F97" s="2"/>
      <c r="G97" s="33">
        <f>ROUND(E97*$G$5/$D$5*B97,2)</f>
        <v>10.55</v>
      </c>
      <c r="H97" s="34">
        <v>0</v>
      </c>
      <c r="I97" s="16">
        <f t="shared" si="77"/>
        <v>21.100000000000012</v>
      </c>
      <c r="J97" s="2"/>
      <c r="K97" s="14">
        <v>0</v>
      </c>
      <c r="L97" s="15">
        <v>0</v>
      </c>
      <c r="M97" s="16">
        <f t="shared" si="75"/>
        <v>833.33</v>
      </c>
      <c r="N97" s="2"/>
      <c r="O97" s="33">
        <f t="shared" si="78"/>
        <v>0.5</v>
      </c>
      <c r="P97" s="34">
        <v>0</v>
      </c>
      <c r="Q97" s="16">
        <f t="shared" si="79"/>
        <v>1</v>
      </c>
      <c r="R97" s="2"/>
      <c r="S97" s="33">
        <v>0</v>
      </c>
      <c r="T97" s="34">
        <v>0</v>
      </c>
      <c r="U97" s="16">
        <f t="shared" si="80"/>
        <v>309.40000000000015</v>
      </c>
      <c r="V97" s="2"/>
      <c r="W97" s="14">
        <f>ROUND(M96*$W$5*B97,2)</f>
        <v>4.17</v>
      </c>
      <c r="X97" s="15">
        <v>0</v>
      </c>
      <c r="Y97" s="16">
        <f t="shared" si="81"/>
        <v>4.17</v>
      </c>
      <c r="Z97" s="70"/>
      <c r="AA97" s="14">
        <f t="shared" si="67"/>
        <v>1.64</v>
      </c>
      <c r="AB97" s="15">
        <v>0</v>
      </c>
      <c r="AC97" s="16">
        <f t="shared" si="68"/>
        <v>49.20000000000001</v>
      </c>
      <c r="AD97" s="70"/>
      <c r="AE97" s="2"/>
      <c r="AF97" s="19">
        <v>30</v>
      </c>
      <c r="AG97" s="30">
        <f t="shared" si="69"/>
        <v>46091</v>
      </c>
      <c r="AH97" s="31">
        <f t="shared" si="70"/>
        <v>17500.009999999998</v>
      </c>
      <c r="AI97" s="31">
        <f t="shared" si="71"/>
        <v>0</v>
      </c>
      <c r="AJ97" s="34">
        <f t="shared" si="72"/>
        <v>0</v>
      </c>
      <c r="AK97" s="31">
        <f t="shared" si="73"/>
        <v>0</v>
      </c>
      <c r="AL97" s="32">
        <f t="shared" si="82"/>
        <v>0</v>
      </c>
      <c r="AM97" s="5">
        <f>AL97</f>
        <v>0</v>
      </c>
      <c r="AN97" s="44"/>
      <c r="AO97" s="5"/>
      <c r="AP97" s="46"/>
      <c r="AQ97" s="44"/>
      <c r="AR97" s="44"/>
    </row>
    <row r="98" spans="1:44" ht="15.75" customHeight="1" outlineLevel="1" x14ac:dyDescent="0.45">
      <c r="A98" s="27">
        <v>46092</v>
      </c>
      <c r="B98" s="28">
        <f t="shared" si="76"/>
        <v>1</v>
      </c>
      <c r="C98" s="14">
        <v>0</v>
      </c>
      <c r="D98" s="15">
        <v>0</v>
      </c>
      <c r="E98" s="16">
        <f t="shared" si="74"/>
        <v>17500.009999999998</v>
      </c>
      <c r="F98" s="2"/>
      <c r="G98" s="33">
        <f t="shared" si="83"/>
        <v>10.55</v>
      </c>
      <c r="H98" s="34">
        <v>0</v>
      </c>
      <c r="I98" s="16">
        <f t="shared" si="77"/>
        <v>31.650000000000013</v>
      </c>
      <c r="K98" s="14">
        <v>0</v>
      </c>
      <c r="L98" s="15">
        <v>0</v>
      </c>
      <c r="M98" s="16">
        <f t="shared" si="75"/>
        <v>833.33</v>
      </c>
      <c r="O98" s="33">
        <f t="shared" si="78"/>
        <v>0.5</v>
      </c>
      <c r="P98" s="34">
        <v>0</v>
      </c>
      <c r="Q98" s="16">
        <f t="shared" si="79"/>
        <v>1.5</v>
      </c>
      <c r="S98" s="33">
        <v>0</v>
      </c>
      <c r="T98" s="34">
        <v>0</v>
      </c>
      <c r="U98" s="16">
        <f t="shared" si="80"/>
        <v>309.40000000000015</v>
      </c>
      <c r="W98" s="14">
        <f>ROUND(M97*$W$5*B98,2)</f>
        <v>4.17</v>
      </c>
      <c r="X98" s="15">
        <v>0</v>
      </c>
      <c r="Y98" s="16">
        <f t="shared" si="81"/>
        <v>8.34</v>
      </c>
      <c r="Z98" s="70"/>
      <c r="AA98" s="14">
        <f t="shared" si="67"/>
        <v>1.64</v>
      </c>
      <c r="AB98" s="15">
        <v>0</v>
      </c>
      <c r="AC98" s="16">
        <f t="shared" si="68"/>
        <v>50.840000000000011</v>
      </c>
      <c r="AD98" s="70"/>
      <c r="AF98" s="19">
        <v>50</v>
      </c>
      <c r="AG98" s="30">
        <f t="shared" si="69"/>
        <v>46092</v>
      </c>
      <c r="AH98" s="31">
        <f t="shared" si="70"/>
        <v>17500.009999999998</v>
      </c>
      <c r="AI98" s="31">
        <f t="shared" si="71"/>
        <v>0</v>
      </c>
      <c r="AJ98" s="34">
        <f t="shared" si="72"/>
        <v>0</v>
      </c>
      <c r="AK98" s="31">
        <f t="shared" si="73"/>
        <v>0</v>
      </c>
      <c r="AL98" s="32">
        <f t="shared" si="82"/>
        <v>0</v>
      </c>
    </row>
    <row r="99" spans="1:44" ht="15.75" customHeight="1" outlineLevel="1" x14ac:dyDescent="0.45">
      <c r="A99" s="27">
        <v>46093</v>
      </c>
      <c r="B99" s="28">
        <f t="shared" si="76"/>
        <v>1</v>
      </c>
      <c r="C99" s="14">
        <v>0</v>
      </c>
      <c r="D99" s="15">
        <v>0</v>
      </c>
      <c r="E99" s="16">
        <f t="shared" si="74"/>
        <v>17500.009999999998</v>
      </c>
      <c r="F99" s="2"/>
      <c r="G99" s="33">
        <f t="shared" si="83"/>
        <v>10.55</v>
      </c>
      <c r="H99" s="34">
        <v>0</v>
      </c>
      <c r="I99" s="16">
        <f t="shared" si="77"/>
        <v>42.200000000000017</v>
      </c>
      <c r="K99" s="14">
        <v>0</v>
      </c>
      <c r="L99" s="15">
        <v>0</v>
      </c>
      <c r="M99" s="16">
        <f t="shared" si="75"/>
        <v>833.33</v>
      </c>
      <c r="O99" s="33">
        <f t="shared" si="78"/>
        <v>0.5</v>
      </c>
      <c r="P99" s="34">
        <v>0</v>
      </c>
      <c r="Q99" s="16">
        <f t="shared" si="79"/>
        <v>2</v>
      </c>
      <c r="S99" s="33">
        <v>0</v>
      </c>
      <c r="T99" s="34">
        <v>0</v>
      </c>
      <c r="U99" s="16">
        <f t="shared" si="80"/>
        <v>309.40000000000015</v>
      </c>
      <c r="W99" s="14">
        <f t="shared" ref="W99:W162" si="99">ROUND(M98*$W$5*B99,2)</f>
        <v>4.17</v>
      </c>
      <c r="X99" s="15">
        <v>0</v>
      </c>
      <c r="Y99" s="16">
        <f t="shared" si="81"/>
        <v>12.51</v>
      </c>
      <c r="Z99" s="70"/>
      <c r="AA99" s="14">
        <f t="shared" si="67"/>
        <v>1.64</v>
      </c>
      <c r="AB99" s="15">
        <v>0</v>
      </c>
      <c r="AC99" s="16">
        <f t="shared" si="68"/>
        <v>52.480000000000011</v>
      </c>
      <c r="AD99" s="70"/>
      <c r="AF99" s="19">
        <v>51</v>
      </c>
      <c r="AG99" s="30">
        <f t="shared" si="69"/>
        <v>46093</v>
      </c>
      <c r="AH99" s="31">
        <f t="shared" si="70"/>
        <v>17500.009999999998</v>
      </c>
      <c r="AI99" s="31">
        <f t="shared" si="71"/>
        <v>0</v>
      </c>
      <c r="AJ99" s="34">
        <f t="shared" si="72"/>
        <v>0</v>
      </c>
      <c r="AK99" s="31">
        <f t="shared" si="73"/>
        <v>0</v>
      </c>
      <c r="AL99" s="32">
        <f t="shared" si="82"/>
        <v>0</v>
      </c>
    </row>
    <row r="100" spans="1:44" ht="15.75" customHeight="1" outlineLevel="1" x14ac:dyDescent="0.45">
      <c r="A100" s="27">
        <v>46094</v>
      </c>
      <c r="B100" s="28">
        <f t="shared" si="76"/>
        <v>1</v>
      </c>
      <c r="C100" s="14">
        <v>0</v>
      </c>
      <c r="D100" s="15">
        <v>0</v>
      </c>
      <c r="E100" s="16">
        <f t="shared" si="74"/>
        <v>17500.009999999998</v>
      </c>
      <c r="F100" s="2"/>
      <c r="G100" s="33">
        <f t="shared" si="83"/>
        <v>10.55</v>
      </c>
      <c r="H100" s="34">
        <v>0</v>
      </c>
      <c r="I100" s="16">
        <f t="shared" si="77"/>
        <v>52.750000000000014</v>
      </c>
      <c r="K100" s="14">
        <v>0</v>
      </c>
      <c r="L100" s="15">
        <v>0</v>
      </c>
      <c r="M100" s="16">
        <f t="shared" si="75"/>
        <v>833.33</v>
      </c>
      <c r="O100" s="33">
        <f t="shared" si="78"/>
        <v>0.5</v>
      </c>
      <c r="P100" s="34">
        <v>0</v>
      </c>
      <c r="Q100" s="16">
        <f t="shared" si="79"/>
        <v>2.5</v>
      </c>
      <c r="S100" s="33">
        <v>0</v>
      </c>
      <c r="T100" s="34">
        <v>0</v>
      </c>
      <c r="U100" s="16">
        <f t="shared" si="80"/>
        <v>309.40000000000015</v>
      </c>
      <c r="W100" s="14">
        <f t="shared" si="99"/>
        <v>4.17</v>
      </c>
      <c r="X100" s="15">
        <v>0</v>
      </c>
      <c r="Y100" s="16">
        <f t="shared" si="81"/>
        <v>16.68</v>
      </c>
      <c r="Z100" s="70"/>
      <c r="AA100" s="14">
        <f t="shared" si="67"/>
        <v>1.64</v>
      </c>
      <c r="AB100" s="15">
        <v>0</v>
      </c>
      <c r="AC100" s="16">
        <f t="shared" si="68"/>
        <v>54.120000000000012</v>
      </c>
      <c r="AD100" s="70"/>
      <c r="AF100" s="19">
        <v>52</v>
      </c>
      <c r="AG100" s="30">
        <f t="shared" si="69"/>
        <v>46094</v>
      </c>
      <c r="AH100" s="31">
        <f t="shared" si="70"/>
        <v>17500.009999999998</v>
      </c>
      <c r="AI100" s="31">
        <f t="shared" ref="AI100:AI104" si="100">D100</f>
        <v>0</v>
      </c>
      <c r="AJ100" s="34">
        <f t="shared" ref="AJ100:AJ104" si="101">H100</f>
        <v>0</v>
      </c>
      <c r="AK100" s="31">
        <f t="shared" ref="AK100:AK104" si="102">AB100</f>
        <v>0</v>
      </c>
      <c r="AL100" s="32">
        <f t="shared" ref="AL100:AL104" si="103">AI100+AJ100+AK100</f>
        <v>0</v>
      </c>
    </row>
    <row r="101" spans="1:44" ht="15.75" customHeight="1" outlineLevel="1" x14ac:dyDescent="0.45">
      <c r="A101" s="97">
        <v>46095</v>
      </c>
      <c r="B101" s="98">
        <f t="shared" si="76"/>
        <v>1</v>
      </c>
      <c r="C101" s="99">
        <v>0</v>
      </c>
      <c r="D101" s="100">
        <v>0</v>
      </c>
      <c r="E101" s="101">
        <f t="shared" si="74"/>
        <v>17500.009999999998</v>
      </c>
      <c r="F101" s="2"/>
      <c r="G101" s="99">
        <f t="shared" si="83"/>
        <v>10.55</v>
      </c>
      <c r="H101" s="100">
        <v>0</v>
      </c>
      <c r="I101" s="101">
        <f t="shared" si="77"/>
        <v>63.300000000000011</v>
      </c>
      <c r="K101" s="99">
        <v>0</v>
      </c>
      <c r="L101" s="100">
        <v>833.33</v>
      </c>
      <c r="M101" s="101">
        <f t="shared" si="75"/>
        <v>0</v>
      </c>
      <c r="O101" s="99">
        <f t="shared" si="78"/>
        <v>0</v>
      </c>
      <c r="P101" s="100">
        <v>2.5</v>
      </c>
      <c r="Q101" s="101">
        <f t="shared" si="79"/>
        <v>0</v>
      </c>
      <c r="S101" s="99">
        <v>0</v>
      </c>
      <c r="T101" s="100">
        <v>309.39999999999998</v>
      </c>
      <c r="U101" s="101">
        <f t="shared" si="80"/>
        <v>0</v>
      </c>
      <c r="W101" s="99">
        <f t="shared" si="99"/>
        <v>4.17</v>
      </c>
      <c r="X101" s="105">
        <f>Y100+W101</f>
        <v>20.85</v>
      </c>
      <c r="Y101" s="101">
        <f t="shared" si="81"/>
        <v>0</v>
      </c>
      <c r="Z101" s="70"/>
      <c r="AA101" s="99">
        <f t="shared" si="67"/>
        <v>1.64</v>
      </c>
      <c r="AB101" s="100">
        <v>45.92</v>
      </c>
      <c r="AC101" s="101">
        <f t="shared" si="68"/>
        <v>9.8400000000000105</v>
      </c>
      <c r="AD101" s="70"/>
      <c r="AF101" s="102">
        <v>53</v>
      </c>
      <c r="AG101" s="103">
        <f t="shared" si="69"/>
        <v>46095</v>
      </c>
      <c r="AH101" s="104">
        <f t="shared" si="70"/>
        <v>17500.009999999998</v>
      </c>
      <c r="AI101" s="106">
        <f t="shared" si="100"/>
        <v>0</v>
      </c>
      <c r="AJ101" s="107">
        <f t="shared" si="101"/>
        <v>0</v>
      </c>
      <c r="AK101" s="106">
        <f t="shared" si="102"/>
        <v>45.92</v>
      </c>
      <c r="AL101" s="108">
        <f t="shared" si="103"/>
        <v>45.92</v>
      </c>
      <c r="AM101" s="109">
        <f>L101+P101+T101+X101+AB101</f>
        <v>1212</v>
      </c>
    </row>
    <row r="102" spans="1:44" ht="15.75" customHeight="1" outlineLevel="1" x14ac:dyDescent="0.45">
      <c r="A102" s="27">
        <v>46096</v>
      </c>
      <c r="B102" s="28">
        <f t="shared" si="76"/>
        <v>1</v>
      </c>
      <c r="C102" s="14">
        <v>0</v>
      </c>
      <c r="D102" s="15">
        <v>0</v>
      </c>
      <c r="E102" s="16">
        <f t="shared" si="74"/>
        <v>17500.009999999998</v>
      </c>
      <c r="F102" s="2"/>
      <c r="G102" s="33">
        <f t="shared" si="83"/>
        <v>10.55</v>
      </c>
      <c r="H102" s="34">
        <v>0</v>
      </c>
      <c r="I102" s="16">
        <f t="shared" si="77"/>
        <v>73.850000000000009</v>
      </c>
      <c r="K102" s="14">
        <v>0</v>
      </c>
      <c r="L102" s="15">
        <v>0</v>
      </c>
      <c r="M102" s="16">
        <f t="shared" si="75"/>
        <v>0</v>
      </c>
      <c r="O102" s="33">
        <f t="shared" si="78"/>
        <v>0</v>
      </c>
      <c r="P102" s="34">
        <v>0</v>
      </c>
      <c r="Q102" s="16">
        <f t="shared" si="79"/>
        <v>0</v>
      </c>
      <c r="S102" s="33">
        <v>0</v>
      </c>
      <c r="T102" s="34">
        <v>0</v>
      </c>
      <c r="U102" s="16">
        <f t="shared" si="80"/>
        <v>0</v>
      </c>
      <c r="W102" s="14">
        <f t="shared" si="99"/>
        <v>0</v>
      </c>
      <c r="X102" s="15">
        <v>0</v>
      </c>
      <c r="Y102" s="16">
        <f t="shared" si="81"/>
        <v>0</v>
      </c>
      <c r="Z102" s="70"/>
      <c r="AA102" s="14">
        <f t="shared" si="67"/>
        <v>1.64</v>
      </c>
      <c r="AB102" s="15">
        <v>0</v>
      </c>
      <c r="AC102" s="16">
        <f t="shared" si="68"/>
        <v>11.480000000000011</v>
      </c>
      <c r="AD102" s="70"/>
      <c r="AF102" s="19">
        <v>54</v>
      </c>
      <c r="AG102" s="30">
        <f t="shared" si="69"/>
        <v>46096</v>
      </c>
      <c r="AH102" s="31">
        <f t="shared" si="70"/>
        <v>17500.009999999998</v>
      </c>
      <c r="AI102" s="31">
        <f t="shared" si="100"/>
        <v>0</v>
      </c>
      <c r="AJ102" s="34">
        <f t="shared" si="101"/>
        <v>0</v>
      </c>
      <c r="AK102" s="31">
        <f t="shared" si="102"/>
        <v>0</v>
      </c>
      <c r="AL102" s="32">
        <f t="shared" si="103"/>
        <v>0</v>
      </c>
    </row>
    <row r="103" spans="1:44" ht="15.75" customHeight="1" outlineLevel="1" x14ac:dyDescent="0.45">
      <c r="A103" s="27">
        <v>46097</v>
      </c>
      <c r="B103" s="28">
        <f t="shared" si="76"/>
        <v>1</v>
      </c>
      <c r="C103" s="14">
        <v>0</v>
      </c>
      <c r="D103" s="15">
        <v>0</v>
      </c>
      <c r="E103" s="16">
        <f t="shared" si="74"/>
        <v>17500.009999999998</v>
      </c>
      <c r="F103" s="2"/>
      <c r="G103" s="33">
        <f t="shared" si="83"/>
        <v>10.55</v>
      </c>
      <c r="H103" s="34">
        <v>0</v>
      </c>
      <c r="I103" s="16">
        <f t="shared" si="77"/>
        <v>84.4</v>
      </c>
      <c r="K103" s="14">
        <v>0</v>
      </c>
      <c r="L103" s="15">
        <v>0</v>
      </c>
      <c r="M103" s="16">
        <f t="shared" si="75"/>
        <v>0</v>
      </c>
      <c r="O103" s="33">
        <f t="shared" si="78"/>
        <v>0</v>
      </c>
      <c r="P103" s="34">
        <v>0</v>
      </c>
      <c r="Q103" s="16">
        <f t="shared" si="79"/>
        <v>0</v>
      </c>
      <c r="S103" s="33">
        <v>0</v>
      </c>
      <c r="T103" s="34">
        <v>0</v>
      </c>
      <c r="U103" s="16">
        <f t="shared" si="80"/>
        <v>0</v>
      </c>
      <c r="W103" s="14">
        <f t="shared" si="99"/>
        <v>0</v>
      </c>
      <c r="X103" s="15">
        <v>0</v>
      </c>
      <c r="Y103" s="16">
        <f t="shared" si="81"/>
        <v>0</v>
      </c>
      <c r="Z103" s="70"/>
      <c r="AA103" s="14">
        <f t="shared" si="67"/>
        <v>1.64</v>
      </c>
      <c r="AB103" s="15">
        <v>0</v>
      </c>
      <c r="AC103" s="16">
        <f t="shared" si="68"/>
        <v>13.120000000000012</v>
      </c>
      <c r="AD103" s="70"/>
      <c r="AF103" s="19">
        <v>55</v>
      </c>
      <c r="AG103" s="30">
        <f t="shared" si="69"/>
        <v>46097</v>
      </c>
      <c r="AH103" s="31">
        <f t="shared" si="70"/>
        <v>17500.009999999998</v>
      </c>
      <c r="AI103" s="31">
        <f t="shared" si="100"/>
        <v>0</v>
      </c>
      <c r="AJ103" s="34">
        <f t="shared" si="101"/>
        <v>0</v>
      </c>
      <c r="AK103" s="31">
        <f t="shared" si="102"/>
        <v>0</v>
      </c>
      <c r="AL103" s="32">
        <f t="shared" si="103"/>
        <v>0</v>
      </c>
    </row>
    <row r="104" spans="1:44" ht="15.75" customHeight="1" outlineLevel="1" x14ac:dyDescent="0.45">
      <c r="A104" s="27">
        <v>46098</v>
      </c>
      <c r="B104" s="28">
        <f t="shared" si="76"/>
        <v>1</v>
      </c>
      <c r="C104" s="14">
        <v>0</v>
      </c>
      <c r="D104" s="15">
        <v>0</v>
      </c>
      <c r="E104" s="16">
        <f t="shared" si="74"/>
        <v>17500.009999999998</v>
      </c>
      <c r="F104" s="2"/>
      <c r="G104" s="33">
        <f t="shared" si="83"/>
        <v>10.55</v>
      </c>
      <c r="H104" s="34">
        <v>0</v>
      </c>
      <c r="I104" s="16">
        <f t="shared" si="77"/>
        <v>94.95</v>
      </c>
      <c r="K104" s="14">
        <v>0</v>
      </c>
      <c r="L104" s="15">
        <v>0</v>
      </c>
      <c r="M104" s="16">
        <f t="shared" si="75"/>
        <v>0</v>
      </c>
      <c r="O104" s="33">
        <f t="shared" si="78"/>
        <v>0</v>
      </c>
      <c r="P104" s="34">
        <v>0</v>
      </c>
      <c r="Q104" s="16">
        <f t="shared" si="79"/>
        <v>0</v>
      </c>
      <c r="S104" s="33">
        <v>0</v>
      </c>
      <c r="T104" s="34">
        <v>0</v>
      </c>
      <c r="U104" s="16">
        <f t="shared" si="80"/>
        <v>0</v>
      </c>
      <c r="W104" s="14">
        <f t="shared" si="99"/>
        <v>0</v>
      </c>
      <c r="X104" s="15">
        <v>0</v>
      </c>
      <c r="Y104" s="16">
        <f t="shared" si="81"/>
        <v>0</v>
      </c>
      <c r="Z104" s="70"/>
      <c r="AA104" s="14">
        <f t="shared" si="67"/>
        <v>1.64</v>
      </c>
      <c r="AB104" s="15">
        <v>0</v>
      </c>
      <c r="AC104" s="16">
        <f t="shared" si="68"/>
        <v>14.760000000000012</v>
      </c>
      <c r="AD104" s="70"/>
      <c r="AF104" s="19">
        <v>56</v>
      </c>
      <c r="AG104" s="30">
        <f t="shared" si="69"/>
        <v>46098</v>
      </c>
      <c r="AH104" s="31">
        <f t="shared" si="70"/>
        <v>17500.009999999998</v>
      </c>
      <c r="AI104" s="31">
        <f t="shared" si="100"/>
        <v>0</v>
      </c>
      <c r="AJ104" s="34">
        <f t="shared" si="101"/>
        <v>0</v>
      </c>
      <c r="AK104" s="31">
        <f t="shared" si="102"/>
        <v>0</v>
      </c>
      <c r="AL104" s="32">
        <f t="shared" si="103"/>
        <v>0</v>
      </c>
    </row>
    <row r="105" spans="1:44" ht="15.75" customHeight="1" outlineLevel="1" x14ac:dyDescent="0.45">
      <c r="A105" s="27">
        <v>46099</v>
      </c>
      <c r="B105" s="28">
        <f t="shared" si="76"/>
        <v>1</v>
      </c>
      <c r="C105" s="14">
        <v>0</v>
      </c>
      <c r="D105" s="15">
        <v>0</v>
      </c>
      <c r="E105" s="16">
        <f t="shared" si="74"/>
        <v>17500.009999999998</v>
      </c>
      <c r="F105" s="2"/>
      <c r="G105" s="33">
        <f t="shared" si="83"/>
        <v>10.55</v>
      </c>
      <c r="H105" s="34">
        <v>0</v>
      </c>
      <c r="I105" s="16">
        <f t="shared" si="77"/>
        <v>105.5</v>
      </c>
      <c r="K105" s="14">
        <v>0</v>
      </c>
      <c r="L105" s="15">
        <v>0</v>
      </c>
      <c r="M105" s="16">
        <f t="shared" si="75"/>
        <v>0</v>
      </c>
      <c r="O105" s="33">
        <f t="shared" si="78"/>
        <v>0</v>
      </c>
      <c r="P105" s="34">
        <v>0</v>
      </c>
      <c r="Q105" s="16">
        <f t="shared" si="79"/>
        <v>0</v>
      </c>
      <c r="S105" s="33">
        <v>0</v>
      </c>
      <c r="T105" s="34">
        <v>0</v>
      </c>
      <c r="U105" s="16">
        <f t="shared" si="80"/>
        <v>0</v>
      </c>
      <c r="W105" s="14">
        <f t="shared" si="99"/>
        <v>0</v>
      </c>
      <c r="X105" s="15">
        <v>0</v>
      </c>
      <c r="Y105" s="16">
        <f t="shared" si="81"/>
        <v>0</v>
      </c>
      <c r="Z105" s="70"/>
      <c r="AA105" s="14">
        <f t="shared" si="67"/>
        <v>1.64</v>
      </c>
      <c r="AB105" s="15">
        <v>0</v>
      </c>
      <c r="AC105" s="16">
        <f t="shared" si="68"/>
        <v>16.400000000000013</v>
      </c>
      <c r="AD105" s="70"/>
      <c r="AF105" s="19">
        <v>57</v>
      </c>
      <c r="AG105" s="30">
        <f t="shared" si="69"/>
        <v>46099</v>
      </c>
      <c r="AH105" s="31">
        <f t="shared" si="70"/>
        <v>17500.009999999998</v>
      </c>
      <c r="AI105" s="31">
        <f t="shared" si="71"/>
        <v>0</v>
      </c>
      <c r="AJ105" s="34">
        <f t="shared" si="72"/>
        <v>0</v>
      </c>
      <c r="AK105" s="31">
        <f t="shared" si="73"/>
        <v>0</v>
      </c>
      <c r="AL105" s="32">
        <f t="shared" si="82"/>
        <v>0</v>
      </c>
    </row>
    <row r="106" spans="1:44" outlineLevel="1" x14ac:dyDescent="0.45">
      <c r="A106" s="27">
        <v>46100</v>
      </c>
      <c r="B106" s="28">
        <f t="shared" si="76"/>
        <v>1</v>
      </c>
      <c r="C106" s="14">
        <v>0</v>
      </c>
      <c r="D106" s="15">
        <v>0</v>
      </c>
      <c r="E106" s="16">
        <f t="shared" si="74"/>
        <v>17500.009999999998</v>
      </c>
      <c r="F106" s="2"/>
      <c r="G106" s="33">
        <f t="shared" si="83"/>
        <v>10.55</v>
      </c>
      <c r="H106" s="34">
        <v>0</v>
      </c>
      <c r="I106" s="16">
        <f t="shared" si="77"/>
        <v>116.05</v>
      </c>
      <c r="K106" s="14">
        <v>0</v>
      </c>
      <c r="L106" s="15">
        <v>0</v>
      </c>
      <c r="M106" s="16">
        <f t="shared" si="75"/>
        <v>0</v>
      </c>
      <c r="O106" s="33">
        <f t="shared" si="78"/>
        <v>0</v>
      </c>
      <c r="P106" s="34">
        <v>0</v>
      </c>
      <c r="Q106" s="16">
        <f t="shared" si="79"/>
        <v>0</v>
      </c>
      <c r="S106" s="33">
        <v>0</v>
      </c>
      <c r="T106" s="34">
        <v>0</v>
      </c>
      <c r="U106" s="16">
        <f t="shared" si="80"/>
        <v>0</v>
      </c>
      <c r="W106" s="14">
        <f t="shared" si="99"/>
        <v>0</v>
      </c>
      <c r="X106" s="15">
        <v>0</v>
      </c>
      <c r="Y106" s="16">
        <f t="shared" si="81"/>
        <v>0</v>
      </c>
      <c r="Z106" s="70"/>
      <c r="AA106" s="14">
        <f t="shared" si="67"/>
        <v>1.64</v>
      </c>
      <c r="AB106" s="15">
        <v>0</v>
      </c>
      <c r="AC106" s="16">
        <f t="shared" si="68"/>
        <v>18.040000000000013</v>
      </c>
      <c r="AD106" s="70"/>
      <c r="AF106" s="19">
        <v>58</v>
      </c>
      <c r="AG106" s="30">
        <f t="shared" si="69"/>
        <v>46100</v>
      </c>
      <c r="AH106" s="31">
        <f t="shared" si="70"/>
        <v>17500.009999999998</v>
      </c>
      <c r="AI106" s="31">
        <f t="shared" si="71"/>
        <v>0</v>
      </c>
      <c r="AJ106" s="34">
        <f t="shared" si="72"/>
        <v>0</v>
      </c>
      <c r="AK106" s="31">
        <f t="shared" si="73"/>
        <v>0</v>
      </c>
      <c r="AL106" s="32">
        <f t="shared" si="82"/>
        <v>0</v>
      </c>
    </row>
    <row r="107" spans="1:44" outlineLevel="1" x14ac:dyDescent="0.45">
      <c r="A107" s="27">
        <v>46101</v>
      </c>
      <c r="B107" s="28">
        <f t="shared" si="76"/>
        <v>1</v>
      </c>
      <c r="C107" s="14">
        <v>0</v>
      </c>
      <c r="D107" s="15">
        <v>0</v>
      </c>
      <c r="E107" s="16">
        <f t="shared" si="74"/>
        <v>17500.009999999998</v>
      </c>
      <c r="F107" s="2"/>
      <c r="G107" s="33">
        <f t="shared" si="83"/>
        <v>10.55</v>
      </c>
      <c r="H107" s="34">
        <v>0</v>
      </c>
      <c r="I107" s="16">
        <f t="shared" si="77"/>
        <v>126.6</v>
      </c>
      <c r="K107" s="14">
        <v>0</v>
      </c>
      <c r="L107" s="15">
        <v>0</v>
      </c>
      <c r="M107" s="16">
        <f t="shared" si="75"/>
        <v>0</v>
      </c>
      <c r="O107" s="33">
        <f t="shared" si="78"/>
        <v>0</v>
      </c>
      <c r="P107" s="34">
        <v>0</v>
      </c>
      <c r="Q107" s="16">
        <f t="shared" si="79"/>
        <v>0</v>
      </c>
      <c r="S107" s="33">
        <v>0</v>
      </c>
      <c r="T107" s="34">
        <v>0</v>
      </c>
      <c r="U107" s="16">
        <f t="shared" si="80"/>
        <v>0</v>
      </c>
      <c r="W107" s="14">
        <f t="shared" si="99"/>
        <v>0</v>
      </c>
      <c r="X107" s="15">
        <v>0</v>
      </c>
      <c r="Y107" s="16">
        <f t="shared" si="81"/>
        <v>0</v>
      </c>
      <c r="Z107" s="70"/>
      <c r="AA107" s="14">
        <f t="shared" si="67"/>
        <v>1.64</v>
      </c>
      <c r="AB107" s="15">
        <v>0</v>
      </c>
      <c r="AC107" s="16">
        <f t="shared" si="68"/>
        <v>19.680000000000014</v>
      </c>
      <c r="AD107" s="70"/>
      <c r="AF107" s="19">
        <v>59</v>
      </c>
      <c r="AG107" s="30">
        <f t="shared" si="69"/>
        <v>46101</v>
      </c>
      <c r="AH107" s="31">
        <f t="shared" si="70"/>
        <v>17500.009999999998</v>
      </c>
      <c r="AI107" s="31">
        <f t="shared" si="71"/>
        <v>0</v>
      </c>
      <c r="AJ107" s="34">
        <f t="shared" si="72"/>
        <v>0</v>
      </c>
      <c r="AK107" s="31">
        <f t="shared" si="73"/>
        <v>0</v>
      </c>
      <c r="AL107" s="32">
        <f t="shared" si="82"/>
        <v>0</v>
      </c>
    </row>
    <row r="108" spans="1:44" outlineLevel="1" x14ac:dyDescent="0.45">
      <c r="A108" s="27">
        <v>46102</v>
      </c>
      <c r="B108" s="28">
        <f t="shared" si="76"/>
        <v>1</v>
      </c>
      <c r="C108" s="14">
        <v>0</v>
      </c>
      <c r="D108" s="15">
        <v>0</v>
      </c>
      <c r="E108" s="16">
        <f t="shared" si="74"/>
        <v>17500.009999999998</v>
      </c>
      <c r="F108" s="2"/>
      <c r="G108" s="33">
        <f t="shared" si="83"/>
        <v>10.55</v>
      </c>
      <c r="H108" s="34">
        <v>0</v>
      </c>
      <c r="I108" s="16">
        <f t="shared" si="77"/>
        <v>137.15</v>
      </c>
      <c r="K108" s="14">
        <v>0</v>
      </c>
      <c r="L108" s="15">
        <v>0</v>
      </c>
      <c r="M108" s="16">
        <f t="shared" si="75"/>
        <v>0</v>
      </c>
      <c r="O108" s="33">
        <f t="shared" si="78"/>
        <v>0</v>
      </c>
      <c r="P108" s="34">
        <v>0</v>
      </c>
      <c r="Q108" s="16">
        <f t="shared" si="79"/>
        <v>0</v>
      </c>
      <c r="S108" s="33">
        <v>0</v>
      </c>
      <c r="T108" s="34">
        <v>0</v>
      </c>
      <c r="U108" s="16">
        <f t="shared" si="80"/>
        <v>0</v>
      </c>
      <c r="W108" s="14">
        <f t="shared" si="99"/>
        <v>0</v>
      </c>
      <c r="X108" s="15">
        <v>0</v>
      </c>
      <c r="Y108" s="16">
        <f t="shared" si="81"/>
        <v>0</v>
      </c>
      <c r="Z108" s="70"/>
      <c r="AA108" s="14">
        <f t="shared" si="67"/>
        <v>1.64</v>
      </c>
      <c r="AB108" s="15">
        <v>0</v>
      </c>
      <c r="AC108" s="16">
        <f t="shared" si="68"/>
        <v>21.320000000000014</v>
      </c>
      <c r="AD108" s="70"/>
      <c r="AF108" s="19">
        <v>60</v>
      </c>
      <c r="AG108" s="30">
        <f t="shared" si="69"/>
        <v>46102</v>
      </c>
      <c r="AH108" s="31">
        <f t="shared" si="70"/>
        <v>17500.009999999998</v>
      </c>
      <c r="AI108" s="31">
        <f t="shared" si="71"/>
        <v>0</v>
      </c>
      <c r="AJ108" s="34">
        <f t="shared" si="72"/>
        <v>0</v>
      </c>
      <c r="AK108" s="31">
        <f t="shared" si="73"/>
        <v>0</v>
      </c>
      <c r="AL108" s="32">
        <f t="shared" si="82"/>
        <v>0</v>
      </c>
    </row>
    <row r="109" spans="1:44" outlineLevel="1" x14ac:dyDescent="0.45">
      <c r="A109" s="27">
        <v>46103</v>
      </c>
      <c r="B109" s="28">
        <f t="shared" si="76"/>
        <v>1</v>
      </c>
      <c r="C109" s="14">
        <v>0</v>
      </c>
      <c r="D109" s="15">
        <v>0</v>
      </c>
      <c r="E109" s="16">
        <f t="shared" si="74"/>
        <v>17500.009999999998</v>
      </c>
      <c r="F109" s="2"/>
      <c r="G109" s="33">
        <f t="shared" si="83"/>
        <v>10.55</v>
      </c>
      <c r="H109" s="34">
        <v>0</v>
      </c>
      <c r="I109" s="16">
        <f t="shared" si="77"/>
        <v>147.70000000000002</v>
      </c>
      <c r="K109" s="14">
        <v>0</v>
      </c>
      <c r="L109" s="15">
        <v>0</v>
      </c>
      <c r="M109" s="16">
        <f t="shared" si="75"/>
        <v>0</v>
      </c>
      <c r="O109" s="33">
        <f t="shared" si="78"/>
        <v>0</v>
      </c>
      <c r="P109" s="34">
        <v>0</v>
      </c>
      <c r="Q109" s="16">
        <f t="shared" si="79"/>
        <v>0</v>
      </c>
      <c r="S109" s="33">
        <v>0</v>
      </c>
      <c r="T109" s="34">
        <v>0</v>
      </c>
      <c r="U109" s="16">
        <f t="shared" si="80"/>
        <v>0</v>
      </c>
      <c r="W109" s="14">
        <f t="shared" si="99"/>
        <v>0</v>
      </c>
      <c r="X109" s="15">
        <v>0</v>
      </c>
      <c r="Y109" s="16">
        <f t="shared" si="81"/>
        <v>0</v>
      </c>
      <c r="Z109" s="70"/>
      <c r="AA109" s="14">
        <f t="shared" si="67"/>
        <v>1.64</v>
      </c>
      <c r="AB109" s="15">
        <v>0</v>
      </c>
      <c r="AC109" s="16">
        <f t="shared" si="68"/>
        <v>22.960000000000015</v>
      </c>
      <c r="AD109" s="70"/>
      <c r="AF109" s="19">
        <v>61</v>
      </c>
      <c r="AG109" s="30">
        <f t="shared" si="69"/>
        <v>46103</v>
      </c>
      <c r="AH109" s="31">
        <f t="shared" si="70"/>
        <v>17500.009999999998</v>
      </c>
      <c r="AI109" s="31">
        <f t="shared" si="71"/>
        <v>0</v>
      </c>
      <c r="AJ109" s="34">
        <f t="shared" si="72"/>
        <v>0</v>
      </c>
      <c r="AK109" s="31">
        <f t="shared" si="73"/>
        <v>0</v>
      </c>
      <c r="AL109" s="32">
        <f t="shared" si="82"/>
        <v>0</v>
      </c>
    </row>
    <row r="110" spans="1:44" outlineLevel="1" x14ac:dyDescent="0.45">
      <c r="A110" s="27">
        <v>46104</v>
      </c>
      <c r="B110" s="28">
        <f t="shared" si="76"/>
        <v>1</v>
      </c>
      <c r="C110" s="14">
        <v>0</v>
      </c>
      <c r="D110" s="15">
        <v>0</v>
      </c>
      <c r="E110" s="16">
        <f t="shared" si="74"/>
        <v>17500.009999999998</v>
      </c>
      <c r="F110" s="2"/>
      <c r="G110" s="33">
        <f t="shared" si="83"/>
        <v>10.55</v>
      </c>
      <c r="H110" s="34">
        <v>0</v>
      </c>
      <c r="I110" s="16">
        <f t="shared" si="77"/>
        <v>158.25000000000003</v>
      </c>
      <c r="K110" s="14">
        <v>0</v>
      </c>
      <c r="L110" s="15">
        <v>0</v>
      </c>
      <c r="M110" s="16">
        <f t="shared" si="75"/>
        <v>0</v>
      </c>
      <c r="O110" s="33">
        <f t="shared" si="78"/>
        <v>0</v>
      </c>
      <c r="P110" s="34">
        <v>0</v>
      </c>
      <c r="Q110" s="16">
        <f t="shared" si="79"/>
        <v>0</v>
      </c>
      <c r="S110" s="33">
        <v>0</v>
      </c>
      <c r="T110" s="34">
        <v>0</v>
      </c>
      <c r="U110" s="16">
        <f t="shared" si="80"/>
        <v>0</v>
      </c>
      <c r="W110" s="14">
        <f t="shared" si="99"/>
        <v>0</v>
      </c>
      <c r="X110" s="15">
        <v>0</v>
      </c>
      <c r="Y110" s="16">
        <f t="shared" si="81"/>
        <v>0</v>
      </c>
      <c r="Z110" s="70"/>
      <c r="AA110" s="14">
        <f t="shared" si="67"/>
        <v>1.64</v>
      </c>
      <c r="AB110" s="15">
        <v>0</v>
      </c>
      <c r="AC110" s="16">
        <f t="shared" si="68"/>
        <v>24.600000000000016</v>
      </c>
      <c r="AD110" s="70"/>
      <c r="AF110" s="19">
        <v>62</v>
      </c>
      <c r="AG110" s="30">
        <f t="shared" si="69"/>
        <v>46104</v>
      </c>
      <c r="AH110" s="31">
        <f t="shared" si="70"/>
        <v>17500.009999999998</v>
      </c>
      <c r="AI110" s="31">
        <f t="shared" si="71"/>
        <v>0</v>
      </c>
      <c r="AJ110" s="34">
        <f t="shared" si="72"/>
        <v>0</v>
      </c>
      <c r="AK110" s="31">
        <f t="shared" si="73"/>
        <v>0</v>
      </c>
      <c r="AL110" s="32">
        <f t="shared" si="82"/>
        <v>0</v>
      </c>
    </row>
    <row r="111" spans="1:44" outlineLevel="1" x14ac:dyDescent="0.45">
      <c r="A111" s="27">
        <v>46105</v>
      </c>
      <c r="B111" s="28">
        <f t="shared" si="76"/>
        <v>1</v>
      </c>
      <c r="C111" s="14">
        <v>0</v>
      </c>
      <c r="D111" s="15">
        <v>0</v>
      </c>
      <c r="E111" s="16">
        <f t="shared" si="74"/>
        <v>17500.009999999998</v>
      </c>
      <c r="F111" s="2"/>
      <c r="G111" s="33">
        <f t="shared" si="83"/>
        <v>10.55</v>
      </c>
      <c r="H111" s="34">
        <v>0</v>
      </c>
      <c r="I111" s="16">
        <f t="shared" si="77"/>
        <v>168.80000000000004</v>
      </c>
      <c r="K111" s="14">
        <v>0</v>
      </c>
      <c r="L111" s="15">
        <v>0</v>
      </c>
      <c r="M111" s="16">
        <f t="shared" si="75"/>
        <v>0</v>
      </c>
      <c r="O111" s="33">
        <f t="shared" si="78"/>
        <v>0</v>
      </c>
      <c r="P111" s="34">
        <v>0</v>
      </c>
      <c r="Q111" s="16">
        <f t="shared" si="79"/>
        <v>0</v>
      </c>
      <c r="S111" s="33">
        <v>0</v>
      </c>
      <c r="T111" s="34">
        <v>0</v>
      </c>
      <c r="U111" s="16">
        <f t="shared" si="80"/>
        <v>0</v>
      </c>
      <c r="W111" s="14">
        <f t="shared" si="99"/>
        <v>0</v>
      </c>
      <c r="X111" s="15">
        <v>0</v>
      </c>
      <c r="Y111" s="16">
        <f t="shared" si="81"/>
        <v>0</v>
      </c>
      <c r="Z111" s="70"/>
      <c r="AA111" s="14">
        <f t="shared" si="67"/>
        <v>1.64</v>
      </c>
      <c r="AB111" s="15">
        <v>0</v>
      </c>
      <c r="AC111" s="16">
        <f t="shared" si="68"/>
        <v>26.240000000000016</v>
      </c>
      <c r="AD111" s="70"/>
      <c r="AF111" s="19">
        <v>63</v>
      </c>
      <c r="AG111" s="30">
        <f t="shared" si="69"/>
        <v>46105</v>
      </c>
      <c r="AH111" s="31">
        <f t="shared" si="70"/>
        <v>17500.009999999998</v>
      </c>
      <c r="AI111" s="31">
        <f t="shared" si="71"/>
        <v>0</v>
      </c>
      <c r="AJ111" s="34">
        <f t="shared" si="72"/>
        <v>0</v>
      </c>
      <c r="AK111" s="31">
        <f t="shared" si="73"/>
        <v>0</v>
      </c>
      <c r="AL111" s="32">
        <f t="shared" si="82"/>
        <v>0</v>
      </c>
    </row>
    <row r="112" spans="1:44" outlineLevel="1" x14ac:dyDescent="0.45">
      <c r="A112" s="27">
        <v>46106</v>
      </c>
      <c r="B112" s="28">
        <f t="shared" si="76"/>
        <v>1</v>
      </c>
      <c r="C112" s="14">
        <v>0</v>
      </c>
      <c r="D112" s="15">
        <v>0</v>
      </c>
      <c r="E112" s="16">
        <f t="shared" si="74"/>
        <v>17500.009999999998</v>
      </c>
      <c r="F112" s="2"/>
      <c r="G112" s="33">
        <f t="shared" si="83"/>
        <v>10.55</v>
      </c>
      <c r="H112" s="34">
        <v>0</v>
      </c>
      <c r="I112" s="16">
        <f t="shared" si="77"/>
        <v>179.35000000000005</v>
      </c>
      <c r="K112" s="14">
        <v>0</v>
      </c>
      <c r="L112" s="15">
        <v>0</v>
      </c>
      <c r="M112" s="16">
        <f t="shared" si="75"/>
        <v>0</v>
      </c>
      <c r="O112" s="33">
        <f t="shared" si="78"/>
        <v>0</v>
      </c>
      <c r="P112" s="34">
        <v>0</v>
      </c>
      <c r="Q112" s="16">
        <f t="shared" si="79"/>
        <v>0</v>
      </c>
      <c r="S112" s="33">
        <v>0</v>
      </c>
      <c r="T112" s="34">
        <v>0</v>
      </c>
      <c r="U112" s="16">
        <f t="shared" si="80"/>
        <v>0</v>
      </c>
      <c r="W112" s="14">
        <f t="shared" si="99"/>
        <v>0</v>
      </c>
      <c r="X112" s="15">
        <v>0</v>
      </c>
      <c r="Y112" s="16">
        <f t="shared" si="81"/>
        <v>0</v>
      </c>
      <c r="Z112" s="70"/>
      <c r="AA112" s="14">
        <f t="shared" si="67"/>
        <v>1.64</v>
      </c>
      <c r="AB112" s="15">
        <v>0</v>
      </c>
      <c r="AC112" s="16">
        <f t="shared" si="68"/>
        <v>27.880000000000017</v>
      </c>
      <c r="AD112" s="70"/>
      <c r="AF112" s="19">
        <v>64</v>
      </c>
      <c r="AG112" s="30">
        <f t="shared" si="69"/>
        <v>46106</v>
      </c>
      <c r="AH112" s="31">
        <f t="shared" si="70"/>
        <v>17500.009999999998</v>
      </c>
      <c r="AI112" s="31">
        <f t="shared" si="71"/>
        <v>0</v>
      </c>
      <c r="AJ112" s="34">
        <f t="shared" si="72"/>
        <v>0</v>
      </c>
      <c r="AK112" s="31">
        <f t="shared" si="73"/>
        <v>0</v>
      </c>
      <c r="AL112" s="32">
        <f t="shared" si="82"/>
        <v>0</v>
      </c>
    </row>
    <row r="113" spans="1:44" outlineLevel="1" x14ac:dyDescent="0.45">
      <c r="A113" s="27">
        <v>46107</v>
      </c>
      <c r="B113" s="28">
        <f t="shared" si="76"/>
        <v>1</v>
      </c>
      <c r="C113" s="14">
        <v>0</v>
      </c>
      <c r="D113" s="15">
        <v>0</v>
      </c>
      <c r="E113" s="16">
        <f t="shared" si="74"/>
        <v>17500.009999999998</v>
      </c>
      <c r="F113" s="2"/>
      <c r="G113" s="33">
        <f t="shared" si="83"/>
        <v>10.55</v>
      </c>
      <c r="H113" s="34">
        <v>0</v>
      </c>
      <c r="I113" s="16">
        <f t="shared" si="77"/>
        <v>189.90000000000006</v>
      </c>
      <c r="K113" s="14">
        <v>0</v>
      </c>
      <c r="L113" s="15">
        <v>0</v>
      </c>
      <c r="M113" s="16">
        <f t="shared" si="75"/>
        <v>0</v>
      </c>
      <c r="O113" s="33">
        <f t="shared" si="78"/>
        <v>0</v>
      </c>
      <c r="P113" s="34">
        <v>0</v>
      </c>
      <c r="Q113" s="16">
        <f t="shared" si="79"/>
        <v>0</v>
      </c>
      <c r="S113" s="33">
        <v>0</v>
      </c>
      <c r="T113" s="34">
        <v>0</v>
      </c>
      <c r="U113" s="16">
        <f t="shared" si="80"/>
        <v>0</v>
      </c>
      <c r="W113" s="14">
        <f t="shared" si="99"/>
        <v>0</v>
      </c>
      <c r="X113" s="15">
        <v>0</v>
      </c>
      <c r="Y113" s="16">
        <f t="shared" si="81"/>
        <v>0</v>
      </c>
      <c r="Z113" s="70"/>
      <c r="AA113" s="14">
        <f t="shared" si="67"/>
        <v>1.64</v>
      </c>
      <c r="AB113" s="15">
        <v>0</v>
      </c>
      <c r="AC113" s="16">
        <f t="shared" si="68"/>
        <v>29.520000000000017</v>
      </c>
      <c r="AD113" s="70"/>
      <c r="AF113" s="19">
        <v>65</v>
      </c>
      <c r="AG113" s="30">
        <f t="shared" si="69"/>
        <v>46107</v>
      </c>
      <c r="AH113" s="31">
        <f t="shared" si="70"/>
        <v>17500.009999999998</v>
      </c>
      <c r="AI113" s="31">
        <f t="shared" si="71"/>
        <v>0</v>
      </c>
      <c r="AJ113" s="34">
        <f t="shared" si="72"/>
        <v>0</v>
      </c>
      <c r="AK113" s="31">
        <f t="shared" si="73"/>
        <v>0</v>
      </c>
      <c r="AL113" s="32">
        <f t="shared" si="82"/>
        <v>0</v>
      </c>
    </row>
    <row r="114" spans="1:44" outlineLevel="1" x14ac:dyDescent="0.45">
      <c r="A114" s="27">
        <v>46108</v>
      </c>
      <c r="B114" s="28">
        <f t="shared" si="76"/>
        <v>1</v>
      </c>
      <c r="C114" s="14">
        <v>0</v>
      </c>
      <c r="D114" s="15">
        <v>0</v>
      </c>
      <c r="E114" s="16">
        <f t="shared" si="74"/>
        <v>17500.009999999998</v>
      </c>
      <c r="F114" s="2"/>
      <c r="G114" s="33">
        <f t="shared" si="83"/>
        <v>10.55</v>
      </c>
      <c r="H114" s="34">
        <v>0</v>
      </c>
      <c r="I114" s="16">
        <f t="shared" si="77"/>
        <v>200.45000000000007</v>
      </c>
      <c r="K114" s="14">
        <v>0</v>
      </c>
      <c r="L114" s="15">
        <v>0</v>
      </c>
      <c r="M114" s="16">
        <f t="shared" si="75"/>
        <v>0</v>
      </c>
      <c r="O114" s="33">
        <f t="shared" si="78"/>
        <v>0</v>
      </c>
      <c r="P114" s="34">
        <v>0</v>
      </c>
      <c r="Q114" s="16">
        <f t="shared" si="79"/>
        <v>0</v>
      </c>
      <c r="S114" s="33">
        <v>0</v>
      </c>
      <c r="T114" s="34">
        <v>0</v>
      </c>
      <c r="U114" s="16">
        <f t="shared" si="80"/>
        <v>0</v>
      </c>
      <c r="W114" s="14">
        <f t="shared" si="99"/>
        <v>0</v>
      </c>
      <c r="X114" s="15">
        <v>0</v>
      </c>
      <c r="Y114" s="16">
        <f t="shared" si="81"/>
        <v>0</v>
      </c>
      <c r="Z114" s="70"/>
      <c r="AA114" s="14">
        <f t="shared" si="67"/>
        <v>1.64</v>
      </c>
      <c r="AB114" s="15">
        <v>0</v>
      </c>
      <c r="AC114" s="16">
        <f t="shared" si="68"/>
        <v>31.160000000000018</v>
      </c>
      <c r="AD114" s="70"/>
      <c r="AF114" s="19">
        <v>66</v>
      </c>
      <c r="AG114" s="30">
        <f t="shared" si="69"/>
        <v>46108</v>
      </c>
      <c r="AH114" s="31">
        <f t="shared" si="70"/>
        <v>17500.009999999998</v>
      </c>
      <c r="AI114" s="31">
        <f t="shared" si="71"/>
        <v>0</v>
      </c>
      <c r="AJ114" s="34">
        <f t="shared" si="72"/>
        <v>0</v>
      </c>
      <c r="AK114" s="31">
        <f t="shared" si="73"/>
        <v>0</v>
      </c>
      <c r="AL114" s="32">
        <f t="shared" si="82"/>
        <v>0</v>
      </c>
    </row>
    <row r="115" spans="1:44" outlineLevel="1" x14ac:dyDescent="0.45">
      <c r="A115" s="27">
        <v>46109</v>
      </c>
      <c r="B115" s="28">
        <f t="shared" si="76"/>
        <v>1</v>
      </c>
      <c r="C115" s="14">
        <v>0</v>
      </c>
      <c r="D115" s="15">
        <v>0</v>
      </c>
      <c r="E115" s="16">
        <f t="shared" si="74"/>
        <v>17500.009999999998</v>
      </c>
      <c r="F115" s="2"/>
      <c r="G115" s="33">
        <f t="shared" si="83"/>
        <v>10.55</v>
      </c>
      <c r="H115" s="34">
        <v>0</v>
      </c>
      <c r="I115" s="16">
        <f t="shared" si="77"/>
        <v>211.00000000000009</v>
      </c>
      <c r="K115" s="14">
        <v>0</v>
      </c>
      <c r="L115" s="15">
        <v>0</v>
      </c>
      <c r="M115" s="16">
        <f t="shared" si="75"/>
        <v>0</v>
      </c>
      <c r="O115" s="33">
        <f t="shared" si="78"/>
        <v>0</v>
      </c>
      <c r="P115" s="34">
        <v>0</v>
      </c>
      <c r="Q115" s="16">
        <f t="shared" si="79"/>
        <v>0</v>
      </c>
      <c r="S115" s="33">
        <v>0</v>
      </c>
      <c r="T115" s="34">
        <v>0</v>
      </c>
      <c r="U115" s="16">
        <f t="shared" si="80"/>
        <v>0</v>
      </c>
      <c r="W115" s="14">
        <f t="shared" si="99"/>
        <v>0</v>
      </c>
      <c r="X115" s="15">
        <v>0</v>
      </c>
      <c r="Y115" s="16">
        <f t="shared" si="81"/>
        <v>0</v>
      </c>
      <c r="Z115" s="70"/>
      <c r="AA115" s="14">
        <f t="shared" si="67"/>
        <v>1.64</v>
      </c>
      <c r="AB115" s="15">
        <v>0</v>
      </c>
      <c r="AC115" s="16">
        <f t="shared" si="68"/>
        <v>32.800000000000018</v>
      </c>
      <c r="AD115" s="70"/>
      <c r="AF115" s="19">
        <v>67</v>
      </c>
      <c r="AG115" s="30">
        <f t="shared" si="69"/>
        <v>46109</v>
      </c>
      <c r="AH115" s="31">
        <f t="shared" si="70"/>
        <v>17500.009999999998</v>
      </c>
      <c r="AI115" s="31">
        <f t="shared" si="71"/>
        <v>0</v>
      </c>
      <c r="AJ115" s="34">
        <f t="shared" si="72"/>
        <v>0</v>
      </c>
      <c r="AK115" s="31">
        <f t="shared" si="73"/>
        <v>0</v>
      </c>
      <c r="AL115" s="32">
        <f t="shared" si="82"/>
        <v>0</v>
      </c>
    </row>
    <row r="116" spans="1:44" outlineLevel="1" x14ac:dyDescent="0.45">
      <c r="A116" s="27">
        <v>46110</v>
      </c>
      <c r="B116" s="28">
        <f t="shared" si="76"/>
        <v>1</v>
      </c>
      <c r="C116" s="14">
        <v>0</v>
      </c>
      <c r="D116" s="15">
        <v>0</v>
      </c>
      <c r="E116" s="16">
        <f t="shared" si="74"/>
        <v>17500.009999999998</v>
      </c>
      <c r="F116" s="2"/>
      <c r="G116" s="33">
        <f t="shared" si="83"/>
        <v>10.55</v>
      </c>
      <c r="H116" s="34">
        <v>0</v>
      </c>
      <c r="I116" s="16">
        <f t="shared" si="77"/>
        <v>221.5500000000001</v>
      </c>
      <c r="K116" s="14">
        <v>0</v>
      </c>
      <c r="L116" s="15">
        <v>0</v>
      </c>
      <c r="M116" s="16">
        <f t="shared" si="75"/>
        <v>0</v>
      </c>
      <c r="O116" s="33">
        <f t="shared" si="78"/>
        <v>0</v>
      </c>
      <c r="P116" s="34">
        <v>0</v>
      </c>
      <c r="Q116" s="16">
        <f t="shared" si="79"/>
        <v>0</v>
      </c>
      <c r="S116" s="33">
        <v>0</v>
      </c>
      <c r="T116" s="34">
        <v>0</v>
      </c>
      <c r="U116" s="16">
        <f t="shared" si="80"/>
        <v>0</v>
      </c>
      <c r="W116" s="14">
        <f t="shared" si="99"/>
        <v>0</v>
      </c>
      <c r="X116" s="15">
        <v>0</v>
      </c>
      <c r="Y116" s="16">
        <f t="shared" si="81"/>
        <v>0</v>
      </c>
      <c r="Z116" s="70"/>
      <c r="AA116" s="14">
        <f t="shared" si="67"/>
        <v>1.64</v>
      </c>
      <c r="AB116" s="15">
        <v>0</v>
      </c>
      <c r="AC116" s="16">
        <f t="shared" si="68"/>
        <v>34.440000000000019</v>
      </c>
      <c r="AD116" s="70"/>
      <c r="AF116" s="19">
        <v>68</v>
      </c>
      <c r="AG116" s="30">
        <f t="shared" si="69"/>
        <v>46110</v>
      </c>
      <c r="AH116" s="31">
        <f t="shared" si="70"/>
        <v>17500.009999999998</v>
      </c>
      <c r="AI116" s="31">
        <f t="shared" si="71"/>
        <v>0</v>
      </c>
      <c r="AJ116" s="34">
        <f t="shared" si="72"/>
        <v>0</v>
      </c>
      <c r="AK116" s="31">
        <f t="shared" si="73"/>
        <v>0</v>
      </c>
      <c r="AL116" s="32">
        <f t="shared" si="82"/>
        <v>0</v>
      </c>
    </row>
    <row r="117" spans="1:44" outlineLevel="1" x14ac:dyDescent="0.45">
      <c r="A117" s="27">
        <v>46111</v>
      </c>
      <c r="B117" s="28">
        <f t="shared" si="76"/>
        <v>1</v>
      </c>
      <c r="C117" s="14">
        <v>0</v>
      </c>
      <c r="D117" s="15">
        <v>0</v>
      </c>
      <c r="E117" s="16">
        <f t="shared" si="74"/>
        <v>17500.009999999998</v>
      </c>
      <c r="F117" s="2"/>
      <c r="G117" s="33">
        <f t="shared" si="83"/>
        <v>10.55</v>
      </c>
      <c r="H117" s="34">
        <v>0</v>
      </c>
      <c r="I117" s="16">
        <f t="shared" si="77"/>
        <v>232.10000000000011</v>
      </c>
      <c r="K117" s="14">
        <v>0</v>
      </c>
      <c r="L117" s="15">
        <v>0</v>
      </c>
      <c r="M117" s="16">
        <f t="shared" si="75"/>
        <v>0</v>
      </c>
      <c r="O117" s="33">
        <f t="shared" si="78"/>
        <v>0</v>
      </c>
      <c r="P117" s="34">
        <v>0</v>
      </c>
      <c r="Q117" s="16">
        <f t="shared" si="79"/>
        <v>0</v>
      </c>
      <c r="S117" s="33">
        <v>0</v>
      </c>
      <c r="T117" s="34">
        <v>0</v>
      </c>
      <c r="U117" s="16">
        <f t="shared" si="80"/>
        <v>0</v>
      </c>
      <c r="W117" s="14">
        <f t="shared" si="99"/>
        <v>0</v>
      </c>
      <c r="X117" s="15">
        <v>0</v>
      </c>
      <c r="Y117" s="16">
        <f t="shared" si="81"/>
        <v>0</v>
      </c>
      <c r="Z117" s="70"/>
      <c r="AA117" s="14">
        <f t="shared" si="67"/>
        <v>1.64</v>
      </c>
      <c r="AB117" s="15">
        <v>0</v>
      </c>
      <c r="AC117" s="16">
        <f t="shared" si="68"/>
        <v>36.08000000000002</v>
      </c>
      <c r="AD117" s="70"/>
      <c r="AF117" s="19">
        <v>69</v>
      </c>
      <c r="AG117" s="30">
        <f t="shared" si="69"/>
        <v>46111</v>
      </c>
      <c r="AH117" s="31">
        <f t="shared" si="70"/>
        <v>17500.009999999998</v>
      </c>
      <c r="AI117" s="31">
        <f t="shared" si="71"/>
        <v>0</v>
      </c>
      <c r="AJ117" s="34">
        <f t="shared" si="72"/>
        <v>0</v>
      </c>
      <c r="AK117" s="31">
        <f t="shared" si="73"/>
        <v>0</v>
      </c>
      <c r="AL117" s="32">
        <f t="shared" si="82"/>
        <v>0</v>
      </c>
    </row>
    <row r="118" spans="1:44" outlineLevel="1" x14ac:dyDescent="0.45">
      <c r="A118" s="27">
        <v>46112</v>
      </c>
      <c r="B118" s="28">
        <f t="shared" si="76"/>
        <v>1</v>
      </c>
      <c r="C118" s="14">
        <v>0</v>
      </c>
      <c r="D118" s="15">
        <v>0</v>
      </c>
      <c r="E118" s="16">
        <f t="shared" si="74"/>
        <v>17500.009999999998</v>
      </c>
      <c r="F118" s="2"/>
      <c r="G118" s="33">
        <f t="shared" si="83"/>
        <v>10.55</v>
      </c>
      <c r="H118" s="34">
        <v>0</v>
      </c>
      <c r="I118" s="16">
        <f t="shared" si="77"/>
        <v>242.65000000000012</v>
      </c>
      <c r="K118" s="14">
        <v>0</v>
      </c>
      <c r="L118" s="15">
        <v>0</v>
      </c>
      <c r="M118" s="16">
        <f t="shared" si="75"/>
        <v>0</v>
      </c>
      <c r="O118" s="33">
        <f t="shared" si="78"/>
        <v>0</v>
      </c>
      <c r="P118" s="34">
        <v>0</v>
      </c>
      <c r="Q118" s="16">
        <f t="shared" si="79"/>
        <v>0</v>
      </c>
      <c r="S118" s="33">
        <v>0</v>
      </c>
      <c r="T118" s="34">
        <v>0</v>
      </c>
      <c r="U118" s="16">
        <f t="shared" si="80"/>
        <v>0</v>
      </c>
      <c r="W118" s="14">
        <f t="shared" si="99"/>
        <v>0</v>
      </c>
      <c r="X118" s="15">
        <v>0</v>
      </c>
      <c r="Y118" s="16">
        <f t="shared" si="81"/>
        <v>0</v>
      </c>
      <c r="Z118" s="70"/>
      <c r="AA118" s="14">
        <f t="shared" si="67"/>
        <v>1.64</v>
      </c>
      <c r="AB118" s="15">
        <v>0</v>
      </c>
      <c r="AC118" s="16">
        <f t="shared" si="68"/>
        <v>37.72000000000002</v>
      </c>
      <c r="AD118" s="70"/>
      <c r="AF118" s="19">
        <v>70</v>
      </c>
      <c r="AG118" s="30">
        <f t="shared" si="69"/>
        <v>46112</v>
      </c>
      <c r="AH118" s="31">
        <f t="shared" si="70"/>
        <v>17500.009999999998</v>
      </c>
      <c r="AI118" s="31">
        <f t="shared" si="71"/>
        <v>0</v>
      </c>
      <c r="AJ118" s="34">
        <f t="shared" si="72"/>
        <v>0</v>
      </c>
      <c r="AK118" s="31">
        <f t="shared" si="73"/>
        <v>0</v>
      </c>
      <c r="AL118" s="32">
        <f t="shared" si="82"/>
        <v>0</v>
      </c>
    </row>
    <row r="119" spans="1:44" outlineLevel="1" x14ac:dyDescent="0.45">
      <c r="A119" s="27">
        <v>46113</v>
      </c>
      <c r="B119" s="28">
        <f t="shared" si="76"/>
        <v>1</v>
      </c>
      <c r="C119" s="14">
        <v>0</v>
      </c>
      <c r="D119" s="15">
        <v>0</v>
      </c>
      <c r="E119" s="16">
        <f t="shared" si="74"/>
        <v>17500.009999999998</v>
      </c>
      <c r="F119" s="2"/>
      <c r="G119" s="33">
        <f t="shared" si="83"/>
        <v>10.55</v>
      </c>
      <c r="H119" s="34">
        <v>0</v>
      </c>
      <c r="I119" s="16">
        <f t="shared" si="77"/>
        <v>253.20000000000013</v>
      </c>
      <c r="K119" s="14">
        <v>0</v>
      </c>
      <c r="L119" s="15">
        <v>0</v>
      </c>
      <c r="M119" s="16">
        <f t="shared" si="75"/>
        <v>0</v>
      </c>
      <c r="O119" s="33">
        <f t="shared" si="78"/>
        <v>0</v>
      </c>
      <c r="P119" s="34">
        <v>0</v>
      </c>
      <c r="Q119" s="16">
        <f t="shared" si="79"/>
        <v>0</v>
      </c>
      <c r="S119" s="33">
        <v>0</v>
      </c>
      <c r="T119" s="34">
        <v>0</v>
      </c>
      <c r="U119" s="16">
        <f t="shared" si="80"/>
        <v>0</v>
      </c>
      <c r="W119" s="14">
        <f t="shared" si="99"/>
        <v>0</v>
      </c>
      <c r="X119" s="15">
        <v>0</v>
      </c>
      <c r="Y119" s="16">
        <f t="shared" si="81"/>
        <v>0</v>
      </c>
      <c r="Z119" s="70"/>
      <c r="AA119" s="14">
        <f t="shared" si="67"/>
        <v>1.64</v>
      </c>
      <c r="AB119" s="15">
        <v>0</v>
      </c>
      <c r="AC119" s="16">
        <f t="shared" si="68"/>
        <v>39.360000000000021</v>
      </c>
      <c r="AD119" s="70"/>
      <c r="AF119" s="19">
        <v>71</v>
      </c>
      <c r="AG119" s="30">
        <f t="shared" si="69"/>
        <v>46113</v>
      </c>
      <c r="AH119" s="31">
        <f t="shared" si="70"/>
        <v>17500.009999999998</v>
      </c>
      <c r="AI119" s="31">
        <f t="shared" si="71"/>
        <v>0</v>
      </c>
      <c r="AJ119" s="34">
        <f t="shared" si="72"/>
        <v>0</v>
      </c>
      <c r="AK119" s="31">
        <f t="shared" si="73"/>
        <v>0</v>
      </c>
      <c r="AL119" s="32">
        <f t="shared" si="82"/>
        <v>0</v>
      </c>
    </row>
    <row r="120" spans="1:44" outlineLevel="1" x14ac:dyDescent="0.45">
      <c r="A120" s="27">
        <v>46114</v>
      </c>
      <c r="B120" s="28">
        <f t="shared" si="76"/>
        <v>1</v>
      </c>
      <c r="C120" s="14">
        <v>0</v>
      </c>
      <c r="D120" s="15">
        <v>0</v>
      </c>
      <c r="E120" s="16">
        <f t="shared" si="74"/>
        <v>17500.009999999998</v>
      </c>
      <c r="F120" s="2"/>
      <c r="G120" s="33">
        <f t="shared" si="83"/>
        <v>10.55</v>
      </c>
      <c r="H120" s="34">
        <v>0</v>
      </c>
      <c r="I120" s="16">
        <f t="shared" si="77"/>
        <v>263.75000000000011</v>
      </c>
      <c r="K120" s="14">
        <v>0</v>
      </c>
      <c r="L120" s="15">
        <v>0</v>
      </c>
      <c r="M120" s="16">
        <f t="shared" si="75"/>
        <v>0</v>
      </c>
      <c r="O120" s="33">
        <f t="shared" si="78"/>
        <v>0</v>
      </c>
      <c r="P120" s="34">
        <v>0</v>
      </c>
      <c r="Q120" s="16">
        <f t="shared" si="79"/>
        <v>0</v>
      </c>
      <c r="S120" s="33">
        <v>0</v>
      </c>
      <c r="T120" s="34">
        <v>0</v>
      </c>
      <c r="U120" s="16">
        <f t="shared" si="80"/>
        <v>0</v>
      </c>
      <c r="W120" s="14">
        <f t="shared" si="99"/>
        <v>0</v>
      </c>
      <c r="X120" s="15">
        <v>0</v>
      </c>
      <c r="Y120" s="16">
        <f t="shared" si="81"/>
        <v>0</v>
      </c>
      <c r="Z120" s="70"/>
      <c r="AA120" s="14">
        <f t="shared" si="67"/>
        <v>1.64</v>
      </c>
      <c r="AB120" s="15">
        <v>0</v>
      </c>
      <c r="AC120" s="16">
        <f t="shared" si="68"/>
        <v>41.000000000000021</v>
      </c>
      <c r="AD120" s="70"/>
      <c r="AF120" s="19">
        <v>72</v>
      </c>
      <c r="AG120" s="30">
        <f t="shared" si="69"/>
        <v>46114</v>
      </c>
      <c r="AH120" s="31">
        <f t="shared" si="70"/>
        <v>17500.009999999998</v>
      </c>
      <c r="AI120" s="31">
        <f t="shared" si="71"/>
        <v>0</v>
      </c>
      <c r="AJ120" s="34">
        <f t="shared" si="72"/>
        <v>0</v>
      </c>
      <c r="AK120" s="31">
        <f t="shared" si="73"/>
        <v>0</v>
      </c>
      <c r="AL120" s="32">
        <f t="shared" si="82"/>
        <v>0</v>
      </c>
    </row>
    <row r="121" spans="1:44" outlineLevel="1" x14ac:dyDescent="0.45">
      <c r="A121" s="27">
        <v>46115</v>
      </c>
      <c r="B121" s="28">
        <f t="shared" si="76"/>
        <v>1</v>
      </c>
      <c r="C121" s="14">
        <v>0</v>
      </c>
      <c r="D121" s="15">
        <v>0</v>
      </c>
      <c r="E121" s="16">
        <f t="shared" si="74"/>
        <v>17500.009999999998</v>
      </c>
      <c r="F121" s="2"/>
      <c r="G121" s="33">
        <f t="shared" si="83"/>
        <v>10.55</v>
      </c>
      <c r="H121" s="34">
        <v>0</v>
      </c>
      <c r="I121" s="16">
        <f t="shared" si="77"/>
        <v>274.30000000000013</v>
      </c>
      <c r="K121" s="14">
        <v>0</v>
      </c>
      <c r="L121" s="15">
        <v>0</v>
      </c>
      <c r="M121" s="16">
        <f t="shared" si="75"/>
        <v>0</v>
      </c>
      <c r="O121" s="33">
        <f t="shared" si="78"/>
        <v>0</v>
      </c>
      <c r="P121" s="34">
        <v>0</v>
      </c>
      <c r="Q121" s="16">
        <f t="shared" si="79"/>
        <v>0</v>
      </c>
      <c r="S121" s="33">
        <v>0</v>
      </c>
      <c r="T121" s="34">
        <v>0</v>
      </c>
      <c r="U121" s="16">
        <f t="shared" si="80"/>
        <v>0</v>
      </c>
      <c r="W121" s="14">
        <f t="shared" si="99"/>
        <v>0</v>
      </c>
      <c r="X121" s="15">
        <v>0</v>
      </c>
      <c r="Y121" s="16">
        <f t="shared" si="81"/>
        <v>0</v>
      </c>
      <c r="Z121" s="70"/>
      <c r="AA121" s="14">
        <f t="shared" si="67"/>
        <v>1.64</v>
      </c>
      <c r="AB121" s="15">
        <v>0</v>
      </c>
      <c r="AC121" s="16">
        <f t="shared" si="68"/>
        <v>42.640000000000022</v>
      </c>
      <c r="AD121" s="70"/>
      <c r="AF121" s="19">
        <v>73</v>
      </c>
      <c r="AG121" s="30">
        <f t="shared" si="69"/>
        <v>46115</v>
      </c>
      <c r="AH121" s="31">
        <f t="shared" si="70"/>
        <v>17500.009999999998</v>
      </c>
      <c r="AI121" s="31">
        <f t="shared" si="71"/>
        <v>0</v>
      </c>
      <c r="AJ121" s="34">
        <f t="shared" si="72"/>
        <v>0</v>
      </c>
      <c r="AK121" s="31">
        <f t="shared" si="73"/>
        <v>0</v>
      </c>
      <c r="AL121" s="32">
        <f t="shared" si="82"/>
        <v>0</v>
      </c>
    </row>
    <row r="122" spans="1:44" outlineLevel="1" x14ac:dyDescent="0.45">
      <c r="A122" s="27">
        <v>46116</v>
      </c>
      <c r="B122" s="28">
        <f t="shared" si="76"/>
        <v>1</v>
      </c>
      <c r="C122" s="14">
        <v>0</v>
      </c>
      <c r="D122" s="15">
        <v>0</v>
      </c>
      <c r="E122" s="16">
        <f t="shared" si="74"/>
        <v>17500.009999999998</v>
      </c>
      <c r="F122" s="2"/>
      <c r="G122" s="33">
        <f t="shared" si="83"/>
        <v>10.55</v>
      </c>
      <c r="H122" s="34">
        <v>0</v>
      </c>
      <c r="I122" s="16">
        <f t="shared" si="77"/>
        <v>284.85000000000014</v>
      </c>
      <c r="K122" s="14">
        <v>0</v>
      </c>
      <c r="L122" s="15">
        <v>0</v>
      </c>
      <c r="M122" s="16">
        <f t="shared" si="75"/>
        <v>0</v>
      </c>
      <c r="O122" s="33">
        <f t="shared" si="78"/>
        <v>0</v>
      </c>
      <c r="P122" s="34">
        <v>0</v>
      </c>
      <c r="Q122" s="16">
        <f t="shared" si="79"/>
        <v>0</v>
      </c>
      <c r="S122" s="33">
        <v>0</v>
      </c>
      <c r="T122" s="34">
        <v>0</v>
      </c>
      <c r="U122" s="16">
        <f t="shared" si="80"/>
        <v>0</v>
      </c>
      <c r="W122" s="14">
        <f t="shared" si="99"/>
        <v>0</v>
      </c>
      <c r="X122" s="15">
        <v>0</v>
      </c>
      <c r="Y122" s="16">
        <f t="shared" si="81"/>
        <v>0</v>
      </c>
      <c r="Z122" s="70"/>
      <c r="AA122" s="14">
        <f t="shared" si="67"/>
        <v>1.64</v>
      </c>
      <c r="AB122" s="15">
        <v>0</v>
      </c>
      <c r="AC122" s="16">
        <f t="shared" si="68"/>
        <v>44.280000000000022</v>
      </c>
      <c r="AD122" s="70"/>
      <c r="AF122" s="19">
        <v>74</v>
      </c>
      <c r="AG122" s="30">
        <f t="shared" si="69"/>
        <v>46116</v>
      </c>
      <c r="AH122" s="31">
        <f t="shared" si="70"/>
        <v>17500.009999999998</v>
      </c>
      <c r="AI122" s="31">
        <f t="shared" si="71"/>
        <v>0</v>
      </c>
      <c r="AJ122" s="34">
        <f t="shared" si="72"/>
        <v>0</v>
      </c>
      <c r="AK122" s="31">
        <f t="shared" si="73"/>
        <v>0</v>
      </c>
      <c r="AL122" s="32">
        <f t="shared" si="82"/>
        <v>0</v>
      </c>
    </row>
    <row r="123" spans="1:44" outlineLevel="1" x14ac:dyDescent="0.45">
      <c r="A123" s="27">
        <v>46117</v>
      </c>
      <c r="B123" s="28">
        <f t="shared" si="76"/>
        <v>1</v>
      </c>
      <c r="C123" s="14">
        <v>0</v>
      </c>
      <c r="D123" s="15">
        <v>0</v>
      </c>
      <c r="E123" s="16">
        <f t="shared" si="74"/>
        <v>17500.009999999998</v>
      </c>
      <c r="F123" s="2"/>
      <c r="G123" s="33">
        <f t="shared" si="83"/>
        <v>10.55</v>
      </c>
      <c r="H123" s="34">
        <v>0</v>
      </c>
      <c r="I123" s="16">
        <f t="shared" si="77"/>
        <v>295.40000000000015</v>
      </c>
      <c r="K123" s="14">
        <v>0</v>
      </c>
      <c r="L123" s="15">
        <v>0</v>
      </c>
      <c r="M123" s="16">
        <f t="shared" si="75"/>
        <v>0</v>
      </c>
      <c r="O123" s="33">
        <f t="shared" si="78"/>
        <v>0</v>
      </c>
      <c r="P123" s="34">
        <v>0</v>
      </c>
      <c r="Q123" s="16">
        <f t="shared" si="79"/>
        <v>0</v>
      </c>
      <c r="S123" s="33">
        <v>0</v>
      </c>
      <c r="T123" s="34">
        <v>0</v>
      </c>
      <c r="U123" s="16">
        <f t="shared" si="80"/>
        <v>0</v>
      </c>
      <c r="W123" s="14">
        <f t="shared" si="99"/>
        <v>0</v>
      </c>
      <c r="X123" s="15">
        <v>0</v>
      </c>
      <c r="Y123" s="16">
        <f t="shared" si="81"/>
        <v>0</v>
      </c>
      <c r="Z123" s="70"/>
      <c r="AA123" s="14">
        <f t="shared" si="67"/>
        <v>1.64</v>
      </c>
      <c r="AB123" s="15">
        <v>0</v>
      </c>
      <c r="AC123" s="16">
        <f t="shared" si="68"/>
        <v>45.920000000000023</v>
      </c>
      <c r="AD123" s="70"/>
      <c r="AF123" s="19">
        <v>75</v>
      </c>
      <c r="AG123" s="30">
        <f t="shared" si="69"/>
        <v>46117</v>
      </c>
      <c r="AH123" s="31">
        <f t="shared" si="70"/>
        <v>17500.009999999998</v>
      </c>
      <c r="AI123" s="31">
        <f t="shared" si="71"/>
        <v>0</v>
      </c>
      <c r="AJ123" s="34">
        <f t="shared" si="72"/>
        <v>0</v>
      </c>
      <c r="AK123" s="31">
        <f t="shared" si="73"/>
        <v>0</v>
      </c>
      <c r="AL123" s="32">
        <f t="shared" si="82"/>
        <v>0</v>
      </c>
    </row>
    <row r="124" spans="1:44" outlineLevel="1" x14ac:dyDescent="0.45">
      <c r="A124" s="27">
        <v>46118</v>
      </c>
      <c r="B124" s="28">
        <f t="shared" si="76"/>
        <v>1</v>
      </c>
      <c r="C124" s="14">
        <v>0</v>
      </c>
      <c r="D124" s="15">
        <v>0</v>
      </c>
      <c r="E124" s="16">
        <f t="shared" si="74"/>
        <v>17500.009999999998</v>
      </c>
      <c r="F124" s="2"/>
      <c r="G124" s="33">
        <f t="shared" si="83"/>
        <v>10.55</v>
      </c>
      <c r="H124" s="34">
        <v>0</v>
      </c>
      <c r="I124" s="16">
        <f t="shared" si="77"/>
        <v>305.95000000000016</v>
      </c>
      <c r="K124" s="14">
        <v>0</v>
      </c>
      <c r="L124" s="15">
        <v>0</v>
      </c>
      <c r="M124" s="16">
        <f t="shared" si="75"/>
        <v>0</v>
      </c>
      <c r="O124" s="33">
        <f t="shared" si="78"/>
        <v>0</v>
      </c>
      <c r="P124" s="34">
        <v>0</v>
      </c>
      <c r="Q124" s="16">
        <f t="shared" si="79"/>
        <v>0</v>
      </c>
      <c r="S124" s="33">
        <v>0</v>
      </c>
      <c r="T124" s="34">
        <v>0</v>
      </c>
      <c r="U124" s="16">
        <f t="shared" si="80"/>
        <v>0</v>
      </c>
      <c r="W124" s="14">
        <f t="shared" si="99"/>
        <v>0</v>
      </c>
      <c r="X124" s="15">
        <v>0</v>
      </c>
      <c r="Y124" s="16">
        <f t="shared" si="81"/>
        <v>0</v>
      </c>
      <c r="Z124" s="70"/>
      <c r="AA124" s="14">
        <f t="shared" si="67"/>
        <v>1.64</v>
      </c>
      <c r="AB124" s="15">
        <v>0</v>
      </c>
      <c r="AC124" s="16">
        <f t="shared" si="68"/>
        <v>47.560000000000024</v>
      </c>
      <c r="AD124" s="70"/>
      <c r="AF124" s="19">
        <v>76</v>
      </c>
      <c r="AG124" s="30">
        <f t="shared" si="69"/>
        <v>46118</v>
      </c>
      <c r="AH124" s="31">
        <f t="shared" si="70"/>
        <v>17500.009999999998</v>
      </c>
      <c r="AI124" s="31">
        <f t="shared" si="71"/>
        <v>0</v>
      </c>
      <c r="AJ124" s="34">
        <f t="shared" si="72"/>
        <v>0</v>
      </c>
      <c r="AK124" s="31">
        <f t="shared" si="73"/>
        <v>0</v>
      </c>
      <c r="AL124" s="32">
        <f t="shared" si="82"/>
        <v>0</v>
      </c>
    </row>
    <row r="125" spans="1:44" outlineLevel="1" x14ac:dyDescent="0.45">
      <c r="A125" s="27">
        <v>46119</v>
      </c>
      <c r="B125" s="28">
        <f t="shared" si="76"/>
        <v>1</v>
      </c>
      <c r="C125" s="14">
        <v>0</v>
      </c>
      <c r="D125" s="15">
        <v>0</v>
      </c>
      <c r="E125" s="16">
        <f t="shared" si="74"/>
        <v>17500.009999999998</v>
      </c>
      <c r="F125" s="2"/>
      <c r="G125" s="33">
        <f t="shared" si="83"/>
        <v>10.55</v>
      </c>
      <c r="H125" s="34">
        <v>0</v>
      </c>
      <c r="I125" s="16">
        <f t="shared" si="77"/>
        <v>316.50000000000017</v>
      </c>
      <c r="K125" s="14">
        <v>0</v>
      </c>
      <c r="L125" s="15">
        <v>0</v>
      </c>
      <c r="M125" s="16">
        <f t="shared" si="75"/>
        <v>0</v>
      </c>
      <c r="O125" s="33">
        <f t="shared" si="78"/>
        <v>0</v>
      </c>
      <c r="P125" s="34">
        <v>0</v>
      </c>
      <c r="Q125" s="16">
        <f t="shared" si="79"/>
        <v>0</v>
      </c>
      <c r="S125" s="33">
        <v>0</v>
      </c>
      <c r="T125" s="34">
        <v>0</v>
      </c>
      <c r="U125" s="16">
        <f t="shared" si="80"/>
        <v>0</v>
      </c>
      <c r="W125" s="14">
        <f t="shared" si="99"/>
        <v>0</v>
      </c>
      <c r="X125" s="15">
        <v>0</v>
      </c>
      <c r="Y125" s="16">
        <f t="shared" si="81"/>
        <v>0</v>
      </c>
      <c r="Z125" s="70"/>
      <c r="AA125" s="14">
        <f t="shared" si="67"/>
        <v>1.64</v>
      </c>
      <c r="AB125" s="15">
        <v>0</v>
      </c>
      <c r="AC125" s="16">
        <f t="shared" si="68"/>
        <v>49.200000000000024</v>
      </c>
      <c r="AD125" s="70"/>
      <c r="AF125" s="19">
        <v>77</v>
      </c>
      <c r="AG125" s="30">
        <f t="shared" si="69"/>
        <v>46119</v>
      </c>
      <c r="AH125" s="31">
        <f t="shared" si="70"/>
        <v>17500.009999999998</v>
      </c>
      <c r="AI125" s="31">
        <f t="shared" si="71"/>
        <v>0</v>
      </c>
      <c r="AJ125" s="34">
        <f t="shared" si="72"/>
        <v>0</v>
      </c>
      <c r="AK125" s="31">
        <f t="shared" si="73"/>
        <v>0</v>
      </c>
      <c r="AL125" s="32">
        <f t="shared" si="82"/>
        <v>0</v>
      </c>
    </row>
    <row r="126" spans="1:44" outlineLevel="1" x14ac:dyDescent="0.45">
      <c r="A126" s="27">
        <v>46120</v>
      </c>
      <c r="B126" s="28">
        <f t="shared" si="76"/>
        <v>1</v>
      </c>
      <c r="C126" s="14">
        <v>0</v>
      </c>
      <c r="D126" s="15">
        <v>0</v>
      </c>
      <c r="E126" s="16">
        <f t="shared" si="74"/>
        <v>17500.009999999998</v>
      </c>
      <c r="F126" s="2"/>
      <c r="G126" s="33">
        <f t="shared" si="83"/>
        <v>10.55</v>
      </c>
      <c r="H126" s="34">
        <v>0</v>
      </c>
      <c r="I126" s="16">
        <f t="shared" si="77"/>
        <v>327.05000000000018</v>
      </c>
      <c r="K126" s="14">
        <v>0</v>
      </c>
      <c r="L126" s="15">
        <v>0</v>
      </c>
      <c r="M126" s="16">
        <f t="shared" si="75"/>
        <v>0</v>
      </c>
      <c r="O126" s="33">
        <f t="shared" si="78"/>
        <v>0</v>
      </c>
      <c r="P126" s="34">
        <v>0</v>
      </c>
      <c r="Q126" s="16">
        <f t="shared" si="79"/>
        <v>0</v>
      </c>
      <c r="S126" s="33">
        <v>0</v>
      </c>
      <c r="T126" s="34">
        <v>0</v>
      </c>
      <c r="U126" s="16">
        <f t="shared" si="80"/>
        <v>0</v>
      </c>
      <c r="W126" s="14">
        <f t="shared" si="99"/>
        <v>0</v>
      </c>
      <c r="X126" s="15">
        <v>0</v>
      </c>
      <c r="Y126" s="16">
        <f t="shared" si="81"/>
        <v>0</v>
      </c>
      <c r="Z126" s="70"/>
      <c r="AA126" s="14">
        <f t="shared" si="67"/>
        <v>1.64</v>
      </c>
      <c r="AB126" s="15">
        <v>0</v>
      </c>
      <c r="AC126" s="16">
        <f t="shared" si="68"/>
        <v>50.840000000000025</v>
      </c>
      <c r="AD126" s="70"/>
      <c r="AF126" s="19">
        <v>78</v>
      </c>
      <c r="AG126" s="30">
        <f t="shared" si="69"/>
        <v>46120</v>
      </c>
      <c r="AH126" s="31">
        <f t="shared" si="70"/>
        <v>17500.009999999998</v>
      </c>
      <c r="AI126" s="31">
        <f t="shared" si="71"/>
        <v>0</v>
      </c>
      <c r="AJ126" s="34">
        <f t="shared" si="72"/>
        <v>0</v>
      </c>
      <c r="AK126" s="31">
        <f t="shared" si="73"/>
        <v>0</v>
      </c>
      <c r="AL126" s="32">
        <f t="shared" si="82"/>
        <v>0</v>
      </c>
    </row>
    <row r="127" spans="1:44" s="39" customFormat="1" x14ac:dyDescent="0.45">
      <c r="A127" s="27">
        <v>46121</v>
      </c>
      <c r="B127" s="35">
        <f t="shared" si="76"/>
        <v>1</v>
      </c>
      <c r="C127" s="36">
        <v>0</v>
      </c>
      <c r="D127" s="37">
        <v>833.33</v>
      </c>
      <c r="E127" s="38">
        <f t="shared" si="74"/>
        <v>16666.68</v>
      </c>
      <c r="G127" s="33">
        <f t="shared" si="83"/>
        <v>10.050000000000001</v>
      </c>
      <c r="H127" s="37">
        <f>I126</f>
        <v>327.05000000000018</v>
      </c>
      <c r="I127" s="38">
        <f t="shared" si="77"/>
        <v>10.050000000000011</v>
      </c>
      <c r="K127" s="36">
        <v>0</v>
      </c>
      <c r="L127" s="37">
        <v>0</v>
      </c>
      <c r="M127" s="38">
        <f t="shared" si="75"/>
        <v>0</v>
      </c>
      <c r="O127" s="33">
        <f t="shared" si="78"/>
        <v>0</v>
      </c>
      <c r="P127" s="37">
        <f>Q126+O127</f>
        <v>0</v>
      </c>
      <c r="Q127" s="38">
        <f t="shared" si="79"/>
        <v>0</v>
      </c>
      <c r="S127" s="36">
        <v>0</v>
      </c>
      <c r="T127" s="37">
        <v>0</v>
      </c>
      <c r="U127" s="38">
        <f t="shared" si="80"/>
        <v>0</v>
      </c>
      <c r="W127" s="14">
        <f t="shared" si="99"/>
        <v>0</v>
      </c>
      <c r="X127" s="15">
        <v>0</v>
      </c>
      <c r="Y127" s="38">
        <f t="shared" si="81"/>
        <v>0</v>
      </c>
      <c r="Z127" s="85"/>
      <c r="AA127" s="36">
        <f t="shared" si="67"/>
        <v>1.64</v>
      </c>
      <c r="AB127" s="37">
        <f>AC126</f>
        <v>50.840000000000025</v>
      </c>
      <c r="AC127" s="38">
        <f t="shared" si="68"/>
        <v>1.6400000000000006</v>
      </c>
      <c r="AD127" s="85"/>
      <c r="AF127" s="40">
        <v>30</v>
      </c>
      <c r="AG127" s="41">
        <f t="shared" si="69"/>
        <v>46121</v>
      </c>
      <c r="AH127" s="42">
        <f t="shared" si="70"/>
        <v>16666.68</v>
      </c>
      <c r="AI127" s="42">
        <f t="shared" si="71"/>
        <v>833.33</v>
      </c>
      <c r="AJ127" s="37">
        <f t="shared" si="72"/>
        <v>327.05000000000018</v>
      </c>
      <c r="AK127" s="42">
        <f>AC126</f>
        <v>50.840000000000025</v>
      </c>
      <c r="AL127" s="43">
        <f>AI127+AJ127+AK127</f>
        <v>1211.22</v>
      </c>
      <c r="AM127" s="44">
        <f>AL127</f>
        <v>1211.22</v>
      </c>
      <c r="AN127" s="44"/>
      <c r="AO127" s="5"/>
      <c r="AP127" s="46"/>
      <c r="AQ127" s="44"/>
      <c r="AR127" s="44"/>
    </row>
    <row r="128" spans="1:44" outlineLevel="1" x14ac:dyDescent="0.45">
      <c r="A128" s="27">
        <v>46122</v>
      </c>
      <c r="B128" s="28">
        <f t="shared" si="76"/>
        <v>1</v>
      </c>
      <c r="C128" s="14">
        <v>0</v>
      </c>
      <c r="D128" s="15">
        <v>0</v>
      </c>
      <c r="E128" s="16">
        <f t="shared" si="74"/>
        <v>16666.68</v>
      </c>
      <c r="F128" s="2"/>
      <c r="G128" s="33">
        <f t="shared" si="83"/>
        <v>10.050000000000001</v>
      </c>
      <c r="H128" s="34">
        <v>0</v>
      </c>
      <c r="I128" s="16">
        <f t="shared" si="77"/>
        <v>20.100000000000012</v>
      </c>
      <c r="K128" s="14">
        <v>0</v>
      </c>
      <c r="L128" s="15">
        <v>0</v>
      </c>
      <c r="M128" s="16">
        <f t="shared" si="75"/>
        <v>0</v>
      </c>
      <c r="O128" s="33">
        <f t="shared" si="78"/>
        <v>0</v>
      </c>
      <c r="P128" s="34">
        <v>0</v>
      </c>
      <c r="Q128" s="16">
        <f t="shared" si="79"/>
        <v>0</v>
      </c>
      <c r="S128" s="33">
        <v>0</v>
      </c>
      <c r="T128" s="34">
        <v>0</v>
      </c>
      <c r="U128" s="16">
        <f t="shared" si="80"/>
        <v>0</v>
      </c>
      <c r="W128" s="14">
        <f t="shared" si="99"/>
        <v>0</v>
      </c>
      <c r="X128" s="15">
        <v>0</v>
      </c>
      <c r="Y128" s="16">
        <f t="shared" si="81"/>
        <v>0</v>
      </c>
      <c r="Z128" s="70"/>
      <c r="AA128" s="14">
        <f t="shared" si="67"/>
        <v>1.64</v>
      </c>
      <c r="AB128" s="15">
        <v>0</v>
      </c>
      <c r="AC128" s="16">
        <f t="shared" si="68"/>
        <v>3.2800000000000002</v>
      </c>
      <c r="AD128" s="70"/>
      <c r="AF128" s="19">
        <v>50</v>
      </c>
      <c r="AG128" s="30">
        <f t="shared" si="69"/>
        <v>46122</v>
      </c>
      <c r="AH128" s="31">
        <f t="shared" si="70"/>
        <v>16666.68</v>
      </c>
      <c r="AI128" s="31">
        <f t="shared" si="71"/>
        <v>0</v>
      </c>
      <c r="AJ128" s="34">
        <f t="shared" si="72"/>
        <v>0</v>
      </c>
      <c r="AK128" s="31">
        <f t="shared" si="73"/>
        <v>0</v>
      </c>
      <c r="AL128" s="32">
        <f t="shared" si="82"/>
        <v>0</v>
      </c>
    </row>
    <row r="129" spans="1:38" outlineLevel="1" x14ac:dyDescent="0.45">
      <c r="A129" s="27">
        <v>46123</v>
      </c>
      <c r="B129" s="28">
        <f t="shared" si="76"/>
        <v>1</v>
      </c>
      <c r="C129" s="14">
        <v>0</v>
      </c>
      <c r="D129" s="15">
        <v>0</v>
      </c>
      <c r="E129" s="16">
        <f t="shared" si="74"/>
        <v>16666.68</v>
      </c>
      <c r="F129" s="2"/>
      <c r="G129" s="33">
        <f t="shared" si="83"/>
        <v>10.050000000000001</v>
      </c>
      <c r="H129" s="34">
        <v>0</v>
      </c>
      <c r="I129" s="16">
        <f t="shared" si="77"/>
        <v>30.150000000000013</v>
      </c>
      <c r="K129" s="14">
        <v>0</v>
      </c>
      <c r="L129" s="15">
        <v>0</v>
      </c>
      <c r="M129" s="16">
        <f t="shared" si="75"/>
        <v>0</v>
      </c>
      <c r="O129" s="33">
        <f t="shared" si="78"/>
        <v>0</v>
      </c>
      <c r="P129" s="34">
        <v>0</v>
      </c>
      <c r="Q129" s="16">
        <f t="shared" si="79"/>
        <v>0</v>
      </c>
      <c r="S129" s="33">
        <v>0</v>
      </c>
      <c r="T129" s="34">
        <v>0</v>
      </c>
      <c r="U129" s="16">
        <f t="shared" si="80"/>
        <v>0</v>
      </c>
      <c r="W129" s="14">
        <f t="shared" si="99"/>
        <v>0</v>
      </c>
      <c r="X129" s="15">
        <v>0</v>
      </c>
      <c r="Y129" s="16">
        <f t="shared" si="81"/>
        <v>0</v>
      </c>
      <c r="Z129" s="70"/>
      <c r="AA129" s="14">
        <f t="shared" si="67"/>
        <v>1.64</v>
      </c>
      <c r="AB129" s="15">
        <v>0</v>
      </c>
      <c r="AC129" s="16">
        <f t="shared" si="68"/>
        <v>4.92</v>
      </c>
      <c r="AD129" s="70"/>
      <c r="AF129" s="19">
        <v>51</v>
      </c>
      <c r="AG129" s="30">
        <f t="shared" si="69"/>
        <v>46123</v>
      </c>
      <c r="AH129" s="31">
        <f t="shared" si="70"/>
        <v>16666.68</v>
      </c>
      <c r="AI129" s="31">
        <f t="shared" si="71"/>
        <v>0</v>
      </c>
      <c r="AJ129" s="34">
        <f t="shared" si="72"/>
        <v>0</v>
      </c>
      <c r="AK129" s="31">
        <f t="shared" si="73"/>
        <v>0</v>
      </c>
      <c r="AL129" s="32">
        <f t="shared" si="82"/>
        <v>0</v>
      </c>
    </row>
    <row r="130" spans="1:38" outlineLevel="1" x14ac:dyDescent="0.45">
      <c r="A130" s="27">
        <v>46124</v>
      </c>
      <c r="B130" s="28">
        <f t="shared" si="76"/>
        <v>1</v>
      </c>
      <c r="C130" s="14">
        <v>0</v>
      </c>
      <c r="D130" s="15">
        <v>0</v>
      </c>
      <c r="E130" s="16">
        <f t="shared" si="74"/>
        <v>16666.68</v>
      </c>
      <c r="F130" s="2"/>
      <c r="G130" s="33">
        <f t="shared" si="83"/>
        <v>10.050000000000001</v>
      </c>
      <c r="H130" s="34">
        <v>0</v>
      </c>
      <c r="I130" s="16">
        <f t="shared" si="77"/>
        <v>40.200000000000017</v>
      </c>
      <c r="K130" s="14">
        <v>0</v>
      </c>
      <c r="L130" s="15">
        <v>0</v>
      </c>
      <c r="M130" s="16">
        <f t="shared" si="75"/>
        <v>0</v>
      </c>
      <c r="O130" s="33">
        <f t="shared" si="78"/>
        <v>0</v>
      </c>
      <c r="P130" s="34">
        <v>0</v>
      </c>
      <c r="Q130" s="16">
        <f t="shared" si="79"/>
        <v>0</v>
      </c>
      <c r="S130" s="33">
        <v>0</v>
      </c>
      <c r="T130" s="34">
        <v>0</v>
      </c>
      <c r="U130" s="16">
        <f t="shared" si="80"/>
        <v>0</v>
      </c>
      <c r="W130" s="14">
        <f t="shared" si="99"/>
        <v>0</v>
      </c>
      <c r="X130" s="15">
        <v>0</v>
      </c>
      <c r="Y130" s="16">
        <f t="shared" si="81"/>
        <v>0</v>
      </c>
      <c r="Z130" s="70"/>
      <c r="AA130" s="14">
        <f t="shared" si="67"/>
        <v>1.64</v>
      </c>
      <c r="AB130" s="15">
        <v>0</v>
      </c>
      <c r="AC130" s="16">
        <f t="shared" si="68"/>
        <v>6.56</v>
      </c>
      <c r="AD130" s="70"/>
      <c r="AF130" s="19">
        <v>52</v>
      </c>
      <c r="AG130" s="30">
        <f t="shared" si="69"/>
        <v>46124</v>
      </c>
      <c r="AH130" s="31">
        <f t="shared" si="70"/>
        <v>16666.68</v>
      </c>
      <c r="AI130" s="31">
        <f t="shared" si="71"/>
        <v>0</v>
      </c>
      <c r="AJ130" s="34">
        <f t="shared" si="72"/>
        <v>0</v>
      </c>
      <c r="AK130" s="31">
        <f t="shared" si="73"/>
        <v>0</v>
      </c>
      <c r="AL130" s="32">
        <f t="shared" si="82"/>
        <v>0</v>
      </c>
    </row>
    <row r="131" spans="1:38" outlineLevel="1" x14ac:dyDescent="0.45">
      <c r="A131" s="27">
        <v>46125</v>
      </c>
      <c r="B131" s="28">
        <f t="shared" si="76"/>
        <v>1</v>
      </c>
      <c r="C131" s="14">
        <v>0</v>
      </c>
      <c r="D131" s="15">
        <v>0</v>
      </c>
      <c r="E131" s="16">
        <f t="shared" si="74"/>
        <v>16666.68</v>
      </c>
      <c r="F131" s="2"/>
      <c r="G131" s="33">
        <f t="shared" si="83"/>
        <v>10.050000000000001</v>
      </c>
      <c r="H131" s="34">
        <v>0</v>
      </c>
      <c r="I131" s="16">
        <f t="shared" si="77"/>
        <v>50.250000000000014</v>
      </c>
      <c r="K131" s="14">
        <v>0</v>
      </c>
      <c r="L131" s="15">
        <v>0</v>
      </c>
      <c r="M131" s="16">
        <f t="shared" si="75"/>
        <v>0</v>
      </c>
      <c r="O131" s="33">
        <f t="shared" si="78"/>
        <v>0</v>
      </c>
      <c r="P131" s="34">
        <v>0</v>
      </c>
      <c r="Q131" s="16">
        <f t="shared" si="79"/>
        <v>0</v>
      </c>
      <c r="S131" s="33">
        <v>0</v>
      </c>
      <c r="T131" s="34">
        <v>0</v>
      </c>
      <c r="U131" s="16">
        <f t="shared" si="80"/>
        <v>0</v>
      </c>
      <c r="W131" s="14">
        <f t="shared" si="99"/>
        <v>0</v>
      </c>
      <c r="X131" s="15">
        <v>0</v>
      </c>
      <c r="Y131" s="16">
        <f t="shared" si="81"/>
        <v>0</v>
      </c>
      <c r="Z131" s="70"/>
      <c r="AA131" s="14">
        <f t="shared" si="67"/>
        <v>1.64</v>
      </c>
      <c r="AB131" s="15">
        <v>0</v>
      </c>
      <c r="AC131" s="16">
        <f t="shared" si="68"/>
        <v>8.1999999999999993</v>
      </c>
      <c r="AD131" s="70"/>
      <c r="AF131" s="19">
        <v>53</v>
      </c>
      <c r="AG131" s="30">
        <f t="shared" si="69"/>
        <v>46125</v>
      </c>
      <c r="AH131" s="31">
        <f t="shared" si="70"/>
        <v>16666.68</v>
      </c>
      <c r="AI131" s="31">
        <f t="shared" si="71"/>
        <v>0</v>
      </c>
      <c r="AJ131" s="34">
        <f t="shared" si="72"/>
        <v>0</v>
      </c>
      <c r="AK131" s="31">
        <f t="shared" si="73"/>
        <v>0</v>
      </c>
      <c r="AL131" s="32">
        <f t="shared" si="82"/>
        <v>0</v>
      </c>
    </row>
    <row r="132" spans="1:38" outlineLevel="1" x14ac:dyDescent="0.45">
      <c r="A132" s="27">
        <v>46126</v>
      </c>
      <c r="B132" s="28">
        <f t="shared" si="76"/>
        <v>1</v>
      </c>
      <c r="C132" s="14">
        <v>0</v>
      </c>
      <c r="D132" s="15">
        <v>0</v>
      </c>
      <c r="E132" s="16">
        <f t="shared" si="74"/>
        <v>16666.68</v>
      </c>
      <c r="F132" s="2"/>
      <c r="G132" s="33">
        <f t="shared" si="83"/>
        <v>10.050000000000001</v>
      </c>
      <c r="H132" s="34">
        <v>0</v>
      </c>
      <c r="I132" s="16">
        <f t="shared" si="77"/>
        <v>60.300000000000011</v>
      </c>
      <c r="K132" s="14">
        <v>0</v>
      </c>
      <c r="L132" s="15">
        <v>0</v>
      </c>
      <c r="M132" s="16">
        <f t="shared" si="75"/>
        <v>0</v>
      </c>
      <c r="O132" s="33">
        <f t="shared" si="78"/>
        <v>0</v>
      </c>
      <c r="P132" s="34">
        <v>0</v>
      </c>
      <c r="Q132" s="16">
        <f t="shared" si="79"/>
        <v>0</v>
      </c>
      <c r="S132" s="33">
        <v>0</v>
      </c>
      <c r="T132" s="34">
        <v>0</v>
      </c>
      <c r="U132" s="16">
        <f t="shared" si="80"/>
        <v>0</v>
      </c>
      <c r="W132" s="14">
        <f t="shared" si="99"/>
        <v>0</v>
      </c>
      <c r="X132" s="15">
        <v>0</v>
      </c>
      <c r="Y132" s="16">
        <f t="shared" si="81"/>
        <v>0</v>
      </c>
      <c r="Z132" s="70"/>
      <c r="AA132" s="14">
        <f t="shared" si="67"/>
        <v>1.64</v>
      </c>
      <c r="AB132" s="15">
        <v>0</v>
      </c>
      <c r="AC132" s="16">
        <f t="shared" si="68"/>
        <v>9.84</v>
      </c>
      <c r="AD132" s="70"/>
      <c r="AF132" s="19">
        <v>54</v>
      </c>
      <c r="AG132" s="30">
        <f t="shared" si="69"/>
        <v>46126</v>
      </c>
      <c r="AH132" s="31">
        <f t="shared" si="70"/>
        <v>16666.68</v>
      </c>
      <c r="AI132" s="31">
        <f t="shared" si="71"/>
        <v>0</v>
      </c>
      <c r="AJ132" s="34">
        <f t="shared" si="72"/>
        <v>0</v>
      </c>
      <c r="AK132" s="31">
        <f t="shared" si="73"/>
        <v>0</v>
      </c>
      <c r="AL132" s="32">
        <f t="shared" si="82"/>
        <v>0</v>
      </c>
    </row>
    <row r="133" spans="1:38" outlineLevel="1" x14ac:dyDescent="0.45">
      <c r="A133" s="27">
        <v>46127</v>
      </c>
      <c r="B133" s="28">
        <f t="shared" si="76"/>
        <v>1</v>
      </c>
      <c r="C133" s="14">
        <v>0</v>
      </c>
      <c r="D133" s="15">
        <v>0</v>
      </c>
      <c r="E133" s="16">
        <f t="shared" si="74"/>
        <v>16666.68</v>
      </c>
      <c r="F133" s="2"/>
      <c r="G133" s="33">
        <f t="shared" si="83"/>
        <v>10.050000000000001</v>
      </c>
      <c r="H133" s="34">
        <v>0</v>
      </c>
      <c r="I133" s="16">
        <f t="shared" si="77"/>
        <v>70.350000000000009</v>
      </c>
      <c r="K133" s="14">
        <v>0</v>
      </c>
      <c r="L133" s="15">
        <v>0</v>
      </c>
      <c r="M133" s="16">
        <f t="shared" si="75"/>
        <v>0</v>
      </c>
      <c r="O133" s="33">
        <f t="shared" si="78"/>
        <v>0</v>
      </c>
      <c r="P133" s="34">
        <v>0</v>
      </c>
      <c r="Q133" s="16">
        <f t="shared" si="79"/>
        <v>0</v>
      </c>
      <c r="S133" s="33">
        <v>0</v>
      </c>
      <c r="T133" s="34">
        <v>0</v>
      </c>
      <c r="U133" s="16">
        <f t="shared" si="80"/>
        <v>0</v>
      </c>
      <c r="W133" s="14">
        <f t="shared" si="99"/>
        <v>0</v>
      </c>
      <c r="X133" s="15">
        <v>0</v>
      </c>
      <c r="Y133" s="16">
        <f t="shared" si="81"/>
        <v>0</v>
      </c>
      <c r="Z133" s="70"/>
      <c r="AA133" s="14">
        <f t="shared" si="67"/>
        <v>1.64</v>
      </c>
      <c r="AB133" s="15">
        <v>0</v>
      </c>
      <c r="AC133" s="16">
        <f t="shared" si="68"/>
        <v>11.48</v>
      </c>
      <c r="AD133" s="70"/>
      <c r="AF133" s="19">
        <v>55</v>
      </c>
      <c r="AG133" s="30">
        <f t="shared" si="69"/>
        <v>46127</v>
      </c>
      <c r="AH133" s="31">
        <f t="shared" si="70"/>
        <v>16666.68</v>
      </c>
      <c r="AI133" s="31">
        <f t="shared" si="71"/>
        <v>0</v>
      </c>
      <c r="AJ133" s="34">
        <f t="shared" si="72"/>
        <v>0</v>
      </c>
      <c r="AK133" s="31">
        <f t="shared" si="73"/>
        <v>0</v>
      </c>
      <c r="AL133" s="32">
        <f t="shared" si="82"/>
        <v>0</v>
      </c>
    </row>
    <row r="134" spans="1:38" outlineLevel="1" x14ac:dyDescent="0.45">
      <c r="A134" s="27">
        <v>46128</v>
      </c>
      <c r="B134" s="28">
        <f t="shared" si="76"/>
        <v>1</v>
      </c>
      <c r="C134" s="14">
        <v>0</v>
      </c>
      <c r="D134" s="15">
        <v>0</v>
      </c>
      <c r="E134" s="16">
        <f t="shared" si="74"/>
        <v>16666.68</v>
      </c>
      <c r="F134" s="2"/>
      <c r="G134" s="33">
        <f t="shared" si="83"/>
        <v>10.050000000000001</v>
      </c>
      <c r="H134" s="34">
        <v>0</v>
      </c>
      <c r="I134" s="16">
        <f t="shared" si="77"/>
        <v>80.400000000000006</v>
      </c>
      <c r="K134" s="14">
        <v>0</v>
      </c>
      <c r="L134" s="15">
        <v>0</v>
      </c>
      <c r="M134" s="16">
        <f t="shared" si="75"/>
        <v>0</v>
      </c>
      <c r="O134" s="33">
        <f t="shared" si="78"/>
        <v>0</v>
      </c>
      <c r="P134" s="34">
        <v>0</v>
      </c>
      <c r="Q134" s="16">
        <f t="shared" si="79"/>
        <v>0</v>
      </c>
      <c r="S134" s="33">
        <v>0</v>
      </c>
      <c r="T134" s="34">
        <v>0</v>
      </c>
      <c r="U134" s="16">
        <f t="shared" si="80"/>
        <v>0</v>
      </c>
      <c r="W134" s="14">
        <f t="shared" si="99"/>
        <v>0</v>
      </c>
      <c r="X134" s="15">
        <v>0</v>
      </c>
      <c r="Y134" s="16">
        <f t="shared" si="81"/>
        <v>0</v>
      </c>
      <c r="Z134" s="70"/>
      <c r="AA134" s="14">
        <f t="shared" si="67"/>
        <v>1.64</v>
      </c>
      <c r="AB134" s="15">
        <v>0</v>
      </c>
      <c r="AC134" s="16">
        <f t="shared" si="68"/>
        <v>13.120000000000001</v>
      </c>
      <c r="AD134" s="70"/>
      <c r="AF134" s="19">
        <v>56</v>
      </c>
      <c r="AG134" s="30">
        <f t="shared" si="69"/>
        <v>46128</v>
      </c>
      <c r="AH134" s="31">
        <f t="shared" si="70"/>
        <v>16666.68</v>
      </c>
      <c r="AI134" s="31">
        <f t="shared" si="71"/>
        <v>0</v>
      </c>
      <c r="AJ134" s="34">
        <f t="shared" si="72"/>
        <v>0</v>
      </c>
      <c r="AK134" s="31">
        <f t="shared" si="73"/>
        <v>0</v>
      </c>
      <c r="AL134" s="32">
        <f t="shared" si="82"/>
        <v>0</v>
      </c>
    </row>
    <row r="135" spans="1:38" outlineLevel="1" x14ac:dyDescent="0.45">
      <c r="A135" s="27">
        <v>46129</v>
      </c>
      <c r="B135" s="28">
        <f t="shared" si="76"/>
        <v>1</v>
      </c>
      <c r="C135" s="14">
        <v>0</v>
      </c>
      <c r="D135" s="15">
        <v>0</v>
      </c>
      <c r="E135" s="16">
        <f t="shared" si="74"/>
        <v>16666.68</v>
      </c>
      <c r="F135" s="2"/>
      <c r="G135" s="33">
        <f t="shared" si="83"/>
        <v>10.050000000000001</v>
      </c>
      <c r="H135" s="34">
        <v>0</v>
      </c>
      <c r="I135" s="16">
        <f t="shared" si="77"/>
        <v>90.45</v>
      </c>
      <c r="K135" s="14">
        <v>0</v>
      </c>
      <c r="L135" s="15">
        <v>0</v>
      </c>
      <c r="M135" s="16">
        <f t="shared" si="75"/>
        <v>0</v>
      </c>
      <c r="O135" s="33">
        <f t="shared" si="78"/>
        <v>0</v>
      </c>
      <c r="P135" s="34">
        <v>0</v>
      </c>
      <c r="Q135" s="16">
        <f t="shared" si="79"/>
        <v>0</v>
      </c>
      <c r="S135" s="33">
        <v>0</v>
      </c>
      <c r="T135" s="34">
        <v>0</v>
      </c>
      <c r="U135" s="16">
        <f t="shared" si="80"/>
        <v>0</v>
      </c>
      <c r="W135" s="14">
        <f t="shared" si="99"/>
        <v>0</v>
      </c>
      <c r="X135" s="15">
        <v>0</v>
      </c>
      <c r="Y135" s="16">
        <f t="shared" si="81"/>
        <v>0</v>
      </c>
      <c r="Z135" s="70"/>
      <c r="AA135" s="14">
        <f t="shared" si="67"/>
        <v>1.64</v>
      </c>
      <c r="AB135" s="15">
        <v>0</v>
      </c>
      <c r="AC135" s="16">
        <f t="shared" si="68"/>
        <v>14.760000000000002</v>
      </c>
      <c r="AD135" s="70"/>
      <c r="AF135" s="19">
        <v>57</v>
      </c>
      <c r="AG135" s="30">
        <f t="shared" si="69"/>
        <v>46129</v>
      </c>
      <c r="AH135" s="31">
        <f t="shared" si="70"/>
        <v>16666.68</v>
      </c>
      <c r="AI135" s="31">
        <f t="shared" si="71"/>
        <v>0</v>
      </c>
      <c r="AJ135" s="34">
        <f t="shared" si="72"/>
        <v>0</v>
      </c>
      <c r="AK135" s="31">
        <f t="shared" si="73"/>
        <v>0</v>
      </c>
      <c r="AL135" s="32">
        <f t="shared" si="82"/>
        <v>0</v>
      </c>
    </row>
    <row r="136" spans="1:38" outlineLevel="1" x14ac:dyDescent="0.45">
      <c r="A136" s="27">
        <v>46130</v>
      </c>
      <c r="B136" s="28">
        <f t="shared" si="76"/>
        <v>1</v>
      </c>
      <c r="C136" s="14">
        <v>0</v>
      </c>
      <c r="D136" s="15">
        <v>0</v>
      </c>
      <c r="E136" s="16">
        <f t="shared" si="74"/>
        <v>16666.68</v>
      </c>
      <c r="F136" s="2"/>
      <c r="G136" s="33">
        <f t="shared" si="83"/>
        <v>10.050000000000001</v>
      </c>
      <c r="H136" s="34">
        <v>0</v>
      </c>
      <c r="I136" s="16">
        <f t="shared" si="77"/>
        <v>100.5</v>
      </c>
      <c r="K136" s="14">
        <v>0</v>
      </c>
      <c r="L136" s="15">
        <v>0</v>
      </c>
      <c r="M136" s="16">
        <f t="shared" si="75"/>
        <v>0</v>
      </c>
      <c r="O136" s="33">
        <f t="shared" si="78"/>
        <v>0</v>
      </c>
      <c r="P136" s="34">
        <v>0</v>
      </c>
      <c r="Q136" s="16">
        <f t="shared" si="79"/>
        <v>0</v>
      </c>
      <c r="S136" s="33">
        <v>0</v>
      </c>
      <c r="T136" s="34">
        <v>0</v>
      </c>
      <c r="U136" s="16">
        <f t="shared" si="80"/>
        <v>0</v>
      </c>
      <c r="W136" s="14">
        <f t="shared" si="99"/>
        <v>0</v>
      </c>
      <c r="X136" s="15">
        <v>0</v>
      </c>
      <c r="Y136" s="16">
        <f t="shared" si="81"/>
        <v>0</v>
      </c>
      <c r="Z136" s="70"/>
      <c r="AA136" s="14">
        <f t="shared" ref="AA136:AA199" si="104">ROUND($C$5*$AA$5/365*B136,2)</f>
        <v>1.64</v>
      </c>
      <c r="AB136" s="15">
        <v>0</v>
      </c>
      <c r="AC136" s="16">
        <f t="shared" ref="AC136:AC199" si="105">AC135+AA136-AB136</f>
        <v>16.400000000000002</v>
      </c>
      <c r="AD136" s="70"/>
      <c r="AF136" s="19">
        <v>58</v>
      </c>
      <c r="AG136" s="30">
        <f t="shared" ref="AG136:AG199" si="106">A136</f>
        <v>46130</v>
      </c>
      <c r="AH136" s="31">
        <f t="shared" ref="AH136:AH199" si="107">E136</f>
        <v>16666.68</v>
      </c>
      <c r="AI136" s="31">
        <f t="shared" ref="AI136:AI199" si="108">D136</f>
        <v>0</v>
      </c>
      <c r="AJ136" s="34">
        <f t="shared" ref="AJ136:AJ199" si="109">H136</f>
        <v>0</v>
      </c>
      <c r="AK136" s="31">
        <f t="shared" ref="AK136:AK199" si="110">AB136</f>
        <v>0</v>
      </c>
      <c r="AL136" s="32">
        <f t="shared" si="82"/>
        <v>0</v>
      </c>
    </row>
    <row r="137" spans="1:38" outlineLevel="1" x14ac:dyDescent="0.45">
      <c r="A137" s="27">
        <v>46131</v>
      </c>
      <c r="B137" s="28">
        <f t="shared" si="76"/>
        <v>1</v>
      </c>
      <c r="C137" s="14">
        <v>0</v>
      </c>
      <c r="D137" s="15">
        <v>0</v>
      </c>
      <c r="E137" s="16">
        <f t="shared" ref="E137:E200" si="111">ROUND(E136+C137-D137,2)</f>
        <v>16666.68</v>
      </c>
      <c r="F137" s="2"/>
      <c r="G137" s="33">
        <f t="shared" si="83"/>
        <v>10.050000000000001</v>
      </c>
      <c r="H137" s="34">
        <v>0</v>
      </c>
      <c r="I137" s="16">
        <f t="shared" si="77"/>
        <v>110.55</v>
      </c>
      <c r="K137" s="14">
        <v>0</v>
      </c>
      <c r="L137" s="15">
        <v>0</v>
      </c>
      <c r="M137" s="16">
        <f t="shared" ref="M137:M200" si="112">ROUND(M136+K137-L137,2)</f>
        <v>0</v>
      </c>
      <c r="O137" s="33">
        <f t="shared" si="78"/>
        <v>0</v>
      </c>
      <c r="P137" s="34">
        <v>0</v>
      </c>
      <c r="Q137" s="16">
        <f t="shared" si="79"/>
        <v>0</v>
      </c>
      <c r="S137" s="33">
        <v>0</v>
      </c>
      <c r="T137" s="34">
        <v>0</v>
      </c>
      <c r="U137" s="16">
        <f t="shared" si="80"/>
        <v>0</v>
      </c>
      <c r="W137" s="14">
        <f t="shared" si="99"/>
        <v>0</v>
      </c>
      <c r="X137" s="15">
        <v>0</v>
      </c>
      <c r="Y137" s="16">
        <f t="shared" si="81"/>
        <v>0</v>
      </c>
      <c r="Z137" s="70"/>
      <c r="AA137" s="14">
        <f t="shared" si="104"/>
        <v>1.64</v>
      </c>
      <c r="AB137" s="15">
        <v>0</v>
      </c>
      <c r="AC137" s="16">
        <f t="shared" si="105"/>
        <v>18.040000000000003</v>
      </c>
      <c r="AD137" s="70"/>
      <c r="AF137" s="19">
        <v>59</v>
      </c>
      <c r="AG137" s="30">
        <f t="shared" si="106"/>
        <v>46131</v>
      </c>
      <c r="AH137" s="31">
        <f t="shared" si="107"/>
        <v>16666.68</v>
      </c>
      <c r="AI137" s="31">
        <f t="shared" si="108"/>
        <v>0</v>
      </c>
      <c r="AJ137" s="34">
        <f t="shared" si="109"/>
        <v>0</v>
      </c>
      <c r="AK137" s="31">
        <f t="shared" si="110"/>
        <v>0</v>
      </c>
      <c r="AL137" s="32">
        <f t="shared" si="82"/>
        <v>0</v>
      </c>
    </row>
    <row r="138" spans="1:38" outlineLevel="1" x14ac:dyDescent="0.45">
      <c r="A138" s="27">
        <v>46132</v>
      </c>
      <c r="B138" s="28">
        <f t="shared" ref="B138:B201" si="113">A138-A137</f>
        <v>1</v>
      </c>
      <c r="C138" s="14">
        <v>0</v>
      </c>
      <c r="D138" s="15">
        <v>0</v>
      </c>
      <c r="E138" s="16">
        <f t="shared" si="111"/>
        <v>16666.68</v>
      </c>
      <c r="F138" s="2"/>
      <c r="G138" s="33">
        <f t="shared" si="83"/>
        <v>10.050000000000001</v>
      </c>
      <c r="H138" s="34">
        <v>0</v>
      </c>
      <c r="I138" s="16">
        <f t="shared" ref="I138:I201" si="114">I137+G138-H138</f>
        <v>120.6</v>
      </c>
      <c r="K138" s="14">
        <v>0</v>
      </c>
      <c r="L138" s="15">
        <v>0</v>
      </c>
      <c r="M138" s="16">
        <f t="shared" si="112"/>
        <v>0</v>
      </c>
      <c r="O138" s="33">
        <f t="shared" ref="O138:O201" si="115">ROUND(M138*$O$5/$D$5*B138,2)</f>
        <v>0</v>
      </c>
      <c r="P138" s="34">
        <v>0</v>
      </c>
      <c r="Q138" s="16">
        <f t="shared" ref="Q138:Q201" si="116">Q137+O138-P138</f>
        <v>0</v>
      </c>
      <c r="S138" s="33">
        <v>0</v>
      </c>
      <c r="T138" s="34">
        <v>0</v>
      </c>
      <c r="U138" s="16">
        <f t="shared" ref="U138:U201" si="117">U137+S138-T138</f>
        <v>0</v>
      </c>
      <c r="W138" s="14">
        <f t="shared" si="99"/>
        <v>0</v>
      </c>
      <c r="X138" s="15">
        <v>0</v>
      </c>
      <c r="Y138" s="16">
        <f t="shared" ref="Y138:Y201" si="118">Y137+W138-X138</f>
        <v>0</v>
      </c>
      <c r="Z138" s="70"/>
      <c r="AA138" s="14">
        <f t="shared" si="104"/>
        <v>1.64</v>
      </c>
      <c r="AB138" s="15">
        <v>0</v>
      </c>
      <c r="AC138" s="16">
        <f t="shared" si="105"/>
        <v>19.680000000000003</v>
      </c>
      <c r="AD138" s="70"/>
      <c r="AF138" s="19">
        <v>60</v>
      </c>
      <c r="AG138" s="30">
        <f t="shared" si="106"/>
        <v>46132</v>
      </c>
      <c r="AH138" s="31">
        <f t="shared" si="107"/>
        <v>16666.68</v>
      </c>
      <c r="AI138" s="31">
        <f t="shared" si="108"/>
        <v>0</v>
      </c>
      <c r="AJ138" s="34">
        <f t="shared" si="109"/>
        <v>0</v>
      </c>
      <c r="AK138" s="31">
        <f t="shared" si="110"/>
        <v>0</v>
      </c>
      <c r="AL138" s="32">
        <f t="shared" ref="AL138:AL201" si="119">AI138+AJ138+AK138</f>
        <v>0</v>
      </c>
    </row>
    <row r="139" spans="1:38" outlineLevel="1" x14ac:dyDescent="0.45">
      <c r="A139" s="27">
        <v>46133</v>
      </c>
      <c r="B139" s="28">
        <f t="shared" si="113"/>
        <v>1</v>
      </c>
      <c r="C139" s="14">
        <v>0</v>
      </c>
      <c r="D139" s="15">
        <v>0</v>
      </c>
      <c r="E139" s="16">
        <f t="shared" si="111"/>
        <v>16666.68</v>
      </c>
      <c r="F139" s="2"/>
      <c r="G139" s="33">
        <f t="shared" si="83"/>
        <v>10.050000000000001</v>
      </c>
      <c r="H139" s="34">
        <v>0</v>
      </c>
      <c r="I139" s="16">
        <f t="shared" si="114"/>
        <v>130.65</v>
      </c>
      <c r="K139" s="14">
        <v>0</v>
      </c>
      <c r="L139" s="15">
        <v>0</v>
      </c>
      <c r="M139" s="16">
        <f t="shared" si="112"/>
        <v>0</v>
      </c>
      <c r="O139" s="33">
        <f t="shared" si="115"/>
        <v>0</v>
      </c>
      <c r="P139" s="34">
        <v>0</v>
      </c>
      <c r="Q139" s="16">
        <f t="shared" si="116"/>
        <v>0</v>
      </c>
      <c r="S139" s="33">
        <v>0</v>
      </c>
      <c r="T139" s="34">
        <v>0</v>
      </c>
      <c r="U139" s="16">
        <f t="shared" si="117"/>
        <v>0</v>
      </c>
      <c r="W139" s="14">
        <f t="shared" si="99"/>
        <v>0</v>
      </c>
      <c r="X139" s="15">
        <v>0</v>
      </c>
      <c r="Y139" s="16">
        <f t="shared" si="118"/>
        <v>0</v>
      </c>
      <c r="Z139" s="70"/>
      <c r="AA139" s="14">
        <f t="shared" si="104"/>
        <v>1.64</v>
      </c>
      <c r="AB139" s="15">
        <v>0</v>
      </c>
      <c r="AC139" s="16">
        <f t="shared" si="105"/>
        <v>21.320000000000004</v>
      </c>
      <c r="AD139" s="70"/>
      <c r="AF139" s="19">
        <v>61</v>
      </c>
      <c r="AG139" s="30">
        <f t="shared" si="106"/>
        <v>46133</v>
      </c>
      <c r="AH139" s="31">
        <f t="shared" si="107"/>
        <v>16666.68</v>
      </c>
      <c r="AI139" s="31">
        <f t="shared" si="108"/>
        <v>0</v>
      </c>
      <c r="AJ139" s="34">
        <f t="shared" si="109"/>
        <v>0</v>
      </c>
      <c r="AK139" s="31">
        <f t="shared" si="110"/>
        <v>0</v>
      </c>
      <c r="AL139" s="32">
        <f t="shared" si="119"/>
        <v>0</v>
      </c>
    </row>
    <row r="140" spans="1:38" outlineLevel="1" x14ac:dyDescent="0.45">
      <c r="A140" s="27">
        <v>46134</v>
      </c>
      <c r="B140" s="28">
        <f t="shared" si="113"/>
        <v>1</v>
      </c>
      <c r="C140" s="14">
        <v>0</v>
      </c>
      <c r="D140" s="15">
        <v>0</v>
      </c>
      <c r="E140" s="16">
        <f t="shared" si="111"/>
        <v>16666.68</v>
      </c>
      <c r="F140" s="2"/>
      <c r="G140" s="33">
        <f t="shared" ref="G140:G203" si="120">ROUND(E140*$G$5/$D$5*B140,2)</f>
        <v>10.050000000000001</v>
      </c>
      <c r="H140" s="34">
        <v>0</v>
      </c>
      <c r="I140" s="16">
        <f t="shared" si="114"/>
        <v>140.70000000000002</v>
      </c>
      <c r="K140" s="14">
        <v>0</v>
      </c>
      <c r="L140" s="15">
        <v>0</v>
      </c>
      <c r="M140" s="16">
        <f t="shared" si="112"/>
        <v>0</v>
      </c>
      <c r="O140" s="33">
        <f t="shared" si="115"/>
        <v>0</v>
      </c>
      <c r="P140" s="34">
        <v>0</v>
      </c>
      <c r="Q140" s="16">
        <f t="shared" si="116"/>
        <v>0</v>
      </c>
      <c r="S140" s="33">
        <v>0</v>
      </c>
      <c r="T140" s="34">
        <v>0</v>
      </c>
      <c r="U140" s="16">
        <f t="shared" si="117"/>
        <v>0</v>
      </c>
      <c r="W140" s="14">
        <f t="shared" si="99"/>
        <v>0</v>
      </c>
      <c r="X140" s="15">
        <v>0</v>
      </c>
      <c r="Y140" s="16">
        <f t="shared" si="118"/>
        <v>0</v>
      </c>
      <c r="Z140" s="70"/>
      <c r="AA140" s="14">
        <f t="shared" si="104"/>
        <v>1.64</v>
      </c>
      <c r="AB140" s="15">
        <v>0</v>
      </c>
      <c r="AC140" s="16">
        <f t="shared" si="105"/>
        <v>22.960000000000004</v>
      </c>
      <c r="AD140" s="70"/>
      <c r="AF140" s="19">
        <v>62</v>
      </c>
      <c r="AG140" s="30">
        <f t="shared" si="106"/>
        <v>46134</v>
      </c>
      <c r="AH140" s="31">
        <f t="shared" si="107"/>
        <v>16666.68</v>
      </c>
      <c r="AI140" s="31">
        <f t="shared" si="108"/>
        <v>0</v>
      </c>
      <c r="AJ140" s="34">
        <f t="shared" si="109"/>
        <v>0</v>
      </c>
      <c r="AK140" s="31">
        <f t="shared" si="110"/>
        <v>0</v>
      </c>
      <c r="AL140" s="32">
        <f t="shared" si="119"/>
        <v>0</v>
      </c>
    </row>
    <row r="141" spans="1:38" outlineLevel="1" x14ac:dyDescent="0.45">
      <c r="A141" s="27">
        <v>46135</v>
      </c>
      <c r="B141" s="28">
        <f t="shared" si="113"/>
        <v>1</v>
      </c>
      <c r="C141" s="14">
        <v>0</v>
      </c>
      <c r="D141" s="15">
        <v>0</v>
      </c>
      <c r="E141" s="16">
        <f t="shared" si="111"/>
        <v>16666.68</v>
      </c>
      <c r="F141" s="2"/>
      <c r="G141" s="33">
        <f t="shared" si="120"/>
        <v>10.050000000000001</v>
      </c>
      <c r="H141" s="34">
        <v>0</v>
      </c>
      <c r="I141" s="16">
        <f t="shared" si="114"/>
        <v>150.75000000000003</v>
      </c>
      <c r="K141" s="14">
        <v>0</v>
      </c>
      <c r="L141" s="15">
        <v>0</v>
      </c>
      <c r="M141" s="16">
        <f t="shared" si="112"/>
        <v>0</v>
      </c>
      <c r="O141" s="33">
        <f t="shared" si="115"/>
        <v>0</v>
      </c>
      <c r="P141" s="34">
        <v>0</v>
      </c>
      <c r="Q141" s="16">
        <f t="shared" si="116"/>
        <v>0</v>
      </c>
      <c r="S141" s="33">
        <v>0</v>
      </c>
      <c r="T141" s="34">
        <v>0</v>
      </c>
      <c r="U141" s="16">
        <f t="shared" si="117"/>
        <v>0</v>
      </c>
      <c r="W141" s="14">
        <f t="shared" si="99"/>
        <v>0</v>
      </c>
      <c r="X141" s="15">
        <v>0</v>
      </c>
      <c r="Y141" s="16">
        <f t="shared" si="118"/>
        <v>0</v>
      </c>
      <c r="Z141" s="70"/>
      <c r="AA141" s="14">
        <f t="shared" si="104"/>
        <v>1.64</v>
      </c>
      <c r="AB141" s="15">
        <v>0</v>
      </c>
      <c r="AC141" s="16">
        <f t="shared" si="105"/>
        <v>24.600000000000005</v>
      </c>
      <c r="AD141" s="70"/>
      <c r="AF141" s="19">
        <v>63</v>
      </c>
      <c r="AG141" s="30">
        <f t="shared" si="106"/>
        <v>46135</v>
      </c>
      <c r="AH141" s="31">
        <f t="shared" si="107"/>
        <v>16666.68</v>
      </c>
      <c r="AI141" s="31">
        <f t="shared" si="108"/>
        <v>0</v>
      </c>
      <c r="AJ141" s="34">
        <f t="shared" si="109"/>
        <v>0</v>
      </c>
      <c r="AK141" s="31">
        <f t="shared" si="110"/>
        <v>0</v>
      </c>
      <c r="AL141" s="32">
        <f t="shared" si="119"/>
        <v>0</v>
      </c>
    </row>
    <row r="142" spans="1:38" outlineLevel="1" x14ac:dyDescent="0.45">
      <c r="A142" s="27">
        <v>46136</v>
      </c>
      <c r="B142" s="28">
        <f t="shared" si="113"/>
        <v>1</v>
      </c>
      <c r="C142" s="14">
        <v>0</v>
      </c>
      <c r="D142" s="15">
        <v>0</v>
      </c>
      <c r="E142" s="16">
        <f t="shared" si="111"/>
        <v>16666.68</v>
      </c>
      <c r="F142" s="2"/>
      <c r="G142" s="33">
        <f t="shared" si="120"/>
        <v>10.050000000000001</v>
      </c>
      <c r="H142" s="34">
        <v>0</v>
      </c>
      <c r="I142" s="16">
        <f t="shared" si="114"/>
        <v>160.80000000000004</v>
      </c>
      <c r="K142" s="14">
        <v>0</v>
      </c>
      <c r="L142" s="15">
        <v>0</v>
      </c>
      <c r="M142" s="16">
        <f t="shared" si="112"/>
        <v>0</v>
      </c>
      <c r="O142" s="33">
        <f t="shared" si="115"/>
        <v>0</v>
      </c>
      <c r="P142" s="34">
        <v>0</v>
      </c>
      <c r="Q142" s="16">
        <f t="shared" si="116"/>
        <v>0</v>
      </c>
      <c r="S142" s="33">
        <v>0</v>
      </c>
      <c r="T142" s="34">
        <v>0</v>
      </c>
      <c r="U142" s="16">
        <f t="shared" si="117"/>
        <v>0</v>
      </c>
      <c r="W142" s="14">
        <f t="shared" si="99"/>
        <v>0</v>
      </c>
      <c r="X142" s="15">
        <v>0</v>
      </c>
      <c r="Y142" s="16">
        <f t="shared" si="118"/>
        <v>0</v>
      </c>
      <c r="Z142" s="70"/>
      <c r="AA142" s="14">
        <f t="shared" si="104"/>
        <v>1.64</v>
      </c>
      <c r="AB142" s="15">
        <v>0</v>
      </c>
      <c r="AC142" s="16">
        <f t="shared" si="105"/>
        <v>26.240000000000006</v>
      </c>
      <c r="AD142" s="70"/>
      <c r="AF142" s="19">
        <v>64</v>
      </c>
      <c r="AG142" s="30">
        <f t="shared" si="106"/>
        <v>46136</v>
      </c>
      <c r="AH142" s="31">
        <f t="shared" si="107"/>
        <v>16666.68</v>
      </c>
      <c r="AI142" s="31">
        <f t="shared" si="108"/>
        <v>0</v>
      </c>
      <c r="AJ142" s="34">
        <f t="shared" si="109"/>
        <v>0</v>
      </c>
      <c r="AK142" s="31">
        <f t="shared" si="110"/>
        <v>0</v>
      </c>
      <c r="AL142" s="32">
        <f t="shared" si="119"/>
        <v>0</v>
      </c>
    </row>
    <row r="143" spans="1:38" outlineLevel="1" x14ac:dyDescent="0.45">
      <c r="A143" s="27">
        <v>46137</v>
      </c>
      <c r="B143" s="28">
        <f t="shared" si="113"/>
        <v>1</v>
      </c>
      <c r="C143" s="14">
        <v>0</v>
      </c>
      <c r="D143" s="15">
        <v>0</v>
      </c>
      <c r="E143" s="16">
        <f t="shared" si="111"/>
        <v>16666.68</v>
      </c>
      <c r="F143" s="2"/>
      <c r="G143" s="33">
        <f t="shared" si="120"/>
        <v>10.050000000000001</v>
      </c>
      <c r="H143" s="34">
        <v>0</v>
      </c>
      <c r="I143" s="16">
        <f t="shared" si="114"/>
        <v>170.85000000000005</v>
      </c>
      <c r="K143" s="14">
        <v>0</v>
      </c>
      <c r="L143" s="15">
        <v>0</v>
      </c>
      <c r="M143" s="16">
        <f t="shared" si="112"/>
        <v>0</v>
      </c>
      <c r="O143" s="33">
        <f t="shared" si="115"/>
        <v>0</v>
      </c>
      <c r="P143" s="34">
        <v>0</v>
      </c>
      <c r="Q143" s="16">
        <f t="shared" si="116"/>
        <v>0</v>
      </c>
      <c r="S143" s="33">
        <v>0</v>
      </c>
      <c r="T143" s="34">
        <v>0</v>
      </c>
      <c r="U143" s="16">
        <f t="shared" si="117"/>
        <v>0</v>
      </c>
      <c r="W143" s="14">
        <f t="shared" si="99"/>
        <v>0</v>
      </c>
      <c r="X143" s="15">
        <v>0</v>
      </c>
      <c r="Y143" s="16">
        <f t="shared" si="118"/>
        <v>0</v>
      </c>
      <c r="Z143" s="70"/>
      <c r="AA143" s="14">
        <f t="shared" si="104"/>
        <v>1.64</v>
      </c>
      <c r="AB143" s="15">
        <v>0</v>
      </c>
      <c r="AC143" s="16">
        <f t="shared" si="105"/>
        <v>27.880000000000006</v>
      </c>
      <c r="AD143" s="70"/>
      <c r="AF143" s="19">
        <v>65</v>
      </c>
      <c r="AG143" s="30">
        <f t="shared" si="106"/>
        <v>46137</v>
      </c>
      <c r="AH143" s="31">
        <f t="shared" si="107"/>
        <v>16666.68</v>
      </c>
      <c r="AI143" s="31">
        <f t="shared" si="108"/>
        <v>0</v>
      </c>
      <c r="AJ143" s="34">
        <f t="shared" si="109"/>
        <v>0</v>
      </c>
      <c r="AK143" s="31">
        <f t="shared" si="110"/>
        <v>0</v>
      </c>
      <c r="AL143" s="32">
        <f t="shared" si="119"/>
        <v>0</v>
      </c>
    </row>
    <row r="144" spans="1:38" outlineLevel="1" x14ac:dyDescent="0.45">
      <c r="A144" s="27">
        <v>46138</v>
      </c>
      <c r="B144" s="28">
        <f t="shared" si="113"/>
        <v>1</v>
      </c>
      <c r="C144" s="14">
        <v>0</v>
      </c>
      <c r="D144" s="15">
        <v>0</v>
      </c>
      <c r="E144" s="16">
        <f t="shared" si="111"/>
        <v>16666.68</v>
      </c>
      <c r="F144" s="2"/>
      <c r="G144" s="33">
        <f t="shared" si="120"/>
        <v>10.050000000000001</v>
      </c>
      <c r="H144" s="34">
        <v>0</v>
      </c>
      <c r="I144" s="16">
        <f t="shared" si="114"/>
        <v>180.90000000000006</v>
      </c>
      <c r="K144" s="14">
        <v>0</v>
      </c>
      <c r="L144" s="15">
        <v>0</v>
      </c>
      <c r="M144" s="16">
        <f t="shared" si="112"/>
        <v>0</v>
      </c>
      <c r="O144" s="33">
        <f t="shared" si="115"/>
        <v>0</v>
      </c>
      <c r="P144" s="34">
        <v>0</v>
      </c>
      <c r="Q144" s="16">
        <f t="shared" si="116"/>
        <v>0</v>
      </c>
      <c r="S144" s="33">
        <v>0</v>
      </c>
      <c r="T144" s="34">
        <v>0</v>
      </c>
      <c r="U144" s="16">
        <f t="shared" si="117"/>
        <v>0</v>
      </c>
      <c r="W144" s="14">
        <f t="shared" si="99"/>
        <v>0</v>
      </c>
      <c r="X144" s="15">
        <v>0</v>
      </c>
      <c r="Y144" s="16">
        <f t="shared" si="118"/>
        <v>0</v>
      </c>
      <c r="Z144" s="70"/>
      <c r="AA144" s="14">
        <f t="shared" si="104"/>
        <v>1.64</v>
      </c>
      <c r="AB144" s="15">
        <v>0</v>
      </c>
      <c r="AC144" s="16">
        <f t="shared" si="105"/>
        <v>29.520000000000007</v>
      </c>
      <c r="AD144" s="70"/>
      <c r="AF144" s="19">
        <v>66</v>
      </c>
      <c r="AG144" s="30">
        <f t="shared" si="106"/>
        <v>46138</v>
      </c>
      <c r="AH144" s="31">
        <f t="shared" si="107"/>
        <v>16666.68</v>
      </c>
      <c r="AI144" s="31">
        <f t="shared" si="108"/>
        <v>0</v>
      </c>
      <c r="AJ144" s="34">
        <f t="shared" si="109"/>
        <v>0</v>
      </c>
      <c r="AK144" s="31">
        <f t="shared" si="110"/>
        <v>0</v>
      </c>
      <c r="AL144" s="32">
        <f t="shared" si="119"/>
        <v>0</v>
      </c>
    </row>
    <row r="145" spans="1:44" outlineLevel="1" x14ac:dyDescent="0.45">
      <c r="A145" s="27">
        <v>46139</v>
      </c>
      <c r="B145" s="28">
        <f t="shared" si="113"/>
        <v>1</v>
      </c>
      <c r="C145" s="14">
        <v>0</v>
      </c>
      <c r="D145" s="15">
        <v>0</v>
      </c>
      <c r="E145" s="16">
        <f t="shared" si="111"/>
        <v>16666.68</v>
      </c>
      <c r="F145" s="2"/>
      <c r="G145" s="33">
        <f t="shared" si="120"/>
        <v>10.050000000000001</v>
      </c>
      <c r="H145" s="34">
        <v>0</v>
      </c>
      <c r="I145" s="16">
        <f t="shared" si="114"/>
        <v>190.95000000000007</v>
      </c>
      <c r="K145" s="14">
        <v>0</v>
      </c>
      <c r="L145" s="15">
        <v>0</v>
      </c>
      <c r="M145" s="16">
        <f t="shared" si="112"/>
        <v>0</v>
      </c>
      <c r="O145" s="33">
        <f t="shared" si="115"/>
        <v>0</v>
      </c>
      <c r="P145" s="34">
        <v>0</v>
      </c>
      <c r="Q145" s="16">
        <f t="shared" si="116"/>
        <v>0</v>
      </c>
      <c r="S145" s="33">
        <v>0</v>
      </c>
      <c r="T145" s="34">
        <v>0</v>
      </c>
      <c r="U145" s="16">
        <f t="shared" si="117"/>
        <v>0</v>
      </c>
      <c r="W145" s="14">
        <f t="shared" si="99"/>
        <v>0</v>
      </c>
      <c r="X145" s="15">
        <v>0</v>
      </c>
      <c r="Y145" s="16">
        <f t="shared" si="118"/>
        <v>0</v>
      </c>
      <c r="Z145" s="70"/>
      <c r="AA145" s="14">
        <f t="shared" si="104"/>
        <v>1.64</v>
      </c>
      <c r="AB145" s="15">
        <v>0</v>
      </c>
      <c r="AC145" s="16">
        <f t="shared" si="105"/>
        <v>31.160000000000007</v>
      </c>
      <c r="AD145" s="70"/>
      <c r="AF145" s="19">
        <v>67</v>
      </c>
      <c r="AG145" s="30">
        <f t="shared" si="106"/>
        <v>46139</v>
      </c>
      <c r="AH145" s="31">
        <f t="shared" si="107"/>
        <v>16666.68</v>
      </c>
      <c r="AI145" s="31">
        <f t="shared" si="108"/>
        <v>0</v>
      </c>
      <c r="AJ145" s="34">
        <f t="shared" si="109"/>
        <v>0</v>
      </c>
      <c r="AK145" s="31">
        <f t="shared" si="110"/>
        <v>0</v>
      </c>
      <c r="AL145" s="32">
        <f t="shared" si="119"/>
        <v>0</v>
      </c>
    </row>
    <row r="146" spans="1:44" outlineLevel="1" x14ac:dyDescent="0.45">
      <c r="A146" s="27">
        <v>46140</v>
      </c>
      <c r="B146" s="28">
        <f t="shared" si="113"/>
        <v>1</v>
      </c>
      <c r="C146" s="14">
        <v>0</v>
      </c>
      <c r="D146" s="15">
        <v>0</v>
      </c>
      <c r="E146" s="16">
        <f t="shared" si="111"/>
        <v>16666.68</v>
      </c>
      <c r="F146" s="2"/>
      <c r="G146" s="33">
        <f t="shared" si="120"/>
        <v>10.050000000000001</v>
      </c>
      <c r="H146" s="34">
        <v>0</v>
      </c>
      <c r="I146" s="16">
        <f t="shared" si="114"/>
        <v>201.00000000000009</v>
      </c>
      <c r="K146" s="14">
        <v>0</v>
      </c>
      <c r="L146" s="15">
        <v>0</v>
      </c>
      <c r="M146" s="16">
        <f t="shared" si="112"/>
        <v>0</v>
      </c>
      <c r="O146" s="33">
        <f t="shared" si="115"/>
        <v>0</v>
      </c>
      <c r="P146" s="34">
        <v>0</v>
      </c>
      <c r="Q146" s="16">
        <f t="shared" si="116"/>
        <v>0</v>
      </c>
      <c r="S146" s="33">
        <v>0</v>
      </c>
      <c r="T146" s="34">
        <v>0</v>
      </c>
      <c r="U146" s="16">
        <f t="shared" si="117"/>
        <v>0</v>
      </c>
      <c r="W146" s="14">
        <f t="shared" si="99"/>
        <v>0</v>
      </c>
      <c r="X146" s="15">
        <v>0</v>
      </c>
      <c r="Y146" s="16">
        <f t="shared" si="118"/>
        <v>0</v>
      </c>
      <c r="Z146" s="70"/>
      <c r="AA146" s="14">
        <f t="shared" si="104"/>
        <v>1.64</v>
      </c>
      <c r="AB146" s="15">
        <v>0</v>
      </c>
      <c r="AC146" s="16">
        <f t="shared" si="105"/>
        <v>32.800000000000004</v>
      </c>
      <c r="AD146" s="70"/>
      <c r="AF146" s="19">
        <v>68</v>
      </c>
      <c r="AG146" s="30">
        <f t="shared" si="106"/>
        <v>46140</v>
      </c>
      <c r="AH146" s="31">
        <f t="shared" si="107"/>
        <v>16666.68</v>
      </c>
      <c r="AI146" s="31">
        <f t="shared" si="108"/>
        <v>0</v>
      </c>
      <c r="AJ146" s="34">
        <f t="shared" si="109"/>
        <v>0</v>
      </c>
      <c r="AK146" s="31">
        <f t="shared" si="110"/>
        <v>0</v>
      </c>
      <c r="AL146" s="32">
        <f t="shared" si="119"/>
        <v>0</v>
      </c>
    </row>
    <row r="147" spans="1:44" outlineLevel="1" x14ac:dyDescent="0.45">
      <c r="A147" s="27">
        <v>46141</v>
      </c>
      <c r="B147" s="28">
        <f t="shared" si="113"/>
        <v>1</v>
      </c>
      <c r="C147" s="14">
        <v>0</v>
      </c>
      <c r="D147" s="15">
        <v>0</v>
      </c>
      <c r="E147" s="16">
        <f t="shared" si="111"/>
        <v>16666.68</v>
      </c>
      <c r="F147" s="2"/>
      <c r="G147" s="33">
        <f t="shared" si="120"/>
        <v>10.050000000000001</v>
      </c>
      <c r="H147" s="34">
        <v>0</v>
      </c>
      <c r="I147" s="16">
        <f t="shared" si="114"/>
        <v>211.0500000000001</v>
      </c>
      <c r="K147" s="14">
        <v>0</v>
      </c>
      <c r="L147" s="15">
        <v>0</v>
      </c>
      <c r="M147" s="16">
        <f t="shared" si="112"/>
        <v>0</v>
      </c>
      <c r="O147" s="33">
        <f t="shared" si="115"/>
        <v>0</v>
      </c>
      <c r="P147" s="34">
        <v>0</v>
      </c>
      <c r="Q147" s="16">
        <f t="shared" si="116"/>
        <v>0</v>
      </c>
      <c r="S147" s="33">
        <v>0</v>
      </c>
      <c r="T147" s="34">
        <v>0</v>
      </c>
      <c r="U147" s="16">
        <f t="shared" si="117"/>
        <v>0</v>
      </c>
      <c r="W147" s="14">
        <f t="shared" si="99"/>
        <v>0</v>
      </c>
      <c r="X147" s="15">
        <v>0</v>
      </c>
      <c r="Y147" s="16">
        <f t="shared" si="118"/>
        <v>0</v>
      </c>
      <c r="Z147" s="70"/>
      <c r="AA147" s="14">
        <f t="shared" si="104"/>
        <v>1.64</v>
      </c>
      <c r="AB147" s="15">
        <v>0</v>
      </c>
      <c r="AC147" s="16">
        <f t="shared" si="105"/>
        <v>34.440000000000005</v>
      </c>
      <c r="AD147" s="70"/>
      <c r="AF147" s="19">
        <v>69</v>
      </c>
      <c r="AG147" s="30">
        <f t="shared" si="106"/>
        <v>46141</v>
      </c>
      <c r="AH147" s="31">
        <f t="shared" si="107"/>
        <v>16666.68</v>
      </c>
      <c r="AI147" s="31">
        <f t="shared" si="108"/>
        <v>0</v>
      </c>
      <c r="AJ147" s="34">
        <f t="shared" si="109"/>
        <v>0</v>
      </c>
      <c r="AK147" s="31">
        <f t="shared" si="110"/>
        <v>0</v>
      </c>
      <c r="AL147" s="32">
        <f t="shared" si="119"/>
        <v>0</v>
      </c>
    </row>
    <row r="148" spans="1:44" outlineLevel="1" x14ac:dyDescent="0.45">
      <c r="A148" s="27">
        <v>46142</v>
      </c>
      <c r="B148" s="28">
        <f t="shared" si="113"/>
        <v>1</v>
      </c>
      <c r="C148" s="14">
        <v>0</v>
      </c>
      <c r="D148" s="15">
        <v>0</v>
      </c>
      <c r="E148" s="16">
        <f t="shared" si="111"/>
        <v>16666.68</v>
      </c>
      <c r="F148" s="2"/>
      <c r="G148" s="33">
        <f t="shared" si="120"/>
        <v>10.050000000000001</v>
      </c>
      <c r="H148" s="34">
        <v>0</v>
      </c>
      <c r="I148" s="16">
        <f t="shared" si="114"/>
        <v>221.10000000000011</v>
      </c>
      <c r="K148" s="14">
        <v>0</v>
      </c>
      <c r="L148" s="15">
        <v>0</v>
      </c>
      <c r="M148" s="16">
        <f t="shared" si="112"/>
        <v>0</v>
      </c>
      <c r="O148" s="33">
        <f t="shared" si="115"/>
        <v>0</v>
      </c>
      <c r="P148" s="34">
        <v>0</v>
      </c>
      <c r="Q148" s="16">
        <f t="shared" si="116"/>
        <v>0</v>
      </c>
      <c r="S148" s="33">
        <v>0</v>
      </c>
      <c r="T148" s="34">
        <v>0</v>
      </c>
      <c r="U148" s="16">
        <f t="shared" si="117"/>
        <v>0</v>
      </c>
      <c r="W148" s="14">
        <f t="shared" si="99"/>
        <v>0</v>
      </c>
      <c r="X148" s="15">
        <v>0</v>
      </c>
      <c r="Y148" s="16">
        <f t="shared" si="118"/>
        <v>0</v>
      </c>
      <c r="Z148" s="70"/>
      <c r="AA148" s="14">
        <f t="shared" si="104"/>
        <v>1.64</v>
      </c>
      <c r="AB148" s="15">
        <v>0</v>
      </c>
      <c r="AC148" s="16">
        <f t="shared" si="105"/>
        <v>36.080000000000005</v>
      </c>
      <c r="AD148" s="70"/>
      <c r="AF148" s="19">
        <v>70</v>
      </c>
      <c r="AG148" s="30">
        <f t="shared" si="106"/>
        <v>46142</v>
      </c>
      <c r="AH148" s="31">
        <f t="shared" si="107"/>
        <v>16666.68</v>
      </c>
      <c r="AI148" s="31">
        <f t="shared" si="108"/>
        <v>0</v>
      </c>
      <c r="AJ148" s="34">
        <f t="shared" si="109"/>
        <v>0</v>
      </c>
      <c r="AK148" s="31">
        <f t="shared" si="110"/>
        <v>0</v>
      </c>
      <c r="AL148" s="32">
        <f t="shared" si="119"/>
        <v>0</v>
      </c>
    </row>
    <row r="149" spans="1:44" outlineLevel="1" x14ac:dyDescent="0.45">
      <c r="A149" s="27">
        <v>46143</v>
      </c>
      <c r="B149" s="28">
        <f t="shared" si="113"/>
        <v>1</v>
      </c>
      <c r="C149" s="14">
        <v>0</v>
      </c>
      <c r="D149" s="15">
        <v>0</v>
      </c>
      <c r="E149" s="16">
        <f t="shared" si="111"/>
        <v>16666.68</v>
      </c>
      <c r="F149" s="2"/>
      <c r="G149" s="33">
        <f t="shared" si="120"/>
        <v>10.050000000000001</v>
      </c>
      <c r="H149" s="34">
        <v>0</v>
      </c>
      <c r="I149" s="16">
        <f t="shared" si="114"/>
        <v>231.15000000000012</v>
      </c>
      <c r="K149" s="14">
        <v>0</v>
      </c>
      <c r="L149" s="15">
        <v>0</v>
      </c>
      <c r="M149" s="16">
        <f t="shared" si="112"/>
        <v>0</v>
      </c>
      <c r="O149" s="33">
        <f t="shared" si="115"/>
        <v>0</v>
      </c>
      <c r="P149" s="34">
        <v>0</v>
      </c>
      <c r="Q149" s="16">
        <f t="shared" si="116"/>
        <v>0</v>
      </c>
      <c r="S149" s="33">
        <v>0</v>
      </c>
      <c r="T149" s="34">
        <v>0</v>
      </c>
      <c r="U149" s="16">
        <f t="shared" si="117"/>
        <v>0</v>
      </c>
      <c r="W149" s="14">
        <f t="shared" si="99"/>
        <v>0</v>
      </c>
      <c r="X149" s="15">
        <v>0</v>
      </c>
      <c r="Y149" s="16">
        <f t="shared" si="118"/>
        <v>0</v>
      </c>
      <c r="Z149" s="70"/>
      <c r="AA149" s="14">
        <f t="shared" si="104"/>
        <v>1.64</v>
      </c>
      <c r="AB149" s="15">
        <v>0</v>
      </c>
      <c r="AC149" s="16">
        <f t="shared" si="105"/>
        <v>37.720000000000006</v>
      </c>
      <c r="AD149" s="70"/>
      <c r="AF149" s="19">
        <v>71</v>
      </c>
      <c r="AG149" s="30">
        <f t="shared" si="106"/>
        <v>46143</v>
      </c>
      <c r="AH149" s="31">
        <f t="shared" si="107"/>
        <v>16666.68</v>
      </c>
      <c r="AI149" s="31">
        <f t="shared" si="108"/>
        <v>0</v>
      </c>
      <c r="AJ149" s="34">
        <f t="shared" si="109"/>
        <v>0</v>
      </c>
      <c r="AK149" s="31">
        <f t="shared" si="110"/>
        <v>0</v>
      </c>
      <c r="AL149" s="32">
        <f t="shared" si="119"/>
        <v>0</v>
      </c>
    </row>
    <row r="150" spans="1:44" outlineLevel="1" x14ac:dyDescent="0.45">
      <c r="A150" s="27">
        <v>46144</v>
      </c>
      <c r="B150" s="28">
        <f t="shared" si="113"/>
        <v>1</v>
      </c>
      <c r="C150" s="14">
        <v>0</v>
      </c>
      <c r="D150" s="15">
        <v>0</v>
      </c>
      <c r="E150" s="16">
        <f t="shared" si="111"/>
        <v>16666.68</v>
      </c>
      <c r="F150" s="2"/>
      <c r="G150" s="33">
        <f t="shared" si="120"/>
        <v>10.050000000000001</v>
      </c>
      <c r="H150" s="34">
        <v>0</v>
      </c>
      <c r="I150" s="16">
        <f t="shared" si="114"/>
        <v>241.20000000000013</v>
      </c>
      <c r="K150" s="14">
        <v>0</v>
      </c>
      <c r="L150" s="15">
        <v>0</v>
      </c>
      <c r="M150" s="16">
        <f t="shared" si="112"/>
        <v>0</v>
      </c>
      <c r="O150" s="33">
        <f t="shared" si="115"/>
        <v>0</v>
      </c>
      <c r="P150" s="34">
        <v>0</v>
      </c>
      <c r="Q150" s="16">
        <f t="shared" si="116"/>
        <v>0</v>
      </c>
      <c r="S150" s="33">
        <v>0</v>
      </c>
      <c r="T150" s="34">
        <v>0</v>
      </c>
      <c r="U150" s="16">
        <f t="shared" si="117"/>
        <v>0</v>
      </c>
      <c r="W150" s="14">
        <f t="shared" si="99"/>
        <v>0</v>
      </c>
      <c r="X150" s="15">
        <v>0</v>
      </c>
      <c r="Y150" s="16">
        <f t="shared" si="118"/>
        <v>0</v>
      </c>
      <c r="Z150" s="70"/>
      <c r="AA150" s="14">
        <f t="shared" si="104"/>
        <v>1.64</v>
      </c>
      <c r="AB150" s="15">
        <v>0</v>
      </c>
      <c r="AC150" s="16">
        <f t="shared" si="105"/>
        <v>39.360000000000007</v>
      </c>
      <c r="AD150" s="70"/>
      <c r="AF150" s="19">
        <v>72</v>
      </c>
      <c r="AG150" s="30">
        <f t="shared" si="106"/>
        <v>46144</v>
      </c>
      <c r="AH150" s="31">
        <f t="shared" si="107"/>
        <v>16666.68</v>
      </c>
      <c r="AI150" s="31">
        <f t="shared" si="108"/>
        <v>0</v>
      </c>
      <c r="AJ150" s="34">
        <f t="shared" si="109"/>
        <v>0</v>
      </c>
      <c r="AK150" s="31">
        <f t="shared" si="110"/>
        <v>0</v>
      </c>
      <c r="AL150" s="32">
        <f t="shared" si="119"/>
        <v>0</v>
      </c>
    </row>
    <row r="151" spans="1:44" outlineLevel="1" x14ac:dyDescent="0.45">
      <c r="A151" s="27">
        <v>46145</v>
      </c>
      <c r="B151" s="28">
        <f t="shared" si="113"/>
        <v>1</v>
      </c>
      <c r="C151" s="14">
        <v>0</v>
      </c>
      <c r="D151" s="15">
        <v>0</v>
      </c>
      <c r="E151" s="16">
        <f t="shared" si="111"/>
        <v>16666.68</v>
      </c>
      <c r="F151" s="2"/>
      <c r="G151" s="33">
        <f t="shared" si="120"/>
        <v>10.050000000000001</v>
      </c>
      <c r="H151" s="34">
        <v>0</v>
      </c>
      <c r="I151" s="16">
        <f t="shared" si="114"/>
        <v>251.25000000000014</v>
      </c>
      <c r="K151" s="14">
        <v>0</v>
      </c>
      <c r="L151" s="15">
        <v>0</v>
      </c>
      <c r="M151" s="16">
        <f t="shared" si="112"/>
        <v>0</v>
      </c>
      <c r="O151" s="33">
        <f t="shared" si="115"/>
        <v>0</v>
      </c>
      <c r="P151" s="34">
        <v>0</v>
      </c>
      <c r="Q151" s="16">
        <f t="shared" si="116"/>
        <v>0</v>
      </c>
      <c r="S151" s="33">
        <v>0</v>
      </c>
      <c r="T151" s="34">
        <v>0</v>
      </c>
      <c r="U151" s="16">
        <f t="shared" si="117"/>
        <v>0</v>
      </c>
      <c r="W151" s="14">
        <f t="shared" si="99"/>
        <v>0</v>
      </c>
      <c r="X151" s="15">
        <v>0</v>
      </c>
      <c r="Y151" s="16">
        <f t="shared" si="118"/>
        <v>0</v>
      </c>
      <c r="Z151" s="70"/>
      <c r="AA151" s="14">
        <f t="shared" si="104"/>
        <v>1.64</v>
      </c>
      <c r="AB151" s="15">
        <v>0</v>
      </c>
      <c r="AC151" s="16">
        <f t="shared" si="105"/>
        <v>41.000000000000007</v>
      </c>
      <c r="AD151" s="70"/>
      <c r="AF151" s="19">
        <v>73</v>
      </c>
      <c r="AG151" s="30">
        <f t="shared" si="106"/>
        <v>46145</v>
      </c>
      <c r="AH151" s="31">
        <f t="shared" si="107"/>
        <v>16666.68</v>
      </c>
      <c r="AI151" s="31">
        <f t="shared" si="108"/>
        <v>0</v>
      </c>
      <c r="AJ151" s="34">
        <f t="shared" si="109"/>
        <v>0</v>
      </c>
      <c r="AK151" s="31">
        <f t="shared" si="110"/>
        <v>0</v>
      </c>
      <c r="AL151" s="32">
        <f t="shared" si="119"/>
        <v>0</v>
      </c>
    </row>
    <row r="152" spans="1:44" outlineLevel="1" x14ac:dyDescent="0.45">
      <c r="A152" s="27">
        <v>46146</v>
      </c>
      <c r="B152" s="28">
        <f t="shared" si="113"/>
        <v>1</v>
      </c>
      <c r="C152" s="14">
        <v>0</v>
      </c>
      <c r="D152" s="15">
        <v>0</v>
      </c>
      <c r="E152" s="16">
        <f t="shared" si="111"/>
        <v>16666.68</v>
      </c>
      <c r="F152" s="2"/>
      <c r="G152" s="33">
        <f t="shared" si="120"/>
        <v>10.050000000000001</v>
      </c>
      <c r="H152" s="34">
        <v>0</v>
      </c>
      <c r="I152" s="16">
        <f t="shared" si="114"/>
        <v>261.30000000000013</v>
      </c>
      <c r="K152" s="14">
        <v>0</v>
      </c>
      <c r="L152" s="15">
        <v>0</v>
      </c>
      <c r="M152" s="16">
        <f t="shared" si="112"/>
        <v>0</v>
      </c>
      <c r="O152" s="33">
        <f t="shared" si="115"/>
        <v>0</v>
      </c>
      <c r="P152" s="34">
        <v>0</v>
      </c>
      <c r="Q152" s="16">
        <f t="shared" si="116"/>
        <v>0</v>
      </c>
      <c r="S152" s="33">
        <v>0</v>
      </c>
      <c r="T152" s="34">
        <v>0</v>
      </c>
      <c r="U152" s="16">
        <f t="shared" si="117"/>
        <v>0</v>
      </c>
      <c r="W152" s="14">
        <f t="shared" si="99"/>
        <v>0</v>
      </c>
      <c r="X152" s="15">
        <v>0</v>
      </c>
      <c r="Y152" s="16">
        <f t="shared" si="118"/>
        <v>0</v>
      </c>
      <c r="Z152" s="70"/>
      <c r="AA152" s="14">
        <f t="shared" si="104"/>
        <v>1.64</v>
      </c>
      <c r="AB152" s="15">
        <v>0</v>
      </c>
      <c r="AC152" s="16">
        <f t="shared" si="105"/>
        <v>42.640000000000008</v>
      </c>
      <c r="AD152" s="70"/>
      <c r="AF152" s="19">
        <v>74</v>
      </c>
      <c r="AG152" s="30">
        <f t="shared" si="106"/>
        <v>46146</v>
      </c>
      <c r="AH152" s="31">
        <f t="shared" si="107"/>
        <v>16666.68</v>
      </c>
      <c r="AI152" s="31">
        <f t="shared" si="108"/>
        <v>0</v>
      </c>
      <c r="AJ152" s="34">
        <f t="shared" si="109"/>
        <v>0</v>
      </c>
      <c r="AK152" s="31">
        <f t="shared" si="110"/>
        <v>0</v>
      </c>
      <c r="AL152" s="32">
        <f t="shared" si="119"/>
        <v>0</v>
      </c>
    </row>
    <row r="153" spans="1:44" outlineLevel="1" x14ac:dyDescent="0.45">
      <c r="A153" s="27">
        <v>46147</v>
      </c>
      <c r="B153" s="28">
        <f t="shared" si="113"/>
        <v>1</v>
      </c>
      <c r="C153" s="14">
        <v>0</v>
      </c>
      <c r="D153" s="15">
        <v>0</v>
      </c>
      <c r="E153" s="16">
        <f t="shared" si="111"/>
        <v>16666.68</v>
      </c>
      <c r="F153" s="2"/>
      <c r="G153" s="33">
        <f t="shared" si="120"/>
        <v>10.050000000000001</v>
      </c>
      <c r="H153" s="34">
        <v>0</v>
      </c>
      <c r="I153" s="16">
        <f t="shared" si="114"/>
        <v>271.35000000000014</v>
      </c>
      <c r="K153" s="14">
        <v>0</v>
      </c>
      <c r="L153" s="15">
        <v>0</v>
      </c>
      <c r="M153" s="16">
        <f t="shared" si="112"/>
        <v>0</v>
      </c>
      <c r="O153" s="33">
        <f t="shared" si="115"/>
        <v>0</v>
      </c>
      <c r="P153" s="34">
        <v>0</v>
      </c>
      <c r="Q153" s="16">
        <f t="shared" si="116"/>
        <v>0</v>
      </c>
      <c r="S153" s="33">
        <v>0</v>
      </c>
      <c r="T153" s="34">
        <v>0</v>
      </c>
      <c r="U153" s="16">
        <f t="shared" si="117"/>
        <v>0</v>
      </c>
      <c r="W153" s="14">
        <f t="shared" si="99"/>
        <v>0</v>
      </c>
      <c r="X153" s="15">
        <v>0</v>
      </c>
      <c r="Y153" s="16">
        <f t="shared" si="118"/>
        <v>0</v>
      </c>
      <c r="Z153" s="70"/>
      <c r="AA153" s="14">
        <f t="shared" si="104"/>
        <v>1.64</v>
      </c>
      <c r="AB153" s="15">
        <v>0</v>
      </c>
      <c r="AC153" s="16">
        <f t="shared" si="105"/>
        <v>44.280000000000008</v>
      </c>
      <c r="AD153" s="70"/>
      <c r="AF153" s="19">
        <v>75</v>
      </c>
      <c r="AG153" s="30">
        <f t="shared" si="106"/>
        <v>46147</v>
      </c>
      <c r="AH153" s="31">
        <f t="shared" si="107"/>
        <v>16666.68</v>
      </c>
      <c r="AI153" s="31">
        <f t="shared" si="108"/>
        <v>0</v>
      </c>
      <c r="AJ153" s="34">
        <f t="shared" si="109"/>
        <v>0</v>
      </c>
      <c r="AK153" s="31">
        <f t="shared" si="110"/>
        <v>0</v>
      </c>
      <c r="AL153" s="32">
        <f t="shared" si="119"/>
        <v>0</v>
      </c>
    </row>
    <row r="154" spans="1:44" outlineLevel="1" x14ac:dyDescent="0.45">
      <c r="A154" s="27">
        <v>46148</v>
      </c>
      <c r="B154" s="28">
        <f t="shared" si="113"/>
        <v>1</v>
      </c>
      <c r="C154" s="14">
        <v>0</v>
      </c>
      <c r="D154" s="15">
        <v>0</v>
      </c>
      <c r="E154" s="16">
        <f t="shared" si="111"/>
        <v>16666.68</v>
      </c>
      <c r="F154" s="2"/>
      <c r="G154" s="33">
        <f t="shared" si="120"/>
        <v>10.050000000000001</v>
      </c>
      <c r="H154" s="34">
        <v>0</v>
      </c>
      <c r="I154" s="16">
        <f t="shared" si="114"/>
        <v>281.40000000000015</v>
      </c>
      <c r="K154" s="14">
        <v>0</v>
      </c>
      <c r="L154" s="15">
        <v>0</v>
      </c>
      <c r="M154" s="16">
        <f t="shared" si="112"/>
        <v>0</v>
      </c>
      <c r="O154" s="33">
        <f t="shared" si="115"/>
        <v>0</v>
      </c>
      <c r="P154" s="34">
        <v>0</v>
      </c>
      <c r="Q154" s="16">
        <f t="shared" si="116"/>
        <v>0</v>
      </c>
      <c r="S154" s="33">
        <v>0</v>
      </c>
      <c r="T154" s="34">
        <v>0</v>
      </c>
      <c r="U154" s="16">
        <f t="shared" si="117"/>
        <v>0</v>
      </c>
      <c r="W154" s="14">
        <f t="shared" si="99"/>
        <v>0</v>
      </c>
      <c r="X154" s="15">
        <v>0</v>
      </c>
      <c r="Y154" s="16">
        <f t="shared" si="118"/>
        <v>0</v>
      </c>
      <c r="Z154" s="70"/>
      <c r="AA154" s="14">
        <f t="shared" si="104"/>
        <v>1.64</v>
      </c>
      <c r="AB154" s="15">
        <v>0</v>
      </c>
      <c r="AC154" s="16">
        <f t="shared" si="105"/>
        <v>45.920000000000009</v>
      </c>
      <c r="AD154" s="70"/>
      <c r="AF154" s="19">
        <v>76</v>
      </c>
      <c r="AG154" s="30">
        <f t="shared" si="106"/>
        <v>46148</v>
      </c>
      <c r="AH154" s="31">
        <f t="shared" si="107"/>
        <v>16666.68</v>
      </c>
      <c r="AI154" s="31">
        <f t="shared" si="108"/>
        <v>0</v>
      </c>
      <c r="AJ154" s="34">
        <f t="shared" si="109"/>
        <v>0</v>
      </c>
      <c r="AK154" s="31">
        <f t="shared" si="110"/>
        <v>0</v>
      </c>
      <c r="AL154" s="32">
        <f t="shared" si="119"/>
        <v>0</v>
      </c>
    </row>
    <row r="155" spans="1:44" outlineLevel="1" x14ac:dyDescent="0.45">
      <c r="A155" s="27">
        <v>46149</v>
      </c>
      <c r="B155" s="28">
        <f t="shared" si="113"/>
        <v>1</v>
      </c>
      <c r="C155" s="14">
        <v>0</v>
      </c>
      <c r="D155" s="15">
        <v>0</v>
      </c>
      <c r="E155" s="16">
        <f t="shared" si="111"/>
        <v>16666.68</v>
      </c>
      <c r="F155" s="2"/>
      <c r="G155" s="33">
        <f t="shared" si="120"/>
        <v>10.050000000000001</v>
      </c>
      <c r="H155" s="34">
        <v>0</v>
      </c>
      <c r="I155" s="16">
        <f t="shared" si="114"/>
        <v>291.45000000000016</v>
      </c>
      <c r="K155" s="14">
        <v>0</v>
      </c>
      <c r="L155" s="15">
        <v>0</v>
      </c>
      <c r="M155" s="16">
        <f t="shared" si="112"/>
        <v>0</v>
      </c>
      <c r="O155" s="33">
        <f t="shared" si="115"/>
        <v>0</v>
      </c>
      <c r="P155" s="34">
        <v>0</v>
      </c>
      <c r="Q155" s="16">
        <f t="shared" si="116"/>
        <v>0</v>
      </c>
      <c r="S155" s="33">
        <v>0</v>
      </c>
      <c r="T155" s="34">
        <v>0</v>
      </c>
      <c r="U155" s="16">
        <f t="shared" si="117"/>
        <v>0</v>
      </c>
      <c r="W155" s="14">
        <f t="shared" si="99"/>
        <v>0</v>
      </c>
      <c r="X155" s="15">
        <v>0</v>
      </c>
      <c r="Y155" s="16">
        <f t="shared" si="118"/>
        <v>0</v>
      </c>
      <c r="Z155" s="70"/>
      <c r="AA155" s="14">
        <f t="shared" si="104"/>
        <v>1.64</v>
      </c>
      <c r="AB155" s="15">
        <v>0</v>
      </c>
      <c r="AC155" s="16">
        <f t="shared" si="105"/>
        <v>47.560000000000009</v>
      </c>
      <c r="AD155" s="70"/>
      <c r="AF155" s="19">
        <v>77</v>
      </c>
      <c r="AG155" s="30">
        <f t="shared" si="106"/>
        <v>46149</v>
      </c>
      <c r="AH155" s="31">
        <f t="shared" si="107"/>
        <v>16666.68</v>
      </c>
      <c r="AI155" s="31">
        <f t="shared" si="108"/>
        <v>0</v>
      </c>
      <c r="AJ155" s="34">
        <f t="shared" si="109"/>
        <v>0</v>
      </c>
      <c r="AK155" s="31">
        <f t="shared" si="110"/>
        <v>0</v>
      </c>
      <c r="AL155" s="32">
        <f t="shared" si="119"/>
        <v>0</v>
      </c>
    </row>
    <row r="156" spans="1:44" outlineLevel="1" x14ac:dyDescent="0.45">
      <c r="A156" s="27">
        <v>46150</v>
      </c>
      <c r="B156" s="28">
        <f t="shared" si="113"/>
        <v>1</v>
      </c>
      <c r="C156" s="14">
        <v>0</v>
      </c>
      <c r="D156" s="15">
        <v>0</v>
      </c>
      <c r="E156" s="16">
        <f t="shared" si="111"/>
        <v>16666.68</v>
      </c>
      <c r="F156" s="2"/>
      <c r="G156" s="33">
        <f t="shared" si="120"/>
        <v>10.050000000000001</v>
      </c>
      <c r="H156" s="34">
        <v>0</v>
      </c>
      <c r="I156" s="16">
        <f t="shared" si="114"/>
        <v>301.50000000000017</v>
      </c>
      <c r="K156" s="14">
        <v>0</v>
      </c>
      <c r="L156" s="15">
        <v>0</v>
      </c>
      <c r="M156" s="16">
        <f t="shared" si="112"/>
        <v>0</v>
      </c>
      <c r="O156" s="33">
        <f t="shared" si="115"/>
        <v>0</v>
      </c>
      <c r="P156" s="34">
        <v>0</v>
      </c>
      <c r="Q156" s="16">
        <f t="shared" si="116"/>
        <v>0</v>
      </c>
      <c r="S156" s="33">
        <v>0</v>
      </c>
      <c r="T156" s="34">
        <v>0</v>
      </c>
      <c r="U156" s="16">
        <f t="shared" si="117"/>
        <v>0</v>
      </c>
      <c r="W156" s="14">
        <f t="shared" si="99"/>
        <v>0</v>
      </c>
      <c r="X156" s="15">
        <v>0</v>
      </c>
      <c r="Y156" s="16">
        <f t="shared" si="118"/>
        <v>0</v>
      </c>
      <c r="Z156" s="70"/>
      <c r="AA156" s="14">
        <f t="shared" si="104"/>
        <v>1.64</v>
      </c>
      <c r="AB156" s="15">
        <v>0</v>
      </c>
      <c r="AC156" s="16">
        <f t="shared" si="105"/>
        <v>49.20000000000001</v>
      </c>
      <c r="AD156" s="70"/>
      <c r="AF156" s="19">
        <v>78</v>
      </c>
      <c r="AG156" s="30">
        <f t="shared" si="106"/>
        <v>46150</v>
      </c>
      <c r="AH156" s="31">
        <f t="shared" si="107"/>
        <v>16666.68</v>
      </c>
      <c r="AI156" s="31">
        <f t="shared" si="108"/>
        <v>0</v>
      </c>
      <c r="AJ156" s="34">
        <f t="shared" si="109"/>
        <v>0</v>
      </c>
      <c r="AK156" s="31">
        <f t="shared" si="110"/>
        <v>0</v>
      </c>
      <c r="AL156" s="32">
        <f t="shared" si="119"/>
        <v>0</v>
      </c>
    </row>
    <row r="157" spans="1:44" outlineLevel="1" x14ac:dyDescent="0.45">
      <c r="A157" s="27">
        <v>46151</v>
      </c>
      <c r="B157" s="28">
        <f t="shared" si="113"/>
        <v>1</v>
      </c>
      <c r="C157" s="14">
        <v>0</v>
      </c>
      <c r="D157" s="15">
        <v>0</v>
      </c>
      <c r="E157" s="16">
        <f t="shared" si="111"/>
        <v>16666.68</v>
      </c>
      <c r="F157" s="2"/>
      <c r="G157" s="33">
        <f t="shared" si="120"/>
        <v>10.050000000000001</v>
      </c>
      <c r="H157" s="34">
        <v>0</v>
      </c>
      <c r="I157" s="16">
        <f t="shared" si="114"/>
        <v>311.55000000000018</v>
      </c>
      <c r="K157" s="14">
        <v>0</v>
      </c>
      <c r="L157" s="15">
        <v>0</v>
      </c>
      <c r="M157" s="16">
        <f t="shared" si="112"/>
        <v>0</v>
      </c>
      <c r="O157" s="33">
        <f t="shared" si="115"/>
        <v>0</v>
      </c>
      <c r="P157" s="34">
        <v>0</v>
      </c>
      <c r="Q157" s="16">
        <f t="shared" si="116"/>
        <v>0</v>
      </c>
      <c r="S157" s="33">
        <v>0</v>
      </c>
      <c r="T157" s="34">
        <v>0</v>
      </c>
      <c r="U157" s="16">
        <f t="shared" si="117"/>
        <v>0</v>
      </c>
      <c r="W157" s="14">
        <f t="shared" si="99"/>
        <v>0</v>
      </c>
      <c r="X157" s="15">
        <v>0</v>
      </c>
      <c r="Y157" s="16">
        <f t="shared" si="118"/>
        <v>0</v>
      </c>
      <c r="Z157" s="70"/>
      <c r="AA157" s="14">
        <f t="shared" si="104"/>
        <v>1.64</v>
      </c>
      <c r="AB157" s="15">
        <v>0</v>
      </c>
      <c r="AC157" s="16">
        <f t="shared" si="105"/>
        <v>50.840000000000011</v>
      </c>
      <c r="AD157" s="70"/>
      <c r="AF157" s="19">
        <v>79</v>
      </c>
      <c r="AG157" s="30">
        <f t="shared" si="106"/>
        <v>46151</v>
      </c>
      <c r="AH157" s="31">
        <f t="shared" si="107"/>
        <v>16666.68</v>
      </c>
      <c r="AI157" s="31">
        <f t="shared" si="108"/>
        <v>0</v>
      </c>
      <c r="AJ157" s="34">
        <f t="shared" si="109"/>
        <v>0</v>
      </c>
      <c r="AK157" s="31">
        <f t="shared" si="110"/>
        <v>0</v>
      </c>
      <c r="AL157" s="32">
        <f t="shared" si="119"/>
        <v>0</v>
      </c>
    </row>
    <row r="158" spans="1:44" s="39" customFormat="1" x14ac:dyDescent="0.45">
      <c r="A158" s="27">
        <v>46152</v>
      </c>
      <c r="B158" s="35">
        <f t="shared" si="113"/>
        <v>1</v>
      </c>
      <c r="C158" s="36">
        <v>0</v>
      </c>
      <c r="D158" s="37">
        <v>833.33</v>
      </c>
      <c r="E158" s="38">
        <f t="shared" si="111"/>
        <v>15833.35</v>
      </c>
      <c r="G158" s="33">
        <f t="shared" si="120"/>
        <v>9.5399999999999991</v>
      </c>
      <c r="H158" s="37">
        <f>I157</f>
        <v>311.55000000000018</v>
      </c>
      <c r="I158" s="38">
        <f t="shared" si="114"/>
        <v>9.5400000000000205</v>
      </c>
      <c r="K158" s="36">
        <v>0</v>
      </c>
      <c r="L158" s="37">
        <v>0</v>
      </c>
      <c r="M158" s="38">
        <f t="shared" si="112"/>
        <v>0</v>
      </c>
      <c r="O158" s="33">
        <f t="shared" si="115"/>
        <v>0</v>
      </c>
      <c r="P158" s="37">
        <f>Q157+O158</f>
        <v>0</v>
      </c>
      <c r="Q158" s="38">
        <f t="shared" si="116"/>
        <v>0</v>
      </c>
      <c r="S158" s="36">
        <v>0</v>
      </c>
      <c r="T158" s="37">
        <f>U157+S158</f>
        <v>0</v>
      </c>
      <c r="U158" s="38">
        <f t="shared" si="117"/>
        <v>0</v>
      </c>
      <c r="W158" s="14">
        <f t="shared" si="99"/>
        <v>0</v>
      </c>
      <c r="X158" s="15">
        <v>0</v>
      </c>
      <c r="Y158" s="38">
        <f t="shared" si="118"/>
        <v>0</v>
      </c>
      <c r="Z158" s="85"/>
      <c r="AA158" s="36">
        <f t="shared" si="104"/>
        <v>1.64</v>
      </c>
      <c r="AB158" s="37">
        <f>AC157</f>
        <v>50.840000000000011</v>
      </c>
      <c r="AC158" s="38">
        <f t="shared" si="105"/>
        <v>1.6400000000000006</v>
      </c>
      <c r="AD158" s="85"/>
      <c r="AF158" s="40">
        <v>30</v>
      </c>
      <c r="AG158" s="41">
        <f t="shared" si="106"/>
        <v>46152</v>
      </c>
      <c r="AH158" s="42">
        <f t="shared" si="107"/>
        <v>15833.35</v>
      </c>
      <c r="AI158" s="42">
        <f t="shared" si="108"/>
        <v>833.33</v>
      </c>
      <c r="AJ158" s="37">
        <f t="shared" si="109"/>
        <v>311.55000000000018</v>
      </c>
      <c r="AK158" s="42">
        <f>AC157</f>
        <v>50.840000000000011</v>
      </c>
      <c r="AL158" s="43">
        <f>AI158+AJ158+AK158</f>
        <v>1195.72</v>
      </c>
      <c r="AM158" s="44">
        <f>AL158</f>
        <v>1195.72</v>
      </c>
      <c r="AN158" s="44"/>
      <c r="AO158" s="5"/>
      <c r="AP158" s="46"/>
      <c r="AQ158" s="44"/>
      <c r="AR158" s="44"/>
    </row>
    <row r="159" spans="1:44" ht="15.75" hidden="1" customHeight="1" outlineLevel="1" x14ac:dyDescent="0.45">
      <c r="A159" s="27">
        <v>46153</v>
      </c>
      <c r="B159" s="28">
        <f t="shared" si="113"/>
        <v>1</v>
      </c>
      <c r="C159" s="14">
        <v>0</v>
      </c>
      <c r="D159" s="15">
        <v>0</v>
      </c>
      <c r="E159" s="16">
        <f t="shared" si="111"/>
        <v>15833.35</v>
      </c>
      <c r="F159" s="2"/>
      <c r="G159" s="33">
        <f t="shared" si="120"/>
        <v>9.5399999999999991</v>
      </c>
      <c r="H159" s="34">
        <v>0</v>
      </c>
      <c r="I159" s="16">
        <f t="shared" si="114"/>
        <v>19.08000000000002</v>
      </c>
      <c r="K159" s="14">
        <v>0</v>
      </c>
      <c r="L159" s="15">
        <v>0</v>
      </c>
      <c r="M159" s="16">
        <f t="shared" si="112"/>
        <v>0</v>
      </c>
      <c r="O159" s="33">
        <f t="shared" si="115"/>
        <v>0</v>
      </c>
      <c r="P159" s="34">
        <v>0</v>
      </c>
      <c r="Q159" s="16">
        <f t="shared" si="116"/>
        <v>0</v>
      </c>
      <c r="S159" s="33">
        <v>0</v>
      </c>
      <c r="T159" s="34">
        <v>0</v>
      </c>
      <c r="U159" s="16">
        <f t="shared" si="117"/>
        <v>0</v>
      </c>
      <c r="W159" s="14">
        <f t="shared" si="99"/>
        <v>0</v>
      </c>
      <c r="X159" s="15">
        <v>0</v>
      </c>
      <c r="Y159" s="16">
        <f t="shared" si="118"/>
        <v>0</v>
      </c>
      <c r="Z159" s="70"/>
      <c r="AA159" s="14">
        <f t="shared" si="104"/>
        <v>1.64</v>
      </c>
      <c r="AB159" s="15">
        <v>0</v>
      </c>
      <c r="AC159" s="16">
        <f t="shared" si="105"/>
        <v>3.2800000000000002</v>
      </c>
      <c r="AD159" s="70"/>
      <c r="AF159" s="19">
        <v>50</v>
      </c>
      <c r="AG159" s="30">
        <f t="shared" si="106"/>
        <v>46153</v>
      </c>
      <c r="AH159" s="31">
        <f t="shared" si="107"/>
        <v>15833.35</v>
      </c>
      <c r="AI159" s="31">
        <f t="shared" si="108"/>
        <v>0</v>
      </c>
      <c r="AJ159" s="34">
        <f t="shared" si="109"/>
        <v>0</v>
      </c>
      <c r="AK159" s="31">
        <f t="shared" si="110"/>
        <v>0</v>
      </c>
      <c r="AL159" s="32">
        <f t="shared" si="119"/>
        <v>0</v>
      </c>
    </row>
    <row r="160" spans="1:44" ht="15.75" hidden="1" customHeight="1" outlineLevel="1" x14ac:dyDescent="0.45">
      <c r="A160" s="27">
        <v>46154</v>
      </c>
      <c r="B160" s="28">
        <f t="shared" si="113"/>
        <v>1</v>
      </c>
      <c r="C160" s="14">
        <v>0</v>
      </c>
      <c r="D160" s="15">
        <v>0</v>
      </c>
      <c r="E160" s="16">
        <f t="shared" si="111"/>
        <v>15833.35</v>
      </c>
      <c r="F160" s="2"/>
      <c r="G160" s="33">
        <f t="shared" si="120"/>
        <v>9.5399999999999991</v>
      </c>
      <c r="H160" s="34">
        <v>0</v>
      </c>
      <c r="I160" s="16">
        <f t="shared" si="114"/>
        <v>28.620000000000019</v>
      </c>
      <c r="K160" s="14">
        <v>0</v>
      </c>
      <c r="L160" s="15">
        <v>0</v>
      </c>
      <c r="M160" s="16">
        <f t="shared" si="112"/>
        <v>0</v>
      </c>
      <c r="O160" s="33">
        <f t="shared" si="115"/>
        <v>0</v>
      </c>
      <c r="P160" s="34">
        <v>0</v>
      </c>
      <c r="Q160" s="16">
        <f t="shared" si="116"/>
        <v>0</v>
      </c>
      <c r="S160" s="33">
        <v>0</v>
      </c>
      <c r="T160" s="34">
        <v>0</v>
      </c>
      <c r="U160" s="16">
        <f t="shared" si="117"/>
        <v>0</v>
      </c>
      <c r="W160" s="14">
        <f t="shared" si="99"/>
        <v>0</v>
      </c>
      <c r="X160" s="15">
        <v>0</v>
      </c>
      <c r="Y160" s="16">
        <f t="shared" si="118"/>
        <v>0</v>
      </c>
      <c r="Z160" s="70"/>
      <c r="AA160" s="14">
        <f t="shared" si="104"/>
        <v>1.64</v>
      </c>
      <c r="AB160" s="15">
        <v>0</v>
      </c>
      <c r="AC160" s="16">
        <f t="shared" si="105"/>
        <v>4.92</v>
      </c>
      <c r="AD160" s="70"/>
      <c r="AF160" s="19">
        <v>51</v>
      </c>
      <c r="AG160" s="30">
        <f t="shared" si="106"/>
        <v>46154</v>
      </c>
      <c r="AH160" s="31">
        <f t="shared" si="107"/>
        <v>15833.35</v>
      </c>
      <c r="AI160" s="31">
        <f t="shared" si="108"/>
        <v>0</v>
      </c>
      <c r="AJ160" s="34">
        <f t="shared" si="109"/>
        <v>0</v>
      </c>
      <c r="AK160" s="31">
        <f t="shared" si="110"/>
        <v>0</v>
      </c>
      <c r="AL160" s="32">
        <f t="shared" si="119"/>
        <v>0</v>
      </c>
    </row>
    <row r="161" spans="1:38" ht="15.75" hidden="1" customHeight="1" outlineLevel="1" x14ac:dyDescent="0.45">
      <c r="A161" s="27">
        <v>46155</v>
      </c>
      <c r="B161" s="28">
        <f t="shared" si="113"/>
        <v>1</v>
      </c>
      <c r="C161" s="14">
        <v>0</v>
      </c>
      <c r="D161" s="15">
        <v>0</v>
      </c>
      <c r="E161" s="16">
        <f t="shared" si="111"/>
        <v>15833.35</v>
      </c>
      <c r="F161" s="2"/>
      <c r="G161" s="33">
        <f t="shared" si="120"/>
        <v>9.5399999999999991</v>
      </c>
      <c r="H161" s="34">
        <v>0</v>
      </c>
      <c r="I161" s="16">
        <f t="shared" si="114"/>
        <v>38.160000000000018</v>
      </c>
      <c r="K161" s="14">
        <v>0</v>
      </c>
      <c r="L161" s="15">
        <v>0</v>
      </c>
      <c r="M161" s="16">
        <f t="shared" si="112"/>
        <v>0</v>
      </c>
      <c r="O161" s="33">
        <f t="shared" si="115"/>
        <v>0</v>
      </c>
      <c r="P161" s="34">
        <v>0</v>
      </c>
      <c r="Q161" s="16">
        <f t="shared" si="116"/>
        <v>0</v>
      </c>
      <c r="S161" s="33">
        <v>0</v>
      </c>
      <c r="T161" s="34">
        <v>0</v>
      </c>
      <c r="U161" s="16">
        <f t="shared" si="117"/>
        <v>0</v>
      </c>
      <c r="W161" s="14">
        <f t="shared" si="99"/>
        <v>0</v>
      </c>
      <c r="X161" s="15">
        <v>0</v>
      </c>
      <c r="Y161" s="16">
        <f t="shared" si="118"/>
        <v>0</v>
      </c>
      <c r="Z161" s="70"/>
      <c r="AA161" s="14">
        <f t="shared" si="104"/>
        <v>1.64</v>
      </c>
      <c r="AB161" s="15">
        <v>0</v>
      </c>
      <c r="AC161" s="16">
        <f t="shared" si="105"/>
        <v>6.56</v>
      </c>
      <c r="AD161" s="70"/>
      <c r="AF161" s="19">
        <v>52</v>
      </c>
      <c r="AG161" s="30">
        <f t="shared" si="106"/>
        <v>46155</v>
      </c>
      <c r="AH161" s="31">
        <f t="shared" si="107"/>
        <v>15833.35</v>
      </c>
      <c r="AI161" s="31">
        <f t="shared" si="108"/>
        <v>0</v>
      </c>
      <c r="AJ161" s="34">
        <f t="shared" si="109"/>
        <v>0</v>
      </c>
      <c r="AK161" s="31">
        <f t="shared" si="110"/>
        <v>0</v>
      </c>
      <c r="AL161" s="32">
        <f t="shared" si="119"/>
        <v>0</v>
      </c>
    </row>
    <row r="162" spans="1:38" ht="15.75" hidden="1" customHeight="1" outlineLevel="1" x14ac:dyDescent="0.45">
      <c r="A162" s="27">
        <v>46156</v>
      </c>
      <c r="B162" s="28">
        <f t="shared" si="113"/>
        <v>1</v>
      </c>
      <c r="C162" s="14">
        <v>0</v>
      </c>
      <c r="D162" s="15">
        <v>0</v>
      </c>
      <c r="E162" s="16">
        <f t="shared" si="111"/>
        <v>15833.35</v>
      </c>
      <c r="F162" s="2"/>
      <c r="G162" s="33">
        <f t="shared" si="120"/>
        <v>9.5399999999999991</v>
      </c>
      <c r="H162" s="34">
        <v>0</v>
      </c>
      <c r="I162" s="16">
        <f t="shared" si="114"/>
        <v>47.700000000000017</v>
      </c>
      <c r="K162" s="14">
        <v>0</v>
      </c>
      <c r="L162" s="15">
        <v>0</v>
      </c>
      <c r="M162" s="16">
        <f t="shared" si="112"/>
        <v>0</v>
      </c>
      <c r="O162" s="33">
        <f t="shared" si="115"/>
        <v>0</v>
      </c>
      <c r="P162" s="34">
        <v>0</v>
      </c>
      <c r="Q162" s="16">
        <f t="shared" si="116"/>
        <v>0</v>
      </c>
      <c r="S162" s="33">
        <v>0</v>
      </c>
      <c r="T162" s="34">
        <v>0</v>
      </c>
      <c r="U162" s="16">
        <f t="shared" si="117"/>
        <v>0</v>
      </c>
      <c r="W162" s="14">
        <f t="shared" si="99"/>
        <v>0</v>
      </c>
      <c r="X162" s="15">
        <v>0</v>
      </c>
      <c r="Y162" s="16">
        <f t="shared" si="118"/>
        <v>0</v>
      </c>
      <c r="Z162" s="70"/>
      <c r="AA162" s="14">
        <f t="shared" si="104"/>
        <v>1.64</v>
      </c>
      <c r="AB162" s="15">
        <v>0</v>
      </c>
      <c r="AC162" s="16">
        <f t="shared" si="105"/>
        <v>8.1999999999999993</v>
      </c>
      <c r="AD162" s="70"/>
      <c r="AF162" s="19">
        <v>53</v>
      </c>
      <c r="AG162" s="30">
        <f t="shared" si="106"/>
        <v>46156</v>
      </c>
      <c r="AH162" s="31">
        <f t="shared" si="107"/>
        <v>15833.35</v>
      </c>
      <c r="AI162" s="31">
        <f t="shared" si="108"/>
        <v>0</v>
      </c>
      <c r="AJ162" s="34">
        <f t="shared" si="109"/>
        <v>0</v>
      </c>
      <c r="AK162" s="31">
        <f t="shared" si="110"/>
        <v>0</v>
      </c>
      <c r="AL162" s="32">
        <f t="shared" si="119"/>
        <v>0</v>
      </c>
    </row>
    <row r="163" spans="1:38" hidden="1" outlineLevel="1" x14ac:dyDescent="0.45">
      <c r="A163" s="27">
        <v>46157</v>
      </c>
      <c r="B163" s="28">
        <f t="shared" si="113"/>
        <v>1</v>
      </c>
      <c r="C163" s="14">
        <v>0</v>
      </c>
      <c r="D163" s="15">
        <v>0</v>
      </c>
      <c r="E163" s="16">
        <f t="shared" si="111"/>
        <v>15833.35</v>
      </c>
      <c r="F163" s="2"/>
      <c r="G163" s="33">
        <f t="shared" si="120"/>
        <v>9.5399999999999991</v>
      </c>
      <c r="H163" s="34">
        <v>0</v>
      </c>
      <c r="I163" s="16">
        <f t="shared" si="114"/>
        <v>57.240000000000016</v>
      </c>
      <c r="K163" s="14">
        <v>0</v>
      </c>
      <c r="L163" s="15">
        <v>0</v>
      </c>
      <c r="M163" s="16">
        <f t="shared" si="112"/>
        <v>0</v>
      </c>
      <c r="O163" s="33">
        <f t="shared" si="115"/>
        <v>0</v>
      </c>
      <c r="P163" s="34">
        <v>0</v>
      </c>
      <c r="Q163" s="16">
        <f t="shared" si="116"/>
        <v>0</v>
      </c>
      <c r="S163" s="33">
        <v>0</v>
      </c>
      <c r="T163" s="34">
        <v>0</v>
      </c>
      <c r="U163" s="16">
        <f t="shared" si="117"/>
        <v>0</v>
      </c>
      <c r="W163" s="14">
        <f t="shared" ref="W163:W226" si="121">ROUND(M162*$W$5*B163,2)</f>
        <v>0</v>
      </c>
      <c r="X163" s="15">
        <v>0</v>
      </c>
      <c r="Y163" s="16">
        <f t="shared" si="118"/>
        <v>0</v>
      </c>
      <c r="Z163" s="70"/>
      <c r="AA163" s="14">
        <f t="shared" si="104"/>
        <v>1.64</v>
      </c>
      <c r="AB163" s="15">
        <v>0</v>
      </c>
      <c r="AC163" s="16">
        <f t="shared" si="105"/>
        <v>9.84</v>
      </c>
      <c r="AD163" s="70"/>
      <c r="AF163" s="19">
        <v>54</v>
      </c>
      <c r="AG163" s="30">
        <f t="shared" si="106"/>
        <v>46157</v>
      </c>
      <c r="AH163" s="31">
        <f t="shared" si="107"/>
        <v>15833.35</v>
      </c>
      <c r="AI163" s="31">
        <f t="shared" si="108"/>
        <v>0</v>
      </c>
      <c r="AJ163" s="34">
        <f t="shared" si="109"/>
        <v>0</v>
      </c>
      <c r="AK163" s="31">
        <f t="shared" si="110"/>
        <v>0</v>
      </c>
      <c r="AL163" s="32">
        <f t="shared" si="119"/>
        <v>0</v>
      </c>
    </row>
    <row r="164" spans="1:38" hidden="1" outlineLevel="1" x14ac:dyDescent="0.45">
      <c r="A164" s="27">
        <v>46158</v>
      </c>
      <c r="B164" s="28">
        <f t="shared" si="113"/>
        <v>1</v>
      </c>
      <c r="C164" s="14">
        <v>0</v>
      </c>
      <c r="D164" s="15">
        <v>0</v>
      </c>
      <c r="E164" s="16">
        <f t="shared" si="111"/>
        <v>15833.35</v>
      </c>
      <c r="F164" s="2"/>
      <c r="G164" s="33">
        <f t="shared" si="120"/>
        <v>9.5399999999999991</v>
      </c>
      <c r="H164" s="34">
        <v>0</v>
      </c>
      <c r="I164" s="16">
        <f t="shared" si="114"/>
        <v>66.780000000000015</v>
      </c>
      <c r="K164" s="14">
        <v>0</v>
      </c>
      <c r="L164" s="15">
        <v>0</v>
      </c>
      <c r="M164" s="16">
        <f t="shared" si="112"/>
        <v>0</v>
      </c>
      <c r="O164" s="33">
        <f t="shared" si="115"/>
        <v>0</v>
      </c>
      <c r="P164" s="34">
        <v>0</v>
      </c>
      <c r="Q164" s="16">
        <f t="shared" si="116"/>
        <v>0</v>
      </c>
      <c r="S164" s="33">
        <v>0</v>
      </c>
      <c r="T164" s="34">
        <v>0</v>
      </c>
      <c r="U164" s="16">
        <f t="shared" si="117"/>
        <v>0</v>
      </c>
      <c r="W164" s="14">
        <f t="shared" si="121"/>
        <v>0</v>
      </c>
      <c r="X164" s="15">
        <v>0</v>
      </c>
      <c r="Y164" s="16">
        <f t="shared" si="118"/>
        <v>0</v>
      </c>
      <c r="Z164" s="70"/>
      <c r="AA164" s="14">
        <f t="shared" si="104"/>
        <v>1.64</v>
      </c>
      <c r="AB164" s="15">
        <v>0</v>
      </c>
      <c r="AC164" s="16">
        <f t="shared" si="105"/>
        <v>11.48</v>
      </c>
      <c r="AD164" s="70"/>
      <c r="AF164" s="19">
        <v>55</v>
      </c>
      <c r="AG164" s="30">
        <f t="shared" si="106"/>
        <v>46158</v>
      </c>
      <c r="AH164" s="31">
        <f t="shared" si="107"/>
        <v>15833.35</v>
      </c>
      <c r="AI164" s="31">
        <f t="shared" si="108"/>
        <v>0</v>
      </c>
      <c r="AJ164" s="34">
        <f t="shared" si="109"/>
        <v>0</v>
      </c>
      <c r="AK164" s="31">
        <f t="shared" si="110"/>
        <v>0</v>
      </c>
      <c r="AL164" s="32">
        <f t="shared" si="119"/>
        <v>0</v>
      </c>
    </row>
    <row r="165" spans="1:38" hidden="1" outlineLevel="1" x14ac:dyDescent="0.45">
      <c r="A165" s="27">
        <v>46159</v>
      </c>
      <c r="B165" s="28">
        <f t="shared" si="113"/>
        <v>1</v>
      </c>
      <c r="C165" s="14">
        <v>0</v>
      </c>
      <c r="D165" s="15">
        <v>0</v>
      </c>
      <c r="E165" s="16">
        <f t="shared" si="111"/>
        <v>15833.35</v>
      </c>
      <c r="F165" s="2"/>
      <c r="G165" s="33">
        <f t="shared" si="120"/>
        <v>9.5399999999999991</v>
      </c>
      <c r="H165" s="34">
        <v>0</v>
      </c>
      <c r="I165" s="16">
        <f t="shared" si="114"/>
        <v>76.320000000000022</v>
      </c>
      <c r="K165" s="14">
        <v>0</v>
      </c>
      <c r="L165" s="15">
        <v>0</v>
      </c>
      <c r="M165" s="16">
        <f t="shared" si="112"/>
        <v>0</v>
      </c>
      <c r="O165" s="33">
        <f t="shared" si="115"/>
        <v>0</v>
      </c>
      <c r="P165" s="34">
        <v>0</v>
      </c>
      <c r="Q165" s="16">
        <f t="shared" si="116"/>
        <v>0</v>
      </c>
      <c r="S165" s="33">
        <v>0</v>
      </c>
      <c r="T165" s="34">
        <v>0</v>
      </c>
      <c r="U165" s="16">
        <f t="shared" si="117"/>
        <v>0</v>
      </c>
      <c r="W165" s="14">
        <f t="shared" si="121"/>
        <v>0</v>
      </c>
      <c r="X165" s="15">
        <v>0</v>
      </c>
      <c r="Y165" s="16">
        <f t="shared" si="118"/>
        <v>0</v>
      </c>
      <c r="Z165" s="70"/>
      <c r="AA165" s="14">
        <f t="shared" si="104"/>
        <v>1.64</v>
      </c>
      <c r="AB165" s="15">
        <v>0</v>
      </c>
      <c r="AC165" s="16">
        <f t="shared" si="105"/>
        <v>13.120000000000001</v>
      </c>
      <c r="AD165" s="70"/>
      <c r="AF165" s="19">
        <v>56</v>
      </c>
      <c r="AG165" s="30">
        <f t="shared" si="106"/>
        <v>46159</v>
      </c>
      <c r="AH165" s="31">
        <f t="shared" si="107"/>
        <v>15833.35</v>
      </c>
      <c r="AI165" s="31">
        <f t="shared" si="108"/>
        <v>0</v>
      </c>
      <c r="AJ165" s="34">
        <f t="shared" si="109"/>
        <v>0</v>
      </c>
      <c r="AK165" s="31">
        <f t="shared" si="110"/>
        <v>0</v>
      </c>
      <c r="AL165" s="32">
        <f t="shared" si="119"/>
        <v>0</v>
      </c>
    </row>
    <row r="166" spans="1:38" hidden="1" outlineLevel="1" x14ac:dyDescent="0.45">
      <c r="A166" s="27">
        <v>46160</v>
      </c>
      <c r="B166" s="28">
        <f t="shared" si="113"/>
        <v>1</v>
      </c>
      <c r="C166" s="14">
        <v>0</v>
      </c>
      <c r="D166" s="15">
        <v>0</v>
      </c>
      <c r="E166" s="16">
        <f t="shared" si="111"/>
        <v>15833.35</v>
      </c>
      <c r="F166" s="2"/>
      <c r="G166" s="33">
        <f t="shared" si="120"/>
        <v>9.5399999999999991</v>
      </c>
      <c r="H166" s="34">
        <v>0</v>
      </c>
      <c r="I166" s="16">
        <f t="shared" si="114"/>
        <v>85.860000000000014</v>
      </c>
      <c r="K166" s="14">
        <v>0</v>
      </c>
      <c r="L166" s="15">
        <v>0</v>
      </c>
      <c r="M166" s="16">
        <f t="shared" si="112"/>
        <v>0</v>
      </c>
      <c r="O166" s="33">
        <f t="shared" si="115"/>
        <v>0</v>
      </c>
      <c r="P166" s="34">
        <v>0</v>
      </c>
      <c r="Q166" s="16">
        <f t="shared" si="116"/>
        <v>0</v>
      </c>
      <c r="S166" s="33">
        <v>0</v>
      </c>
      <c r="T166" s="34">
        <v>0</v>
      </c>
      <c r="U166" s="16">
        <f t="shared" si="117"/>
        <v>0</v>
      </c>
      <c r="W166" s="14">
        <f t="shared" si="121"/>
        <v>0</v>
      </c>
      <c r="X166" s="15">
        <v>0</v>
      </c>
      <c r="Y166" s="16">
        <f t="shared" si="118"/>
        <v>0</v>
      </c>
      <c r="Z166" s="70"/>
      <c r="AA166" s="14">
        <f t="shared" si="104"/>
        <v>1.64</v>
      </c>
      <c r="AB166" s="15">
        <v>0</v>
      </c>
      <c r="AC166" s="16">
        <f t="shared" si="105"/>
        <v>14.760000000000002</v>
      </c>
      <c r="AD166" s="70"/>
      <c r="AF166" s="19">
        <v>57</v>
      </c>
      <c r="AG166" s="30">
        <f t="shared" si="106"/>
        <v>46160</v>
      </c>
      <c r="AH166" s="31">
        <f t="shared" si="107"/>
        <v>15833.35</v>
      </c>
      <c r="AI166" s="31">
        <f t="shared" si="108"/>
        <v>0</v>
      </c>
      <c r="AJ166" s="34">
        <f t="shared" si="109"/>
        <v>0</v>
      </c>
      <c r="AK166" s="31">
        <f t="shared" si="110"/>
        <v>0</v>
      </c>
      <c r="AL166" s="32">
        <f t="shared" si="119"/>
        <v>0</v>
      </c>
    </row>
    <row r="167" spans="1:38" hidden="1" outlineLevel="1" x14ac:dyDescent="0.45">
      <c r="A167" s="27">
        <v>46161</v>
      </c>
      <c r="B167" s="28">
        <f t="shared" si="113"/>
        <v>1</v>
      </c>
      <c r="C167" s="14">
        <v>0</v>
      </c>
      <c r="D167" s="15">
        <v>0</v>
      </c>
      <c r="E167" s="16">
        <f t="shared" si="111"/>
        <v>15833.35</v>
      </c>
      <c r="F167" s="2"/>
      <c r="G167" s="33">
        <f t="shared" si="120"/>
        <v>9.5399999999999991</v>
      </c>
      <c r="H167" s="34">
        <v>0</v>
      </c>
      <c r="I167" s="16">
        <f t="shared" si="114"/>
        <v>95.4</v>
      </c>
      <c r="K167" s="14">
        <v>0</v>
      </c>
      <c r="L167" s="15">
        <v>0</v>
      </c>
      <c r="M167" s="16">
        <f t="shared" si="112"/>
        <v>0</v>
      </c>
      <c r="O167" s="33">
        <f t="shared" si="115"/>
        <v>0</v>
      </c>
      <c r="P167" s="34">
        <v>0</v>
      </c>
      <c r="Q167" s="16">
        <f t="shared" si="116"/>
        <v>0</v>
      </c>
      <c r="S167" s="33">
        <v>0</v>
      </c>
      <c r="T167" s="34">
        <v>0</v>
      </c>
      <c r="U167" s="16">
        <f t="shared" si="117"/>
        <v>0</v>
      </c>
      <c r="W167" s="14">
        <f t="shared" si="121"/>
        <v>0</v>
      </c>
      <c r="X167" s="15">
        <v>0</v>
      </c>
      <c r="Y167" s="16">
        <f t="shared" si="118"/>
        <v>0</v>
      </c>
      <c r="Z167" s="70"/>
      <c r="AA167" s="14">
        <f t="shared" si="104"/>
        <v>1.64</v>
      </c>
      <c r="AB167" s="15">
        <v>0</v>
      </c>
      <c r="AC167" s="16">
        <f t="shared" si="105"/>
        <v>16.400000000000002</v>
      </c>
      <c r="AD167" s="70"/>
      <c r="AF167" s="19">
        <v>58</v>
      </c>
      <c r="AG167" s="30">
        <f t="shared" si="106"/>
        <v>46161</v>
      </c>
      <c r="AH167" s="31">
        <f t="shared" si="107"/>
        <v>15833.35</v>
      </c>
      <c r="AI167" s="31">
        <f t="shared" si="108"/>
        <v>0</v>
      </c>
      <c r="AJ167" s="34">
        <f t="shared" si="109"/>
        <v>0</v>
      </c>
      <c r="AK167" s="31">
        <f t="shared" si="110"/>
        <v>0</v>
      </c>
      <c r="AL167" s="32">
        <f t="shared" si="119"/>
        <v>0</v>
      </c>
    </row>
    <row r="168" spans="1:38" hidden="1" outlineLevel="1" x14ac:dyDescent="0.45">
      <c r="A168" s="27">
        <v>46162</v>
      </c>
      <c r="B168" s="28">
        <f t="shared" si="113"/>
        <v>1</v>
      </c>
      <c r="C168" s="14">
        <v>0</v>
      </c>
      <c r="D168" s="15">
        <v>0</v>
      </c>
      <c r="E168" s="16">
        <f t="shared" si="111"/>
        <v>15833.35</v>
      </c>
      <c r="F168" s="2"/>
      <c r="G168" s="33">
        <f t="shared" si="120"/>
        <v>9.5399999999999991</v>
      </c>
      <c r="H168" s="34">
        <v>0</v>
      </c>
      <c r="I168" s="16">
        <f t="shared" si="114"/>
        <v>104.94</v>
      </c>
      <c r="K168" s="14">
        <v>0</v>
      </c>
      <c r="L168" s="15">
        <v>0</v>
      </c>
      <c r="M168" s="16">
        <f t="shared" si="112"/>
        <v>0</v>
      </c>
      <c r="O168" s="33">
        <f t="shared" si="115"/>
        <v>0</v>
      </c>
      <c r="P168" s="34">
        <v>0</v>
      </c>
      <c r="Q168" s="16">
        <f t="shared" si="116"/>
        <v>0</v>
      </c>
      <c r="S168" s="33">
        <v>0</v>
      </c>
      <c r="T168" s="34">
        <v>0</v>
      </c>
      <c r="U168" s="16">
        <f t="shared" si="117"/>
        <v>0</v>
      </c>
      <c r="W168" s="14">
        <f t="shared" si="121"/>
        <v>0</v>
      </c>
      <c r="X168" s="15">
        <v>0</v>
      </c>
      <c r="Y168" s="16">
        <f t="shared" si="118"/>
        <v>0</v>
      </c>
      <c r="Z168" s="70"/>
      <c r="AA168" s="14">
        <f t="shared" si="104"/>
        <v>1.64</v>
      </c>
      <c r="AB168" s="15">
        <v>0</v>
      </c>
      <c r="AC168" s="16">
        <f t="shared" si="105"/>
        <v>18.040000000000003</v>
      </c>
      <c r="AD168" s="70"/>
      <c r="AF168" s="19">
        <v>59</v>
      </c>
      <c r="AG168" s="30">
        <f t="shared" si="106"/>
        <v>46162</v>
      </c>
      <c r="AH168" s="31">
        <f t="shared" si="107"/>
        <v>15833.35</v>
      </c>
      <c r="AI168" s="31">
        <f t="shared" si="108"/>
        <v>0</v>
      </c>
      <c r="AJ168" s="34">
        <f t="shared" si="109"/>
        <v>0</v>
      </c>
      <c r="AK168" s="31">
        <f t="shared" si="110"/>
        <v>0</v>
      </c>
      <c r="AL168" s="32">
        <f t="shared" si="119"/>
        <v>0</v>
      </c>
    </row>
    <row r="169" spans="1:38" hidden="1" outlineLevel="1" x14ac:dyDescent="0.45">
      <c r="A169" s="27">
        <v>46163</v>
      </c>
      <c r="B169" s="28">
        <f t="shared" si="113"/>
        <v>1</v>
      </c>
      <c r="C169" s="14">
        <v>0</v>
      </c>
      <c r="D169" s="15">
        <v>0</v>
      </c>
      <c r="E169" s="16">
        <f t="shared" si="111"/>
        <v>15833.35</v>
      </c>
      <c r="F169" s="2"/>
      <c r="G169" s="33">
        <f t="shared" si="120"/>
        <v>9.5399999999999991</v>
      </c>
      <c r="H169" s="34">
        <v>0</v>
      </c>
      <c r="I169" s="16">
        <f t="shared" si="114"/>
        <v>114.47999999999999</v>
      </c>
      <c r="K169" s="14">
        <v>0</v>
      </c>
      <c r="L169" s="15">
        <v>0</v>
      </c>
      <c r="M169" s="16">
        <f t="shared" si="112"/>
        <v>0</v>
      </c>
      <c r="O169" s="33">
        <f t="shared" si="115"/>
        <v>0</v>
      </c>
      <c r="P169" s="34">
        <v>0</v>
      </c>
      <c r="Q169" s="16">
        <f t="shared" si="116"/>
        <v>0</v>
      </c>
      <c r="S169" s="33">
        <v>0</v>
      </c>
      <c r="T169" s="34">
        <v>0</v>
      </c>
      <c r="U169" s="16">
        <f t="shared" si="117"/>
        <v>0</v>
      </c>
      <c r="W169" s="14">
        <f t="shared" si="121"/>
        <v>0</v>
      </c>
      <c r="X169" s="15">
        <v>0</v>
      </c>
      <c r="Y169" s="16">
        <f t="shared" si="118"/>
        <v>0</v>
      </c>
      <c r="Z169" s="70"/>
      <c r="AA169" s="14">
        <f t="shared" si="104"/>
        <v>1.64</v>
      </c>
      <c r="AB169" s="15">
        <v>0</v>
      </c>
      <c r="AC169" s="16">
        <f t="shared" si="105"/>
        <v>19.680000000000003</v>
      </c>
      <c r="AD169" s="70"/>
      <c r="AF169" s="19">
        <v>60</v>
      </c>
      <c r="AG169" s="30">
        <f t="shared" si="106"/>
        <v>46163</v>
      </c>
      <c r="AH169" s="31">
        <f t="shared" si="107"/>
        <v>15833.35</v>
      </c>
      <c r="AI169" s="31">
        <f t="shared" si="108"/>
        <v>0</v>
      </c>
      <c r="AJ169" s="34">
        <f t="shared" si="109"/>
        <v>0</v>
      </c>
      <c r="AK169" s="31">
        <f t="shared" si="110"/>
        <v>0</v>
      </c>
      <c r="AL169" s="32">
        <f t="shared" si="119"/>
        <v>0</v>
      </c>
    </row>
    <row r="170" spans="1:38" hidden="1" outlineLevel="1" x14ac:dyDescent="0.45">
      <c r="A170" s="27">
        <v>46164</v>
      </c>
      <c r="B170" s="28">
        <f t="shared" si="113"/>
        <v>1</v>
      </c>
      <c r="C170" s="14">
        <v>0</v>
      </c>
      <c r="D170" s="15">
        <v>0</v>
      </c>
      <c r="E170" s="16">
        <f t="shared" si="111"/>
        <v>15833.35</v>
      </c>
      <c r="F170" s="2"/>
      <c r="G170" s="33">
        <f t="shared" si="120"/>
        <v>9.5399999999999991</v>
      </c>
      <c r="H170" s="34">
        <v>0</v>
      </c>
      <c r="I170" s="16">
        <f t="shared" si="114"/>
        <v>124.01999999999998</v>
      </c>
      <c r="K170" s="14">
        <v>0</v>
      </c>
      <c r="L170" s="15">
        <v>0</v>
      </c>
      <c r="M170" s="16">
        <f t="shared" si="112"/>
        <v>0</v>
      </c>
      <c r="O170" s="33">
        <f t="shared" si="115"/>
        <v>0</v>
      </c>
      <c r="P170" s="34">
        <v>0</v>
      </c>
      <c r="Q170" s="16">
        <f t="shared" si="116"/>
        <v>0</v>
      </c>
      <c r="S170" s="33">
        <v>0</v>
      </c>
      <c r="T170" s="34">
        <v>0</v>
      </c>
      <c r="U170" s="16">
        <f t="shared" si="117"/>
        <v>0</v>
      </c>
      <c r="W170" s="14">
        <f t="shared" si="121"/>
        <v>0</v>
      </c>
      <c r="X170" s="15">
        <v>0</v>
      </c>
      <c r="Y170" s="16">
        <f t="shared" si="118"/>
        <v>0</v>
      </c>
      <c r="Z170" s="70"/>
      <c r="AA170" s="14">
        <f t="shared" si="104"/>
        <v>1.64</v>
      </c>
      <c r="AB170" s="15">
        <v>0</v>
      </c>
      <c r="AC170" s="16">
        <f t="shared" si="105"/>
        <v>21.320000000000004</v>
      </c>
      <c r="AD170" s="70"/>
      <c r="AF170" s="19">
        <v>61</v>
      </c>
      <c r="AG170" s="30">
        <f t="shared" si="106"/>
        <v>46164</v>
      </c>
      <c r="AH170" s="31">
        <f t="shared" si="107"/>
        <v>15833.35</v>
      </c>
      <c r="AI170" s="31">
        <f t="shared" si="108"/>
        <v>0</v>
      </c>
      <c r="AJ170" s="34">
        <f t="shared" si="109"/>
        <v>0</v>
      </c>
      <c r="AK170" s="31">
        <f t="shared" si="110"/>
        <v>0</v>
      </c>
      <c r="AL170" s="32">
        <f t="shared" si="119"/>
        <v>0</v>
      </c>
    </row>
    <row r="171" spans="1:38" hidden="1" outlineLevel="1" x14ac:dyDescent="0.45">
      <c r="A171" s="27">
        <v>46165</v>
      </c>
      <c r="B171" s="28">
        <f t="shared" si="113"/>
        <v>1</v>
      </c>
      <c r="C171" s="14">
        <v>0</v>
      </c>
      <c r="D171" s="15">
        <v>0</v>
      </c>
      <c r="E171" s="16">
        <f t="shared" si="111"/>
        <v>15833.35</v>
      </c>
      <c r="F171" s="2"/>
      <c r="G171" s="33">
        <f t="shared" si="120"/>
        <v>9.5399999999999991</v>
      </c>
      <c r="H171" s="34">
        <v>0</v>
      </c>
      <c r="I171" s="16">
        <f t="shared" si="114"/>
        <v>133.55999999999997</v>
      </c>
      <c r="K171" s="14">
        <v>0</v>
      </c>
      <c r="L171" s="15">
        <v>0</v>
      </c>
      <c r="M171" s="16">
        <f t="shared" si="112"/>
        <v>0</v>
      </c>
      <c r="O171" s="33">
        <f t="shared" si="115"/>
        <v>0</v>
      </c>
      <c r="P171" s="34">
        <v>0</v>
      </c>
      <c r="Q171" s="16">
        <f t="shared" si="116"/>
        <v>0</v>
      </c>
      <c r="S171" s="33">
        <v>0</v>
      </c>
      <c r="T171" s="34">
        <v>0</v>
      </c>
      <c r="U171" s="16">
        <f t="shared" si="117"/>
        <v>0</v>
      </c>
      <c r="W171" s="14">
        <f t="shared" si="121"/>
        <v>0</v>
      </c>
      <c r="X171" s="15">
        <v>0</v>
      </c>
      <c r="Y171" s="16">
        <f t="shared" si="118"/>
        <v>0</v>
      </c>
      <c r="Z171" s="70"/>
      <c r="AA171" s="14">
        <f t="shared" si="104"/>
        <v>1.64</v>
      </c>
      <c r="AB171" s="15">
        <v>0</v>
      </c>
      <c r="AC171" s="16">
        <f t="shared" si="105"/>
        <v>22.960000000000004</v>
      </c>
      <c r="AD171" s="70"/>
      <c r="AF171" s="19">
        <v>62</v>
      </c>
      <c r="AG171" s="30">
        <f t="shared" si="106"/>
        <v>46165</v>
      </c>
      <c r="AH171" s="31">
        <f t="shared" si="107"/>
        <v>15833.35</v>
      </c>
      <c r="AI171" s="31">
        <f t="shared" si="108"/>
        <v>0</v>
      </c>
      <c r="AJ171" s="34">
        <f t="shared" si="109"/>
        <v>0</v>
      </c>
      <c r="AK171" s="31">
        <f t="shared" si="110"/>
        <v>0</v>
      </c>
      <c r="AL171" s="32">
        <f t="shared" si="119"/>
        <v>0</v>
      </c>
    </row>
    <row r="172" spans="1:38" hidden="1" outlineLevel="1" x14ac:dyDescent="0.45">
      <c r="A172" s="27">
        <v>46166</v>
      </c>
      <c r="B172" s="28">
        <f t="shared" si="113"/>
        <v>1</v>
      </c>
      <c r="C172" s="14">
        <v>0</v>
      </c>
      <c r="D172" s="15">
        <v>0</v>
      </c>
      <c r="E172" s="16">
        <f t="shared" si="111"/>
        <v>15833.35</v>
      </c>
      <c r="F172" s="2"/>
      <c r="G172" s="33">
        <f t="shared" si="120"/>
        <v>9.5399999999999991</v>
      </c>
      <c r="H172" s="34">
        <v>0</v>
      </c>
      <c r="I172" s="16">
        <f t="shared" si="114"/>
        <v>143.09999999999997</v>
      </c>
      <c r="K172" s="14">
        <v>0</v>
      </c>
      <c r="L172" s="15">
        <v>0</v>
      </c>
      <c r="M172" s="16">
        <f t="shared" si="112"/>
        <v>0</v>
      </c>
      <c r="O172" s="33">
        <f t="shared" si="115"/>
        <v>0</v>
      </c>
      <c r="P172" s="34">
        <v>0</v>
      </c>
      <c r="Q172" s="16">
        <f t="shared" si="116"/>
        <v>0</v>
      </c>
      <c r="S172" s="33">
        <v>0</v>
      </c>
      <c r="T172" s="34">
        <v>0</v>
      </c>
      <c r="U172" s="16">
        <f t="shared" si="117"/>
        <v>0</v>
      </c>
      <c r="W172" s="14">
        <f t="shared" si="121"/>
        <v>0</v>
      </c>
      <c r="X172" s="15">
        <v>0</v>
      </c>
      <c r="Y172" s="16">
        <f t="shared" si="118"/>
        <v>0</v>
      </c>
      <c r="Z172" s="70"/>
      <c r="AA172" s="14">
        <f t="shared" si="104"/>
        <v>1.64</v>
      </c>
      <c r="AB172" s="15">
        <v>0</v>
      </c>
      <c r="AC172" s="16">
        <f t="shared" si="105"/>
        <v>24.600000000000005</v>
      </c>
      <c r="AD172" s="70"/>
      <c r="AF172" s="19">
        <v>63</v>
      </c>
      <c r="AG172" s="30">
        <f t="shared" si="106"/>
        <v>46166</v>
      </c>
      <c r="AH172" s="31">
        <f t="shared" si="107"/>
        <v>15833.35</v>
      </c>
      <c r="AI172" s="31">
        <f t="shared" si="108"/>
        <v>0</v>
      </c>
      <c r="AJ172" s="34">
        <f t="shared" si="109"/>
        <v>0</v>
      </c>
      <c r="AK172" s="31">
        <f t="shared" si="110"/>
        <v>0</v>
      </c>
      <c r="AL172" s="32">
        <f t="shared" si="119"/>
        <v>0</v>
      </c>
    </row>
    <row r="173" spans="1:38" hidden="1" outlineLevel="1" x14ac:dyDescent="0.45">
      <c r="A173" s="27">
        <v>46167</v>
      </c>
      <c r="B173" s="28">
        <f t="shared" si="113"/>
        <v>1</v>
      </c>
      <c r="C173" s="14">
        <v>0</v>
      </c>
      <c r="D173" s="15">
        <v>0</v>
      </c>
      <c r="E173" s="16">
        <f t="shared" si="111"/>
        <v>15833.35</v>
      </c>
      <c r="F173" s="2"/>
      <c r="G173" s="33">
        <f t="shared" si="120"/>
        <v>9.5399999999999991</v>
      </c>
      <c r="H173" s="34">
        <v>0</v>
      </c>
      <c r="I173" s="16">
        <f t="shared" si="114"/>
        <v>152.63999999999996</v>
      </c>
      <c r="K173" s="14">
        <v>0</v>
      </c>
      <c r="L173" s="15">
        <v>0</v>
      </c>
      <c r="M173" s="16">
        <f t="shared" si="112"/>
        <v>0</v>
      </c>
      <c r="O173" s="33">
        <f t="shared" si="115"/>
        <v>0</v>
      </c>
      <c r="P173" s="34">
        <v>0</v>
      </c>
      <c r="Q173" s="16">
        <f t="shared" si="116"/>
        <v>0</v>
      </c>
      <c r="S173" s="33">
        <v>0</v>
      </c>
      <c r="T173" s="34">
        <v>0</v>
      </c>
      <c r="U173" s="16">
        <f t="shared" si="117"/>
        <v>0</v>
      </c>
      <c r="W173" s="14">
        <f t="shared" si="121"/>
        <v>0</v>
      </c>
      <c r="X173" s="15">
        <v>0</v>
      </c>
      <c r="Y173" s="16">
        <f t="shared" si="118"/>
        <v>0</v>
      </c>
      <c r="Z173" s="70"/>
      <c r="AA173" s="14">
        <f t="shared" si="104"/>
        <v>1.64</v>
      </c>
      <c r="AB173" s="15">
        <v>0</v>
      </c>
      <c r="AC173" s="16">
        <f t="shared" si="105"/>
        <v>26.240000000000006</v>
      </c>
      <c r="AD173" s="70"/>
      <c r="AF173" s="19">
        <v>64</v>
      </c>
      <c r="AG173" s="30">
        <f t="shared" si="106"/>
        <v>46167</v>
      </c>
      <c r="AH173" s="31">
        <f t="shared" si="107"/>
        <v>15833.35</v>
      </c>
      <c r="AI173" s="31">
        <f t="shared" si="108"/>
        <v>0</v>
      </c>
      <c r="AJ173" s="34">
        <f t="shared" si="109"/>
        <v>0</v>
      </c>
      <c r="AK173" s="31">
        <f t="shared" si="110"/>
        <v>0</v>
      </c>
      <c r="AL173" s="32">
        <f t="shared" si="119"/>
        <v>0</v>
      </c>
    </row>
    <row r="174" spans="1:38" hidden="1" outlineLevel="1" x14ac:dyDescent="0.45">
      <c r="A174" s="27">
        <v>46168</v>
      </c>
      <c r="B174" s="28">
        <f t="shared" si="113"/>
        <v>1</v>
      </c>
      <c r="C174" s="14">
        <v>0</v>
      </c>
      <c r="D174" s="15">
        <v>0</v>
      </c>
      <c r="E174" s="16">
        <f t="shared" si="111"/>
        <v>15833.35</v>
      </c>
      <c r="F174" s="2"/>
      <c r="G174" s="33">
        <f t="shared" si="120"/>
        <v>9.5399999999999991</v>
      </c>
      <c r="H174" s="34">
        <v>0</v>
      </c>
      <c r="I174" s="16">
        <f t="shared" si="114"/>
        <v>162.17999999999995</v>
      </c>
      <c r="K174" s="14">
        <v>0</v>
      </c>
      <c r="L174" s="15">
        <v>0</v>
      </c>
      <c r="M174" s="16">
        <f t="shared" si="112"/>
        <v>0</v>
      </c>
      <c r="O174" s="33">
        <f t="shared" si="115"/>
        <v>0</v>
      </c>
      <c r="P174" s="34">
        <v>0</v>
      </c>
      <c r="Q174" s="16">
        <f t="shared" si="116"/>
        <v>0</v>
      </c>
      <c r="S174" s="33">
        <v>0</v>
      </c>
      <c r="T174" s="34">
        <v>0</v>
      </c>
      <c r="U174" s="16">
        <f t="shared" si="117"/>
        <v>0</v>
      </c>
      <c r="W174" s="14">
        <f t="shared" si="121"/>
        <v>0</v>
      </c>
      <c r="X174" s="15">
        <v>0</v>
      </c>
      <c r="Y174" s="16">
        <f t="shared" si="118"/>
        <v>0</v>
      </c>
      <c r="Z174" s="70"/>
      <c r="AA174" s="14">
        <f t="shared" si="104"/>
        <v>1.64</v>
      </c>
      <c r="AB174" s="15">
        <v>0</v>
      </c>
      <c r="AC174" s="16">
        <f t="shared" si="105"/>
        <v>27.880000000000006</v>
      </c>
      <c r="AD174" s="70"/>
      <c r="AF174" s="19">
        <v>65</v>
      </c>
      <c r="AG174" s="30">
        <f t="shared" si="106"/>
        <v>46168</v>
      </c>
      <c r="AH174" s="31">
        <f t="shared" si="107"/>
        <v>15833.35</v>
      </c>
      <c r="AI174" s="31">
        <f t="shared" si="108"/>
        <v>0</v>
      </c>
      <c r="AJ174" s="34">
        <f t="shared" si="109"/>
        <v>0</v>
      </c>
      <c r="AK174" s="31">
        <f t="shared" si="110"/>
        <v>0</v>
      </c>
      <c r="AL174" s="32">
        <f t="shared" si="119"/>
        <v>0</v>
      </c>
    </row>
    <row r="175" spans="1:38" hidden="1" outlineLevel="1" x14ac:dyDescent="0.45">
      <c r="A175" s="27">
        <v>46169</v>
      </c>
      <c r="B175" s="28">
        <f t="shared" si="113"/>
        <v>1</v>
      </c>
      <c r="C175" s="14">
        <v>0</v>
      </c>
      <c r="D175" s="15">
        <v>0</v>
      </c>
      <c r="E175" s="16">
        <f t="shared" si="111"/>
        <v>15833.35</v>
      </c>
      <c r="F175" s="2"/>
      <c r="G175" s="33">
        <f t="shared" si="120"/>
        <v>9.5399999999999991</v>
      </c>
      <c r="H175" s="34">
        <v>0</v>
      </c>
      <c r="I175" s="16">
        <f t="shared" si="114"/>
        <v>171.71999999999994</v>
      </c>
      <c r="K175" s="14">
        <v>0</v>
      </c>
      <c r="L175" s="15">
        <v>0</v>
      </c>
      <c r="M175" s="16">
        <f t="shared" si="112"/>
        <v>0</v>
      </c>
      <c r="O175" s="33">
        <f t="shared" si="115"/>
        <v>0</v>
      </c>
      <c r="P175" s="34">
        <v>0</v>
      </c>
      <c r="Q175" s="16">
        <f t="shared" si="116"/>
        <v>0</v>
      </c>
      <c r="S175" s="33">
        <v>0</v>
      </c>
      <c r="T175" s="34">
        <v>0</v>
      </c>
      <c r="U175" s="16">
        <f t="shared" si="117"/>
        <v>0</v>
      </c>
      <c r="W175" s="14">
        <f t="shared" si="121"/>
        <v>0</v>
      </c>
      <c r="X175" s="15">
        <v>0</v>
      </c>
      <c r="Y175" s="16">
        <f t="shared" si="118"/>
        <v>0</v>
      </c>
      <c r="Z175" s="70"/>
      <c r="AA175" s="14">
        <f t="shared" si="104"/>
        <v>1.64</v>
      </c>
      <c r="AB175" s="15">
        <v>0</v>
      </c>
      <c r="AC175" s="16">
        <f t="shared" si="105"/>
        <v>29.520000000000007</v>
      </c>
      <c r="AD175" s="70"/>
      <c r="AF175" s="19">
        <v>66</v>
      </c>
      <c r="AG175" s="30">
        <f t="shared" si="106"/>
        <v>46169</v>
      </c>
      <c r="AH175" s="31">
        <f t="shared" si="107"/>
        <v>15833.35</v>
      </c>
      <c r="AI175" s="31">
        <f t="shared" si="108"/>
        <v>0</v>
      </c>
      <c r="AJ175" s="34">
        <f t="shared" si="109"/>
        <v>0</v>
      </c>
      <c r="AK175" s="31">
        <f t="shared" si="110"/>
        <v>0</v>
      </c>
      <c r="AL175" s="32">
        <f t="shared" si="119"/>
        <v>0</v>
      </c>
    </row>
    <row r="176" spans="1:38" hidden="1" outlineLevel="1" x14ac:dyDescent="0.45">
      <c r="A176" s="27">
        <v>46170</v>
      </c>
      <c r="B176" s="28">
        <f t="shared" si="113"/>
        <v>1</v>
      </c>
      <c r="C176" s="14">
        <v>0</v>
      </c>
      <c r="D176" s="15">
        <v>0</v>
      </c>
      <c r="E176" s="16">
        <f t="shared" si="111"/>
        <v>15833.35</v>
      </c>
      <c r="F176" s="2"/>
      <c r="G176" s="33">
        <f t="shared" si="120"/>
        <v>9.5399999999999991</v>
      </c>
      <c r="H176" s="34">
        <v>0</v>
      </c>
      <c r="I176" s="16">
        <f t="shared" si="114"/>
        <v>181.25999999999993</v>
      </c>
      <c r="K176" s="14">
        <v>0</v>
      </c>
      <c r="L176" s="15">
        <v>0</v>
      </c>
      <c r="M176" s="16">
        <f t="shared" si="112"/>
        <v>0</v>
      </c>
      <c r="O176" s="33">
        <f t="shared" si="115"/>
        <v>0</v>
      </c>
      <c r="P176" s="34">
        <v>0</v>
      </c>
      <c r="Q176" s="16">
        <f t="shared" si="116"/>
        <v>0</v>
      </c>
      <c r="S176" s="33">
        <v>0</v>
      </c>
      <c r="T176" s="34">
        <v>0</v>
      </c>
      <c r="U176" s="16">
        <f t="shared" si="117"/>
        <v>0</v>
      </c>
      <c r="W176" s="14">
        <f t="shared" si="121"/>
        <v>0</v>
      </c>
      <c r="X176" s="15">
        <v>0</v>
      </c>
      <c r="Y176" s="16">
        <f t="shared" si="118"/>
        <v>0</v>
      </c>
      <c r="Z176" s="70"/>
      <c r="AA176" s="14">
        <f t="shared" si="104"/>
        <v>1.64</v>
      </c>
      <c r="AB176" s="15">
        <v>0</v>
      </c>
      <c r="AC176" s="16">
        <f t="shared" si="105"/>
        <v>31.160000000000007</v>
      </c>
      <c r="AD176" s="70"/>
      <c r="AF176" s="19">
        <v>67</v>
      </c>
      <c r="AG176" s="30">
        <f t="shared" si="106"/>
        <v>46170</v>
      </c>
      <c r="AH176" s="31">
        <f t="shared" si="107"/>
        <v>15833.35</v>
      </c>
      <c r="AI176" s="31">
        <f t="shared" si="108"/>
        <v>0</v>
      </c>
      <c r="AJ176" s="34">
        <f t="shared" si="109"/>
        <v>0</v>
      </c>
      <c r="AK176" s="31">
        <f t="shared" si="110"/>
        <v>0</v>
      </c>
      <c r="AL176" s="32">
        <f t="shared" si="119"/>
        <v>0</v>
      </c>
    </row>
    <row r="177" spans="1:44" hidden="1" outlineLevel="1" x14ac:dyDescent="0.45">
      <c r="A177" s="27">
        <v>46171</v>
      </c>
      <c r="B177" s="28">
        <f t="shared" si="113"/>
        <v>1</v>
      </c>
      <c r="C177" s="14">
        <v>0</v>
      </c>
      <c r="D177" s="15">
        <v>0</v>
      </c>
      <c r="E177" s="16">
        <f t="shared" si="111"/>
        <v>15833.35</v>
      </c>
      <c r="F177" s="2"/>
      <c r="G177" s="33">
        <f t="shared" si="120"/>
        <v>9.5399999999999991</v>
      </c>
      <c r="H177" s="34">
        <v>0</v>
      </c>
      <c r="I177" s="16">
        <f t="shared" si="114"/>
        <v>190.79999999999993</v>
      </c>
      <c r="K177" s="14">
        <v>0</v>
      </c>
      <c r="L177" s="15">
        <v>0</v>
      </c>
      <c r="M177" s="16">
        <f t="shared" si="112"/>
        <v>0</v>
      </c>
      <c r="O177" s="33">
        <f t="shared" si="115"/>
        <v>0</v>
      </c>
      <c r="P177" s="34">
        <v>0</v>
      </c>
      <c r="Q177" s="16">
        <f t="shared" si="116"/>
        <v>0</v>
      </c>
      <c r="S177" s="33">
        <v>0</v>
      </c>
      <c r="T177" s="34">
        <v>0</v>
      </c>
      <c r="U177" s="16">
        <f t="shared" si="117"/>
        <v>0</v>
      </c>
      <c r="W177" s="14">
        <f t="shared" si="121"/>
        <v>0</v>
      </c>
      <c r="X177" s="15">
        <v>0</v>
      </c>
      <c r="Y177" s="16">
        <f t="shared" si="118"/>
        <v>0</v>
      </c>
      <c r="Z177" s="70"/>
      <c r="AA177" s="14">
        <f t="shared" si="104"/>
        <v>1.64</v>
      </c>
      <c r="AB177" s="15">
        <v>0</v>
      </c>
      <c r="AC177" s="16">
        <f t="shared" si="105"/>
        <v>32.800000000000004</v>
      </c>
      <c r="AD177" s="70"/>
      <c r="AF177" s="19">
        <v>68</v>
      </c>
      <c r="AG177" s="30">
        <f t="shared" si="106"/>
        <v>46171</v>
      </c>
      <c r="AH177" s="31">
        <f t="shared" si="107"/>
        <v>15833.35</v>
      </c>
      <c r="AI177" s="31">
        <f t="shared" si="108"/>
        <v>0</v>
      </c>
      <c r="AJ177" s="34">
        <f t="shared" si="109"/>
        <v>0</v>
      </c>
      <c r="AK177" s="31">
        <f t="shared" si="110"/>
        <v>0</v>
      </c>
      <c r="AL177" s="32">
        <f t="shared" si="119"/>
        <v>0</v>
      </c>
    </row>
    <row r="178" spans="1:44" hidden="1" outlineLevel="1" x14ac:dyDescent="0.45">
      <c r="A178" s="27">
        <v>46172</v>
      </c>
      <c r="B178" s="28">
        <f t="shared" si="113"/>
        <v>1</v>
      </c>
      <c r="C178" s="14">
        <v>0</v>
      </c>
      <c r="D178" s="15">
        <v>0</v>
      </c>
      <c r="E178" s="16">
        <f t="shared" si="111"/>
        <v>15833.35</v>
      </c>
      <c r="F178" s="2"/>
      <c r="G178" s="33">
        <f t="shared" si="120"/>
        <v>9.5399999999999991</v>
      </c>
      <c r="H178" s="34">
        <v>0</v>
      </c>
      <c r="I178" s="16">
        <f t="shared" si="114"/>
        <v>200.33999999999992</v>
      </c>
      <c r="K178" s="14">
        <v>0</v>
      </c>
      <c r="L178" s="15">
        <v>0</v>
      </c>
      <c r="M178" s="16">
        <f t="shared" si="112"/>
        <v>0</v>
      </c>
      <c r="O178" s="33">
        <f t="shared" si="115"/>
        <v>0</v>
      </c>
      <c r="P178" s="34">
        <v>0</v>
      </c>
      <c r="Q178" s="16">
        <f t="shared" si="116"/>
        <v>0</v>
      </c>
      <c r="S178" s="33">
        <v>0</v>
      </c>
      <c r="T178" s="34">
        <v>0</v>
      </c>
      <c r="U178" s="16">
        <f t="shared" si="117"/>
        <v>0</v>
      </c>
      <c r="W178" s="14">
        <f t="shared" si="121"/>
        <v>0</v>
      </c>
      <c r="X178" s="15">
        <v>0</v>
      </c>
      <c r="Y178" s="16">
        <f t="shared" si="118"/>
        <v>0</v>
      </c>
      <c r="Z178" s="70"/>
      <c r="AA178" s="14">
        <f t="shared" si="104"/>
        <v>1.64</v>
      </c>
      <c r="AB178" s="15">
        <v>0</v>
      </c>
      <c r="AC178" s="16">
        <f t="shared" si="105"/>
        <v>34.440000000000005</v>
      </c>
      <c r="AD178" s="70"/>
      <c r="AF178" s="19">
        <v>69</v>
      </c>
      <c r="AG178" s="30">
        <f t="shared" si="106"/>
        <v>46172</v>
      </c>
      <c r="AH178" s="31">
        <f t="shared" si="107"/>
        <v>15833.35</v>
      </c>
      <c r="AI178" s="31">
        <f t="shared" si="108"/>
        <v>0</v>
      </c>
      <c r="AJ178" s="34">
        <f t="shared" si="109"/>
        <v>0</v>
      </c>
      <c r="AK178" s="31">
        <f t="shared" si="110"/>
        <v>0</v>
      </c>
      <c r="AL178" s="32">
        <f t="shared" si="119"/>
        <v>0</v>
      </c>
    </row>
    <row r="179" spans="1:44" hidden="1" outlineLevel="1" x14ac:dyDescent="0.45">
      <c r="A179" s="27">
        <v>46173</v>
      </c>
      <c r="B179" s="28">
        <f t="shared" si="113"/>
        <v>1</v>
      </c>
      <c r="C179" s="14">
        <v>0</v>
      </c>
      <c r="D179" s="15">
        <v>0</v>
      </c>
      <c r="E179" s="16">
        <f t="shared" si="111"/>
        <v>15833.35</v>
      </c>
      <c r="F179" s="2"/>
      <c r="G179" s="33">
        <f t="shared" si="120"/>
        <v>9.5399999999999991</v>
      </c>
      <c r="H179" s="34">
        <v>0</v>
      </c>
      <c r="I179" s="16">
        <f t="shared" si="114"/>
        <v>209.87999999999991</v>
      </c>
      <c r="K179" s="14">
        <v>0</v>
      </c>
      <c r="L179" s="15">
        <v>0</v>
      </c>
      <c r="M179" s="16">
        <f t="shared" si="112"/>
        <v>0</v>
      </c>
      <c r="O179" s="33">
        <f t="shared" si="115"/>
        <v>0</v>
      </c>
      <c r="P179" s="34">
        <v>0</v>
      </c>
      <c r="Q179" s="16">
        <f t="shared" si="116"/>
        <v>0</v>
      </c>
      <c r="S179" s="33">
        <v>0</v>
      </c>
      <c r="T179" s="34">
        <v>0</v>
      </c>
      <c r="U179" s="16">
        <f t="shared" si="117"/>
        <v>0</v>
      </c>
      <c r="W179" s="14">
        <f t="shared" si="121"/>
        <v>0</v>
      </c>
      <c r="X179" s="15">
        <v>0</v>
      </c>
      <c r="Y179" s="16">
        <f t="shared" si="118"/>
        <v>0</v>
      </c>
      <c r="Z179" s="70"/>
      <c r="AA179" s="14">
        <f t="shared" si="104"/>
        <v>1.64</v>
      </c>
      <c r="AB179" s="15">
        <v>0</v>
      </c>
      <c r="AC179" s="16">
        <f t="shared" si="105"/>
        <v>36.080000000000005</v>
      </c>
      <c r="AD179" s="70"/>
      <c r="AF179" s="19">
        <v>70</v>
      </c>
      <c r="AG179" s="30">
        <f t="shared" si="106"/>
        <v>46173</v>
      </c>
      <c r="AH179" s="31">
        <f t="shared" si="107"/>
        <v>15833.35</v>
      </c>
      <c r="AI179" s="31">
        <f t="shared" si="108"/>
        <v>0</v>
      </c>
      <c r="AJ179" s="34">
        <f t="shared" si="109"/>
        <v>0</v>
      </c>
      <c r="AK179" s="31">
        <f t="shared" si="110"/>
        <v>0</v>
      </c>
      <c r="AL179" s="32">
        <f t="shared" si="119"/>
        <v>0</v>
      </c>
    </row>
    <row r="180" spans="1:44" hidden="1" outlineLevel="1" x14ac:dyDescent="0.45">
      <c r="A180" s="27">
        <v>46174</v>
      </c>
      <c r="B180" s="28">
        <f t="shared" si="113"/>
        <v>1</v>
      </c>
      <c r="C180" s="14">
        <v>0</v>
      </c>
      <c r="D180" s="15">
        <v>0</v>
      </c>
      <c r="E180" s="16">
        <f t="shared" si="111"/>
        <v>15833.35</v>
      </c>
      <c r="F180" s="2"/>
      <c r="G180" s="33">
        <f t="shared" si="120"/>
        <v>9.5399999999999991</v>
      </c>
      <c r="H180" s="34">
        <v>0</v>
      </c>
      <c r="I180" s="16">
        <f t="shared" si="114"/>
        <v>219.4199999999999</v>
      </c>
      <c r="K180" s="14">
        <v>0</v>
      </c>
      <c r="L180" s="15">
        <v>0</v>
      </c>
      <c r="M180" s="16">
        <f t="shared" si="112"/>
        <v>0</v>
      </c>
      <c r="O180" s="33">
        <f t="shared" si="115"/>
        <v>0</v>
      </c>
      <c r="P180" s="34">
        <v>0</v>
      </c>
      <c r="Q180" s="16">
        <f t="shared" si="116"/>
        <v>0</v>
      </c>
      <c r="S180" s="33">
        <v>0</v>
      </c>
      <c r="T180" s="34">
        <v>0</v>
      </c>
      <c r="U180" s="16">
        <f t="shared" si="117"/>
        <v>0</v>
      </c>
      <c r="W180" s="14">
        <f t="shared" si="121"/>
        <v>0</v>
      </c>
      <c r="X180" s="15">
        <v>0</v>
      </c>
      <c r="Y180" s="16">
        <f t="shared" si="118"/>
        <v>0</v>
      </c>
      <c r="Z180" s="70"/>
      <c r="AA180" s="14">
        <f t="shared" si="104"/>
        <v>1.64</v>
      </c>
      <c r="AB180" s="15">
        <v>0</v>
      </c>
      <c r="AC180" s="16">
        <f t="shared" si="105"/>
        <v>37.720000000000006</v>
      </c>
      <c r="AD180" s="70"/>
      <c r="AF180" s="19">
        <v>71</v>
      </c>
      <c r="AG180" s="30">
        <f t="shared" si="106"/>
        <v>46174</v>
      </c>
      <c r="AH180" s="31">
        <f t="shared" si="107"/>
        <v>15833.35</v>
      </c>
      <c r="AI180" s="31">
        <f t="shared" si="108"/>
        <v>0</v>
      </c>
      <c r="AJ180" s="34">
        <f t="shared" si="109"/>
        <v>0</v>
      </c>
      <c r="AK180" s="31">
        <f t="shared" si="110"/>
        <v>0</v>
      </c>
      <c r="AL180" s="32">
        <f t="shared" si="119"/>
        <v>0</v>
      </c>
    </row>
    <row r="181" spans="1:44" hidden="1" outlineLevel="1" x14ac:dyDescent="0.45">
      <c r="A181" s="27">
        <v>46175</v>
      </c>
      <c r="B181" s="28">
        <f t="shared" si="113"/>
        <v>1</v>
      </c>
      <c r="C181" s="14">
        <v>0</v>
      </c>
      <c r="D181" s="15">
        <v>0</v>
      </c>
      <c r="E181" s="16">
        <f t="shared" si="111"/>
        <v>15833.35</v>
      </c>
      <c r="F181" s="2"/>
      <c r="G181" s="33">
        <f t="shared" si="120"/>
        <v>9.5399999999999991</v>
      </c>
      <c r="H181" s="34">
        <v>0</v>
      </c>
      <c r="I181" s="16">
        <f t="shared" si="114"/>
        <v>228.95999999999989</v>
      </c>
      <c r="K181" s="14">
        <v>0</v>
      </c>
      <c r="L181" s="15">
        <v>0</v>
      </c>
      <c r="M181" s="16">
        <f t="shared" si="112"/>
        <v>0</v>
      </c>
      <c r="O181" s="33">
        <f t="shared" si="115"/>
        <v>0</v>
      </c>
      <c r="P181" s="34">
        <v>0</v>
      </c>
      <c r="Q181" s="16">
        <f t="shared" si="116"/>
        <v>0</v>
      </c>
      <c r="S181" s="33">
        <v>0</v>
      </c>
      <c r="T181" s="34">
        <v>0</v>
      </c>
      <c r="U181" s="16">
        <f t="shared" si="117"/>
        <v>0</v>
      </c>
      <c r="W181" s="14">
        <f t="shared" si="121"/>
        <v>0</v>
      </c>
      <c r="X181" s="15">
        <v>0</v>
      </c>
      <c r="Y181" s="16">
        <f t="shared" si="118"/>
        <v>0</v>
      </c>
      <c r="Z181" s="70"/>
      <c r="AA181" s="14">
        <f t="shared" si="104"/>
        <v>1.64</v>
      </c>
      <c r="AB181" s="15">
        <v>0</v>
      </c>
      <c r="AC181" s="16">
        <f t="shared" si="105"/>
        <v>39.360000000000007</v>
      </c>
      <c r="AD181" s="70"/>
      <c r="AF181" s="19">
        <v>72</v>
      </c>
      <c r="AG181" s="30">
        <f t="shared" si="106"/>
        <v>46175</v>
      </c>
      <c r="AH181" s="31">
        <f t="shared" si="107"/>
        <v>15833.35</v>
      </c>
      <c r="AI181" s="31">
        <f t="shared" si="108"/>
        <v>0</v>
      </c>
      <c r="AJ181" s="34">
        <f t="shared" si="109"/>
        <v>0</v>
      </c>
      <c r="AK181" s="31">
        <f t="shared" si="110"/>
        <v>0</v>
      </c>
      <c r="AL181" s="32">
        <f t="shared" si="119"/>
        <v>0</v>
      </c>
    </row>
    <row r="182" spans="1:44" hidden="1" outlineLevel="1" x14ac:dyDescent="0.45">
      <c r="A182" s="27">
        <v>46176</v>
      </c>
      <c r="B182" s="28">
        <f t="shared" si="113"/>
        <v>1</v>
      </c>
      <c r="C182" s="14">
        <v>0</v>
      </c>
      <c r="D182" s="15">
        <v>0</v>
      </c>
      <c r="E182" s="16">
        <f t="shared" si="111"/>
        <v>15833.35</v>
      </c>
      <c r="F182" s="2"/>
      <c r="G182" s="33">
        <f t="shared" si="120"/>
        <v>9.5399999999999991</v>
      </c>
      <c r="H182" s="34">
        <v>0</v>
      </c>
      <c r="I182" s="16">
        <f t="shared" si="114"/>
        <v>238.49999999999989</v>
      </c>
      <c r="K182" s="14">
        <v>0</v>
      </c>
      <c r="L182" s="15">
        <v>0</v>
      </c>
      <c r="M182" s="16">
        <f t="shared" si="112"/>
        <v>0</v>
      </c>
      <c r="O182" s="33">
        <f t="shared" si="115"/>
        <v>0</v>
      </c>
      <c r="P182" s="34">
        <v>0</v>
      </c>
      <c r="Q182" s="16">
        <f t="shared" si="116"/>
        <v>0</v>
      </c>
      <c r="S182" s="33">
        <v>0</v>
      </c>
      <c r="T182" s="34">
        <v>0</v>
      </c>
      <c r="U182" s="16">
        <f t="shared" si="117"/>
        <v>0</v>
      </c>
      <c r="W182" s="14">
        <f t="shared" si="121"/>
        <v>0</v>
      </c>
      <c r="X182" s="15">
        <v>0</v>
      </c>
      <c r="Y182" s="16">
        <f t="shared" si="118"/>
        <v>0</v>
      </c>
      <c r="Z182" s="70"/>
      <c r="AA182" s="14">
        <f t="shared" si="104"/>
        <v>1.64</v>
      </c>
      <c r="AB182" s="15">
        <v>0</v>
      </c>
      <c r="AC182" s="16">
        <f t="shared" si="105"/>
        <v>41.000000000000007</v>
      </c>
      <c r="AD182" s="70"/>
      <c r="AF182" s="19">
        <v>73</v>
      </c>
      <c r="AG182" s="30">
        <f t="shared" si="106"/>
        <v>46176</v>
      </c>
      <c r="AH182" s="31">
        <f t="shared" si="107"/>
        <v>15833.35</v>
      </c>
      <c r="AI182" s="31">
        <f t="shared" si="108"/>
        <v>0</v>
      </c>
      <c r="AJ182" s="34">
        <f t="shared" si="109"/>
        <v>0</v>
      </c>
      <c r="AK182" s="31">
        <f t="shared" si="110"/>
        <v>0</v>
      </c>
      <c r="AL182" s="32">
        <f t="shared" si="119"/>
        <v>0</v>
      </c>
    </row>
    <row r="183" spans="1:44" hidden="1" outlineLevel="1" x14ac:dyDescent="0.45">
      <c r="A183" s="27">
        <v>46177</v>
      </c>
      <c r="B183" s="28">
        <f t="shared" si="113"/>
        <v>1</v>
      </c>
      <c r="C183" s="14">
        <v>0</v>
      </c>
      <c r="D183" s="15">
        <v>0</v>
      </c>
      <c r="E183" s="16">
        <f t="shared" si="111"/>
        <v>15833.35</v>
      </c>
      <c r="F183" s="2"/>
      <c r="G183" s="33">
        <f t="shared" si="120"/>
        <v>9.5399999999999991</v>
      </c>
      <c r="H183" s="34">
        <v>0</v>
      </c>
      <c r="I183" s="16">
        <f t="shared" si="114"/>
        <v>248.03999999999988</v>
      </c>
      <c r="K183" s="14">
        <v>0</v>
      </c>
      <c r="L183" s="15">
        <v>0</v>
      </c>
      <c r="M183" s="16">
        <f t="shared" si="112"/>
        <v>0</v>
      </c>
      <c r="O183" s="33">
        <f t="shared" si="115"/>
        <v>0</v>
      </c>
      <c r="P183" s="34">
        <v>0</v>
      </c>
      <c r="Q183" s="16">
        <f t="shared" si="116"/>
        <v>0</v>
      </c>
      <c r="S183" s="33">
        <v>0</v>
      </c>
      <c r="T183" s="34">
        <v>0</v>
      </c>
      <c r="U183" s="16">
        <f t="shared" si="117"/>
        <v>0</v>
      </c>
      <c r="W183" s="14">
        <f t="shared" si="121"/>
        <v>0</v>
      </c>
      <c r="X183" s="15">
        <v>0</v>
      </c>
      <c r="Y183" s="16">
        <f t="shared" si="118"/>
        <v>0</v>
      </c>
      <c r="Z183" s="70"/>
      <c r="AA183" s="14">
        <f t="shared" si="104"/>
        <v>1.64</v>
      </c>
      <c r="AB183" s="15">
        <v>0</v>
      </c>
      <c r="AC183" s="16">
        <f t="shared" si="105"/>
        <v>42.640000000000008</v>
      </c>
      <c r="AD183" s="70"/>
      <c r="AF183" s="19">
        <v>74</v>
      </c>
      <c r="AG183" s="30">
        <f t="shared" si="106"/>
        <v>46177</v>
      </c>
      <c r="AH183" s="31">
        <f t="shared" si="107"/>
        <v>15833.35</v>
      </c>
      <c r="AI183" s="31">
        <f t="shared" si="108"/>
        <v>0</v>
      </c>
      <c r="AJ183" s="34">
        <f t="shared" si="109"/>
        <v>0</v>
      </c>
      <c r="AK183" s="31">
        <f t="shared" si="110"/>
        <v>0</v>
      </c>
      <c r="AL183" s="32">
        <f t="shared" si="119"/>
        <v>0</v>
      </c>
    </row>
    <row r="184" spans="1:44" hidden="1" outlineLevel="1" x14ac:dyDescent="0.45">
      <c r="A184" s="27">
        <v>46178</v>
      </c>
      <c r="B184" s="28">
        <f t="shared" si="113"/>
        <v>1</v>
      </c>
      <c r="C184" s="14">
        <v>0</v>
      </c>
      <c r="D184" s="15">
        <v>0</v>
      </c>
      <c r="E184" s="16">
        <f t="shared" si="111"/>
        <v>15833.35</v>
      </c>
      <c r="F184" s="2"/>
      <c r="G184" s="33">
        <f t="shared" si="120"/>
        <v>9.5399999999999991</v>
      </c>
      <c r="H184" s="34">
        <v>0</v>
      </c>
      <c r="I184" s="16">
        <f t="shared" si="114"/>
        <v>257.57999999999987</v>
      </c>
      <c r="K184" s="14">
        <v>0</v>
      </c>
      <c r="L184" s="15">
        <v>0</v>
      </c>
      <c r="M184" s="16">
        <f t="shared" si="112"/>
        <v>0</v>
      </c>
      <c r="O184" s="33">
        <f t="shared" si="115"/>
        <v>0</v>
      </c>
      <c r="P184" s="34">
        <v>0</v>
      </c>
      <c r="Q184" s="16">
        <f t="shared" si="116"/>
        <v>0</v>
      </c>
      <c r="S184" s="33">
        <v>0</v>
      </c>
      <c r="T184" s="34">
        <v>0</v>
      </c>
      <c r="U184" s="16">
        <f t="shared" si="117"/>
        <v>0</v>
      </c>
      <c r="W184" s="14">
        <f t="shared" si="121"/>
        <v>0</v>
      </c>
      <c r="X184" s="15">
        <v>0</v>
      </c>
      <c r="Y184" s="16">
        <f t="shared" si="118"/>
        <v>0</v>
      </c>
      <c r="Z184" s="70"/>
      <c r="AA184" s="14">
        <f t="shared" si="104"/>
        <v>1.64</v>
      </c>
      <c r="AB184" s="15">
        <v>0</v>
      </c>
      <c r="AC184" s="16">
        <f t="shared" si="105"/>
        <v>44.280000000000008</v>
      </c>
      <c r="AD184" s="70"/>
      <c r="AF184" s="19">
        <v>75</v>
      </c>
      <c r="AG184" s="30">
        <f t="shared" si="106"/>
        <v>46178</v>
      </c>
      <c r="AH184" s="31">
        <f t="shared" si="107"/>
        <v>15833.35</v>
      </c>
      <c r="AI184" s="31">
        <f t="shared" si="108"/>
        <v>0</v>
      </c>
      <c r="AJ184" s="34">
        <f t="shared" si="109"/>
        <v>0</v>
      </c>
      <c r="AK184" s="31">
        <f t="shared" si="110"/>
        <v>0</v>
      </c>
      <c r="AL184" s="32">
        <f t="shared" si="119"/>
        <v>0</v>
      </c>
    </row>
    <row r="185" spans="1:44" hidden="1" outlineLevel="1" x14ac:dyDescent="0.45">
      <c r="A185" s="27">
        <v>46179</v>
      </c>
      <c r="B185" s="28">
        <f t="shared" si="113"/>
        <v>1</v>
      </c>
      <c r="C185" s="14">
        <v>0</v>
      </c>
      <c r="D185" s="15">
        <v>0</v>
      </c>
      <c r="E185" s="16">
        <f t="shared" si="111"/>
        <v>15833.35</v>
      </c>
      <c r="F185" s="2"/>
      <c r="G185" s="33">
        <f t="shared" si="120"/>
        <v>9.5399999999999991</v>
      </c>
      <c r="H185" s="34">
        <v>0</v>
      </c>
      <c r="I185" s="16">
        <f t="shared" si="114"/>
        <v>267.11999999999989</v>
      </c>
      <c r="K185" s="14">
        <v>0</v>
      </c>
      <c r="L185" s="15">
        <v>0</v>
      </c>
      <c r="M185" s="16">
        <f t="shared" si="112"/>
        <v>0</v>
      </c>
      <c r="O185" s="33">
        <f t="shared" si="115"/>
        <v>0</v>
      </c>
      <c r="P185" s="34">
        <v>0</v>
      </c>
      <c r="Q185" s="16">
        <f t="shared" si="116"/>
        <v>0</v>
      </c>
      <c r="S185" s="33">
        <v>0</v>
      </c>
      <c r="T185" s="34">
        <v>0</v>
      </c>
      <c r="U185" s="16">
        <f t="shared" si="117"/>
        <v>0</v>
      </c>
      <c r="W185" s="14">
        <f t="shared" si="121"/>
        <v>0</v>
      </c>
      <c r="X185" s="15">
        <v>0</v>
      </c>
      <c r="Y185" s="16">
        <f t="shared" si="118"/>
        <v>0</v>
      </c>
      <c r="Z185" s="70"/>
      <c r="AA185" s="14">
        <f t="shared" si="104"/>
        <v>1.64</v>
      </c>
      <c r="AB185" s="15">
        <v>0</v>
      </c>
      <c r="AC185" s="16">
        <f t="shared" si="105"/>
        <v>45.920000000000009</v>
      </c>
      <c r="AD185" s="70"/>
      <c r="AF185" s="19">
        <v>76</v>
      </c>
      <c r="AG185" s="30">
        <f t="shared" si="106"/>
        <v>46179</v>
      </c>
      <c r="AH185" s="31">
        <f t="shared" si="107"/>
        <v>15833.35</v>
      </c>
      <c r="AI185" s="31">
        <f t="shared" si="108"/>
        <v>0</v>
      </c>
      <c r="AJ185" s="34">
        <f t="shared" si="109"/>
        <v>0</v>
      </c>
      <c r="AK185" s="31">
        <f t="shared" si="110"/>
        <v>0</v>
      </c>
      <c r="AL185" s="32">
        <f t="shared" si="119"/>
        <v>0</v>
      </c>
    </row>
    <row r="186" spans="1:44" hidden="1" outlineLevel="1" x14ac:dyDescent="0.45">
      <c r="A186" s="27">
        <v>46180</v>
      </c>
      <c r="B186" s="28">
        <f t="shared" si="113"/>
        <v>1</v>
      </c>
      <c r="C186" s="14">
        <v>0</v>
      </c>
      <c r="D186" s="15">
        <v>0</v>
      </c>
      <c r="E186" s="16">
        <f t="shared" si="111"/>
        <v>15833.35</v>
      </c>
      <c r="F186" s="2"/>
      <c r="G186" s="33">
        <f t="shared" si="120"/>
        <v>9.5399999999999991</v>
      </c>
      <c r="H186" s="34">
        <v>0</v>
      </c>
      <c r="I186" s="16">
        <f t="shared" si="114"/>
        <v>276.65999999999991</v>
      </c>
      <c r="K186" s="14">
        <v>0</v>
      </c>
      <c r="L186" s="15">
        <v>0</v>
      </c>
      <c r="M186" s="16">
        <f t="shared" si="112"/>
        <v>0</v>
      </c>
      <c r="O186" s="33">
        <f t="shared" si="115"/>
        <v>0</v>
      </c>
      <c r="P186" s="34">
        <v>0</v>
      </c>
      <c r="Q186" s="16">
        <f t="shared" si="116"/>
        <v>0</v>
      </c>
      <c r="S186" s="33">
        <v>0</v>
      </c>
      <c r="T186" s="34">
        <v>0</v>
      </c>
      <c r="U186" s="16">
        <f t="shared" si="117"/>
        <v>0</v>
      </c>
      <c r="W186" s="14">
        <f t="shared" si="121"/>
        <v>0</v>
      </c>
      <c r="X186" s="15">
        <v>0</v>
      </c>
      <c r="Y186" s="16">
        <f t="shared" si="118"/>
        <v>0</v>
      </c>
      <c r="Z186" s="70"/>
      <c r="AA186" s="14">
        <f t="shared" si="104"/>
        <v>1.64</v>
      </c>
      <c r="AB186" s="15">
        <v>0</v>
      </c>
      <c r="AC186" s="16">
        <f t="shared" si="105"/>
        <v>47.560000000000009</v>
      </c>
      <c r="AD186" s="70"/>
      <c r="AF186" s="19">
        <v>77</v>
      </c>
      <c r="AG186" s="30">
        <f t="shared" si="106"/>
        <v>46180</v>
      </c>
      <c r="AH186" s="31">
        <f t="shared" si="107"/>
        <v>15833.35</v>
      </c>
      <c r="AI186" s="31">
        <f t="shared" si="108"/>
        <v>0</v>
      </c>
      <c r="AJ186" s="34">
        <f t="shared" si="109"/>
        <v>0</v>
      </c>
      <c r="AK186" s="31">
        <f t="shared" si="110"/>
        <v>0</v>
      </c>
      <c r="AL186" s="32">
        <f t="shared" si="119"/>
        <v>0</v>
      </c>
    </row>
    <row r="187" spans="1:44" hidden="1" outlineLevel="1" x14ac:dyDescent="0.45">
      <c r="A187" s="27">
        <v>46181</v>
      </c>
      <c r="B187" s="28">
        <f t="shared" si="113"/>
        <v>1</v>
      </c>
      <c r="C187" s="14">
        <v>0</v>
      </c>
      <c r="D187" s="15">
        <v>0</v>
      </c>
      <c r="E187" s="16">
        <f t="shared" si="111"/>
        <v>15833.35</v>
      </c>
      <c r="F187" s="2"/>
      <c r="G187" s="33">
        <f t="shared" si="120"/>
        <v>9.5399999999999991</v>
      </c>
      <c r="H187" s="34">
        <v>0</v>
      </c>
      <c r="I187" s="16">
        <f t="shared" si="114"/>
        <v>286.19999999999993</v>
      </c>
      <c r="K187" s="14">
        <v>0</v>
      </c>
      <c r="L187" s="15">
        <v>0</v>
      </c>
      <c r="M187" s="16">
        <f t="shared" si="112"/>
        <v>0</v>
      </c>
      <c r="O187" s="33">
        <f t="shared" si="115"/>
        <v>0</v>
      </c>
      <c r="P187" s="34">
        <v>0</v>
      </c>
      <c r="Q187" s="16">
        <f t="shared" si="116"/>
        <v>0</v>
      </c>
      <c r="S187" s="33">
        <v>0</v>
      </c>
      <c r="T187" s="34">
        <v>0</v>
      </c>
      <c r="U187" s="16">
        <f t="shared" si="117"/>
        <v>0</v>
      </c>
      <c r="W187" s="14">
        <f t="shared" si="121"/>
        <v>0</v>
      </c>
      <c r="X187" s="15">
        <v>0</v>
      </c>
      <c r="Y187" s="16">
        <f t="shared" si="118"/>
        <v>0</v>
      </c>
      <c r="Z187" s="70"/>
      <c r="AA187" s="14">
        <f t="shared" si="104"/>
        <v>1.64</v>
      </c>
      <c r="AB187" s="15">
        <v>0</v>
      </c>
      <c r="AC187" s="16">
        <f t="shared" si="105"/>
        <v>49.20000000000001</v>
      </c>
      <c r="AD187" s="70"/>
      <c r="AF187" s="19">
        <v>78</v>
      </c>
      <c r="AG187" s="30">
        <f t="shared" si="106"/>
        <v>46181</v>
      </c>
      <c r="AH187" s="31">
        <f t="shared" si="107"/>
        <v>15833.35</v>
      </c>
      <c r="AI187" s="31">
        <f t="shared" si="108"/>
        <v>0</v>
      </c>
      <c r="AJ187" s="34">
        <f t="shared" si="109"/>
        <v>0</v>
      </c>
      <c r="AK187" s="31">
        <f t="shared" si="110"/>
        <v>0</v>
      </c>
      <c r="AL187" s="32">
        <f t="shared" si="119"/>
        <v>0</v>
      </c>
    </row>
    <row r="188" spans="1:44" s="39" customFormat="1" collapsed="1" x14ac:dyDescent="0.45">
      <c r="A188" s="27">
        <v>46182</v>
      </c>
      <c r="B188" s="35">
        <f t="shared" si="113"/>
        <v>1</v>
      </c>
      <c r="C188" s="36">
        <v>0</v>
      </c>
      <c r="D188" s="37">
        <v>833.33</v>
      </c>
      <c r="E188" s="38">
        <f t="shared" si="111"/>
        <v>15000.02</v>
      </c>
      <c r="G188" s="33">
        <f t="shared" si="120"/>
        <v>9.0399999999999991</v>
      </c>
      <c r="H188" s="37">
        <f>I187</f>
        <v>286.19999999999993</v>
      </c>
      <c r="I188" s="38">
        <f t="shared" si="114"/>
        <v>9.0400000000000205</v>
      </c>
      <c r="K188" s="36">
        <v>0</v>
      </c>
      <c r="L188" s="37">
        <v>0</v>
      </c>
      <c r="M188" s="38">
        <f t="shared" si="112"/>
        <v>0</v>
      </c>
      <c r="O188" s="33">
        <f t="shared" si="115"/>
        <v>0</v>
      </c>
      <c r="P188" s="37">
        <f>Q187+O188</f>
        <v>0</v>
      </c>
      <c r="Q188" s="38">
        <f t="shared" si="116"/>
        <v>0</v>
      </c>
      <c r="S188" s="36">
        <v>0</v>
      </c>
      <c r="T188" s="37">
        <f>U187+S188</f>
        <v>0</v>
      </c>
      <c r="U188" s="38">
        <f t="shared" si="117"/>
        <v>0</v>
      </c>
      <c r="W188" s="14">
        <f t="shared" si="121"/>
        <v>0</v>
      </c>
      <c r="X188" s="15">
        <v>0</v>
      </c>
      <c r="Y188" s="38">
        <f t="shared" si="118"/>
        <v>0</v>
      </c>
      <c r="Z188" s="85"/>
      <c r="AA188" s="36">
        <f t="shared" si="104"/>
        <v>1.64</v>
      </c>
      <c r="AB188" s="37">
        <f>AC187</f>
        <v>49.20000000000001</v>
      </c>
      <c r="AC188" s="38">
        <f t="shared" si="105"/>
        <v>1.6400000000000006</v>
      </c>
      <c r="AD188" s="85"/>
      <c r="AF188" s="40">
        <v>30</v>
      </c>
      <c r="AG188" s="41">
        <f t="shared" si="106"/>
        <v>46182</v>
      </c>
      <c r="AH188" s="42">
        <f t="shared" si="107"/>
        <v>15000.02</v>
      </c>
      <c r="AI188" s="42">
        <f t="shared" si="108"/>
        <v>833.33</v>
      </c>
      <c r="AJ188" s="37">
        <f t="shared" si="109"/>
        <v>286.19999999999993</v>
      </c>
      <c r="AK188" s="42">
        <f>AC187</f>
        <v>49.20000000000001</v>
      </c>
      <c r="AL188" s="43">
        <f>AI188+AJ188+AK188</f>
        <v>1168.73</v>
      </c>
      <c r="AM188" s="44">
        <f>AL188</f>
        <v>1168.73</v>
      </c>
      <c r="AN188" s="44"/>
      <c r="AO188" s="5"/>
      <c r="AP188" s="46"/>
      <c r="AQ188" s="44"/>
      <c r="AR188" s="44"/>
    </row>
    <row r="189" spans="1:44" hidden="1" outlineLevel="1" x14ac:dyDescent="0.45">
      <c r="A189" s="27">
        <v>46183</v>
      </c>
      <c r="B189" s="28">
        <f t="shared" si="113"/>
        <v>1</v>
      </c>
      <c r="C189" s="14">
        <v>0</v>
      </c>
      <c r="D189" s="15">
        <v>0</v>
      </c>
      <c r="E189" s="16">
        <f t="shared" si="111"/>
        <v>15000.02</v>
      </c>
      <c r="F189" s="2"/>
      <c r="G189" s="33">
        <f t="shared" si="120"/>
        <v>9.0399999999999991</v>
      </c>
      <c r="H189" s="34">
        <v>0</v>
      </c>
      <c r="I189" s="16">
        <f t="shared" si="114"/>
        <v>18.08000000000002</v>
      </c>
      <c r="K189" s="14">
        <v>0</v>
      </c>
      <c r="L189" s="15">
        <v>0</v>
      </c>
      <c r="M189" s="16">
        <f t="shared" si="112"/>
        <v>0</v>
      </c>
      <c r="O189" s="33">
        <f t="shared" si="115"/>
        <v>0</v>
      </c>
      <c r="P189" s="34">
        <v>0</v>
      </c>
      <c r="Q189" s="16">
        <f t="shared" si="116"/>
        <v>0</v>
      </c>
      <c r="S189" s="33">
        <v>0</v>
      </c>
      <c r="T189" s="34">
        <v>0</v>
      </c>
      <c r="U189" s="16">
        <f t="shared" si="117"/>
        <v>0</v>
      </c>
      <c r="W189" s="14">
        <f t="shared" si="121"/>
        <v>0</v>
      </c>
      <c r="X189" s="15">
        <v>0</v>
      </c>
      <c r="Y189" s="16">
        <f t="shared" si="118"/>
        <v>0</v>
      </c>
      <c r="Z189" s="70"/>
      <c r="AA189" s="14">
        <f t="shared" si="104"/>
        <v>1.64</v>
      </c>
      <c r="AB189" s="15">
        <v>0</v>
      </c>
      <c r="AC189" s="16">
        <f t="shared" si="105"/>
        <v>3.2800000000000002</v>
      </c>
      <c r="AD189" s="70"/>
      <c r="AF189" s="19">
        <v>50</v>
      </c>
      <c r="AG189" s="30">
        <f t="shared" si="106"/>
        <v>46183</v>
      </c>
      <c r="AH189" s="31">
        <f t="shared" si="107"/>
        <v>15000.02</v>
      </c>
      <c r="AI189" s="31">
        <f t="shared" si="108"/>
        <v>0</v>
      </c>
      <c r="AJ189" s="34">
        <f t="shared" si="109"/>
        <v>0</v>
      </c>
      <c r="AK189" s="31">
        <f t="shared" si="110"/>
        <v>0</v>
      </c>
      <c r="AL189" s="32">
        <f t="shared" si="119"/>
        <v>0</v>
      </c>
    </row>
    <row r="190" spans="1:44" hidden="1" outlineLevel="1" x14ac:dyDescent="0.45">
      <c r="A190" s="27">
        <v>46184</v>
      </c>
      <c r="B190" s="28">
        <f t="shared" si="113"/>
        <v>1</v>
      </c>
      <c r="C190" s="14">
        <v>0</v>
      </c>
      <c r="D190" s="15">
        <v>0</v>
      </c>
      <c r="E190" s="16">
        <f t="shared" si="111"/>
        <v>15000.02</v>
      </c>
      <c r="F190" s="2"/>
      <c r="G190" s="33">
        <f t="shared" si="120"/>
        <v>9.0399999999999991</v>
      </c>
      <c r="H190" s="34">
        <v>0</v>
      </c>
      <c r="I190" s="16">
        <f t="shared" si="114"/>
        <v>27.120000000000019</v>
      </c>
      <c r="K190" s="14">
        <v>0</v>
      </c>
      <c r="L190" s="15">
        <v>0</v>
      </c>
      <c r="M190" s="16">
        <f t="shared" si="112"/>
        <v>0</v>
      </c>
      <c r="O190" s="33">
        <f t="shared" si="115"/>
        <v>0</v>
      </c>
      <c r="P190" s="34">
        <v>0</v>
      </c>
      <c r="Q190" s="16">
        <f t="shared" si="116"/>
        <v>0</v>
      </c>
      <c r="S190" s="33">
        <v>0</v>
      </c>
      <c r="T190" s="34">
        <v>0</v>
      </c>
      <c r="U190" s="16">
        <f t="shared" si="117"/>
        <v>0</v>
      </c>
      <c r="W190" s="14">
        <f t="shared" si="121"/>
        <v>0</v>
      </c>
      <c r="X190" s="15">
        <v>0</v>
      </c>
      <c r="Y190" s="16">
        <f t="shared" si="118"/>
        <v>0</v>
      </c>
      <c r="Z190" s="70"/>
      <c r="AA190" s="14">
        <f t="shared" si="104"/>
        <v>1.64</v>
      </c>
      <c r="AB190" s="15">
        <v>0</v>
      </c>
      <c r="AC190" s="16">
        <f t="shared" si="105"/>
        <v>4.92</v>
      </c>
      <c r="AD190" s="70"/>
      <c r="AF190" s="19">
        <v>51</v>
      </c>
      <c r="AG190" s="30">
        <f t="shared" si="106"/>
        <v>46184</v>
      </c>
      <c r="AH190" s="31">
        <f t="shared" si="107"/>
        <v>15000.02</v>
      </c>
      <c r="AI190" s="31">
        <f t="shared" si="108"/>
        <v>0</v>
      </c>
      <c r="AJ190" s="34">
        <f t="shared" si="109"/>
        <v>0</v>
      </c>
      <c r="AK190" s="31">
        <f t="shared" si="110"/>
        <v>0</v>
      </c>
      <c r="AL190" s="32">
        <f t="shared" si="119"/>
        <v>0</v>
      </c>
    </row>
    <row r="191" spans="1:44" hidden="1" outlineLevel="1" x14ac:dyDescent="0.45">
      <c r="A191" s="27">
        <v>46185</v>
      </c>
      <c r="B191" s="28">
        <f t="shared" si="113"/>
        <v>1</v>
      </c>
      <c r="C191" s="14">
        <v>0</v>
      </c>
      <c r="D191" s="15">
        <v>0</v>
      </c>
      <c r="E191" s="16">
        <f t="shared" si="111"/>
        <v>15000.02</v>
      </c>
      <c r="F191" s="2"/>
      <c r="G191" s="33">
        <f t="shared" si="120"/>
        <v>9.0399999999999991</v>
      </c>
      <c r="H191" s="34">
        <v>0</v>
      </c>
      <c r="I191" s="16">
        <f t="shared" si="114"/>
        <v>36.160000000000018</v>
      </c>
      <c r="K191" s="14">
        <v>0</v>
      </c>
      <c r="L191" s="15">
        <v>0</v>
      </c>
      <c r="M191" s="16">
        <f t="shared" si="112"/>
        <v>0</v>
      </c>
      <c r="O191" s="33">
        <f t="shared" si="115"/>
        <v>0</v>
      </c>
      <c r="P191" s="34">
        <v>0</v>
      </c>
      <c r="Q191" s="16">
        <f t="shared" si="116"/>
        <v>0</v>
      </c>
      <c r="S191" s="33">
        <v>0</v>
      </c>
      <c r="T191" s="34">
        <v>0</v>
      </c>
      <c r="U191" s="16">
        <f t="shared" si="117"/>
        <v>0</v>
      </c>
      <c r="W191" s="14">
        <f t="shared" si="121"/>
        <v>0</v>
      </c>
      <c r="X191" s="15">
        <v>0</v>
      </c>
      <c r="Y191" s="16">
        <f t="shared" si="118"/>
        <v>0</v>
      </c>
      <c r="Z191" s="70"/>
      <c r="AA191" s="14">
        <f t="shared" si="104"/>
        <v>1.64</v>
      </c>
      <c r="AB191" s="15">
        <v>0</v>
      </c>
      <c r="AC191" s="16">
        <f t="shared" si="105"/>
        <v>6.56</v>
      </c>
      <c r="AD191" s="70"/>
      <c r="AF191" s="19">
        <v>52</v>
      </c>
      <c r="AG191" s="30">
        <f t="shared" si="106"/>
        <v>46185</v>
      </c>
      <c r="AH191" s="31">
        <f t="shared" si="107"/>
        <v>15000.02</v>
      </c>
      <c r="AI191" s="31">
        <f t="shared" si="108"/>
        <v>0</v>
      </c>
      <c r="AJ191" s="34">
        <f t="shared" si="109"/>
        <v>0</v>
      </c>
      <c r="AK191" s="31">
        <f t="shared" si="110"/>
        <v>0</v>
      </c>
      <c r="AL191" s="32">
        <f t="shared" si="119"/>
        <v>0</v>
      </c>
    </row>
    <row r="192" spans="1:44" hidden="1" outlineLevel="1" x14ac:dyDescent="0.45">
      <c r="A192" s="27">
        <v>46186</v>
      </c>
      <c r="B192" s="28">
        <f t="shared" si="113"/>
        <v>1</v>
      </c>
      <c r="C192" s="14">
        <v>0</v>
      </c>
      <c r="D192" s="15">
        <v>0</v>
      </c>
      <c r="E192" s="16">
        <f t="shared" si="111"/>
        <v>15000.02</v>
      </c>
      <c r="F192" s="2"/>
      <c r="G192" s="33">
        <f t="shared" si="120"/>
        <v>9.0399999999999991</v>
      </c>
      <c r="H192" s="34">
        <v>0</v>
      </c>
      <c r="I192" s="16">
        <f t="shared" si="114"/>
        <v>45.200000000000017</v>
      </c>
      <c r="K192" s="14">
        <v>0</v>
      </c>
      <c r="L192" s="15">
        <v>0</v>
      </c>
      <c r="M192" s="16">
        <f t="shared" si="112"/>
        <v>0</v>
      </c>
      <c r="O192" s="33">
        <f t="shared" si="115"/>
        <v>0</v>
      </c>
      <c r="P192" s="34">
        <v>0</v>
      </c>
      <c r="Q192" s="16">
        <f t="shared" si="116"/>
        <v>0</v>
      </c>
      <c r="S192" s="33">
        <v>0</v>
      </c>
      <c r="T192" s="34">
        <v>0</v>
      </c>
      <c r="U192" s="16">
        <f t="shared" si="117"/>
        <v>0</v>
      </c>
      <c r="W192" s="14">
        <f t="shared" si="121"/>
        <v>0</v>
      </c>
      <c r="X192" s="15">
        <v>0</v>
      </c>
      <c r="Y192" s="16">
        <f t="shared" si="118"/>
        <v>0</v>
      </c>
      <c r="Z192" s="70"/>
      <c r="AA192" s="14">
        <f t="shared" si="104"/>
        <v>1.64</v>
      </c>
      <c r="AB192" s="15">
        <v>0</v>
      </c>
      <c r="AC192" s="16">
        <f t="shared" si="105"/>
        <v>8.1999999999999993</v>
      </c>
      <c r="AD192" s="70"/>
      <c r="AF192" s="19">
        <v>53</v>
      </c>
      <c r="AG192" s="30">
        <f t="shared" si="106"/>
        <v>46186</v>
      </c>
      <c r="AH192" s="31">
        <f t="shared" si="107"/>
        <v>15000.02</v>
      </c>
      <c r="AI192" s="31">
        <f t="shared" si="108"/>
        <v>0</v>
      </c>
      <c r="AJ192" s="34">
        <f t="shared" si="109"/>
        <v>0</v>
      </c>
      <c r="AK192" s="31">
        <f t="shared" si="110"/>
        <v>0</v>
      </c>
      <c r="AL192" s="32">
        <f t="shared" si="119"/>
        <v>0</v>
      </c>
    </row>
    <row r="193" spans="1:38" hidden="1" outlineLevel="1" x14ac:dyDescent="0.45">
      <c r="A193" s="27">
        <v>46187</v>
      </c>
      <c r="B193" s="28">
        <f t="shared" si="113"/>
        <v>1</v>
      </c>
      <c r="C193" s="14">
        <v>0</v>
      </c>
      <c r="D193" s="15">
        <v>0</v>
      </c>
      <c r="E193" s="16">
        <f t="shared" si="111"/>
        <v>15000.02</v>
      </c>
      <c r="F193" s="2"/>
      <c r="G193" s="33">
        <f t="shared" si="120"/>
        <v>9.0399999999999991</v>
      </c>
      <c r="H193" s="34">
        <v>0</v>
      </c>
      <c r="I193" s="16">
        <f t="shared" si="114"/>
        <v>54.240000000000016</v>
      </c>
      <c r="K193" s="14">
        <v>0</v>
      </c>
      <c r="L193" s="15">
        <v>0</v>
      </c>
      <c r="M193" s="16">
        <f t="shared" si="112"/>
        <v>0</v>
      </c>
      <c r="O193" s="33">
        <f t="shared" si="115"/>
        <v>0</v>
      </c>
      <c r="P193" s="34">
        <v>0</v>
      </c>
      <c r="Q193" s="16">
        <f t="shared" si="116"/>
        <v>0</v>
      </c>
      <c r="S193" s="33">
        <v>0</v>
      </c>
      <c r="T193" s="34">
        <v>0</v>
      </c>
      <c r="U193" s="16">
        <f t="shared" si="117"/>
        <v>0</v>
      </c>
      <c r="W193" s="14">
        <f t="shared" si="121"/>
        <v>0</v>
      </c>
      <c r="X193" s="15">
        <v>0</v>
      </c>
      <c r="Y193" s="16">
        <f t="shared" si="118"/>
        <v>0</v>
      </c>
      <c r="Z193" s="70"/>
      <c r="AA193" s="14">
        <f t="shared" si="104"/>
        <v>1.64</v>
      </c>
      <c r="AB193" s="15">
        <v>0</v>
      </c>
      <c r="AC193" s="16">
        <f t="shared" si="105"/>
        <v>9.84</v>
      </c>
      <c r="AD193" s="70"/>
      <c r="AF193" s="19">
        <v>54</v>
      </c>
      <c r="AG193" s="30">
        <f t="shared" si="106"/>
        <v>46187</v>
      </c>
      <c r="AH193" s="31">
        <f t="shared" si="107"/>
        <v>15000.02</v>
      </c>
      <c r="AI193" s="31">
        <f t="shared" si="108"/>
        <v>0</v>
      </c>
      <c r="AJ193" s="34">
        <f t="shared" si="109"/>
        <v>0</v>
      </c>
      <c r="AK193" s="31">
        <f t="shared" si="110"/>
        <v>0</v>
      </c>
      <c r="AL193" s="32">
        <f t="shared" si="119"/>
        <v>0</v>
      </c>
    </row>
    <row r="194" spans="1:38" hidden="1" outlineLevel="1" x14ac:dyDescent="0.45">
      <c r="A194" s="27">
        <v>46188</v>
      </c>
      <c r="B194" s="28">
        <f t="shared" si="113"/>
        <v>1</v>
      </c>
      <c r="C194" s="14">
        <v>0</v>
      </c>
      <c r="D194" s="15">
        <v>0</v>
      </c>
      <c r="E194" s="16">
        <f t="shared" si="111"/>
        <v>15000.02</v>
      </c>
      <c r="F194" s="2"/>
      <c r="G194" s="33">
        <f t="shared" si="120"/>
        <v>9.0399999999999991</v>
      </c>
      <c r="H194" s="34">
        <v>0</v>
      </c>
      <c r="I194" s="16">
        <f t="shared" si="114"/>
        <v>63.280000000000015</v>
      </c>
      <c r="K194" s="14">
        <v>0</v>
      </c>
      <c r="L194" s="15">
        <v>0</v>
      </c>
      <c r="M194" s="16">
        <f t="shared" si="112"/>
        <v>0</v>
      </c>
      <c r="O194" s="33">
        <f t="shared" si="115"/>
        <v>0</v>
      </c>
      <c r="P194" s="34">
        <v>0</v>
      </c>
      <c r="Q194" s="16">
        <f t="shared" si="116"/>
        <v>0</v>
      </c>
      <c r="S194" s="33">
        <v>0</v>
      </c>
      <c r="T194" s="34">
        <v>0</v>
      </c>
      <c r="U194" s="16">
        <f t="shared" si="117"/>
        <v>0</v>
      </c>
      <c r="W194" s="14">
        <f t="shared" si="121"/>
        <v>0</v>
      </c>
      <c r="X194" s="15">
        <v>0</v>
      </c>
      <c r="Y194" s="16">
        <f t="shared" si="118"/>
        <v>0</v>
      </c>
      <c r="Z194" s="70"/>
      <c r="AA194" s="14">
        <f t="shared" si="104"/>
        <v>1.64</v>
      </c>
      <c r="AB194" s="15">
        <v>0</v>
      </c>
      <c r="AC194" s="16">
        <f t="shared" si="105"/>
        <v>11.48</v>
      </c>
      <c r="AD194" s="70"/>
      <c r="AF194" s="19">
        <v>55</v>
      </c>
      <c r="AG194" s="30">
        <f t="shared" si="106"/>
        <v>46188</v>
      </c>
      <c r="AH194" s="31">
        <f t="shared" si="107"/>
        <v>15000.02</v>
      </c>
      <c r="AI194" s="31">
        <f t="shared" si="108"/>
        <v>0</v>
      </c>
      <c r="AJ194" s="34">
        <f t="shared" si="109"/>
        <v>0</v>
      </c>
      <c r="AK194" s="31">
        <f t="shared" si="110"/>
        <v>0</v>
      </c>
      <c r="AL194" s="32">
        <f t="shared" si="119"/>
        <v>0</v>
      </c>
    </row>
    <row r="195" spans="1:38" hidden="1" outlineLevel="1" x14ac:dyDescent="0.45">
      <c r="A195" s="27">
        <v>46189</v>
      </c>
      <c r="B195" s="28">
        <f t="shared" si="113"/>
        <v>1</v>
      </c>
      <c r="C195" s="14">
        <v>0</v>
      </c>
      <c r="D195" s="15">
        <v>0</v>
      </c>
      <c r="E195" s="16">
        <f t="shared" si="111"/>
        <v>15000.02</v>
      </c>
      <c r="F195" s="2"/>
      <c r="G195" s="33">
        <f t="shared" si="120"/>
        <v>9.0399999999999991</v>
      </c>
      <c r="H195" s="34">
        <v>0</v>
      </c>
      <c r="I195" s="16">
        <f t="shared" si="114"/>
        <v>72.320000000000022</v>
      </c>
      <c r="K195" s="14">
        <v>0</v>
      </c>
      <c r="L195" s="15">
        <v>0</v>
      </c>
      <c r="M195" s="16">
        <f t="shared" si="112"/>
        <v>0</v>
      </c>
      <c r="O195" s="33">
        <f t="shared" si="115"/>
        <v>0</v>
      </c>
      <c r="P195" s="34">
        <v>0</v>
      </c>
      <c r="Q195" s="16">
        <f t="shared" si="116"/>
        <v>0</v>
      </c>
      <c r="S195" s="33">
        <v>0</v>
      </c>
      <c r="T195" s="34">
        <v>0</v>
      </c>
      <c r="U195" s="16">
        <f t="shared" si="117"/>
        <v>0</v>
      </c>
      <c r="W195" s="14">
        <f t="shared" si="121"/>
        <v>0</v>
      </c>
      <c r="X195" s="15">
        <v>0</v>
      </c>
      <c r="Y195" s="16">
        <f t="shared" si="118"/>
        <v>0</v>
      </c>
      <c r="Z195" s="70"/>
      <c r="AA195" s="14">
        <f t="shared" si="104"/>
        <v>1.64</v>
      </c>
      <c r="AB195" s="15">
        <v>0</v>
      </c>
      <c r="AC195" s="16">
        <f t="shared" si="105"/>
        <v>13.120000000000001</v>
      </c>
      <c r="AD195" s="70"/>
      <c r="AF195" s="19">
        <v>56</v>
      </c>
      <c r="AG195" s="30">
        <f t="shared" si="106"/>
        <v>46189</v>
      </c>
      <c r="AH195" s="31">
        <f t="shared" si="107"/>
        <v>15000.02</v>
      </c>
      <c r="AI195" s="31">
        <f t="shared" si="108"/>
        <v>0</v>
      </c>
      <c r="AJ195" s="34">
        <f t="shared" si="109"/>
        <v>0</v>
      </c>
      <c r="AK195" s="31">
        <f t="shared" si="110"/>
        <v>0</v>
      </c>
      <c r="AL195" s="32">
        <f t="shared" si="119"/>
        <v>0</v>
      </c>
    </row>
    <row r="196" spans="1:38" hidden="1" outlineLevel="1" x14ac:dyDescent="0.45">
      <c r="A196" s="27">
        <v>46190</v>
      </c>
      <c r="B196" s="28">
        <f t="shared" si="113"/>
        <v>1</v>
      </c>
      <c r="C196" s="14">
        <v>0</v>
      </c>
      <c r="D196" s="15">
        <v>0</v>
      </c>
      <c r="E196" s="16">
        <f t="shared" si="111"/>
        <v>15000.02</v>
      </c>
      <c r="F196" s="2"/>
      <c r="G196" s="33">
        <f t="shared" si="120"/>
        <v>9.0399999999999991</v>
      </c>
      <c r="H196" s="34">
        <v>0</v>
      </c>
      <c r="I196" s="16">
        <f t="shared" si="114"/>
        <v>81.360000000000014</v>
      </c>
      <c r="K196" s="14">
        <v>0</v>
      </c>
      <c r="L196" s="15">
        <v>0</v>
      </c>
      <c r="M196" s="16">
        <f t="shared" si="112"/>
        <v>0</v>
      </c>
      <c r="O196" s="33">
        <f t="shared" si="115"/>
        <v>0</v>
      </c>
      <c r="P196" s="34">
        <v>0</v>
      </c>
      <c r="Q196" s="16">
        <f t="shared" si="116"/>
        <v>0</v>
      </c>
      <c r="S196" s="33">
        <v>0</v>
      </c>
      <c r="T196" s="34">
        <v>0</v>
      </c>
      <c r="U196" s="16">
        <f t="shared" si="117"/>
        <v>0</v>
      </c>
      <c r="W196" s="14">
        <f t="shared" si="121"/>
        <v>0</v>
      </c>
      <c r="X196" s="15">
        <v>0</v>
      </c>
      <c r="Y196" s="16">
        <f t="shared" si="118"/>
        <v>0</v>
      </c>
      <c r="Z196" s="70"/>
      <c r="AA196" s="14">
        <f t="shared" si="104"/>
        <v>1.64</v>
      </c>
      <c r="AB196" s="15">
        <v>0</v>
      </c>
      <c r="AC196" s="16">
        <f t="shared" si="105"/>
        <v>14.760000000000002</v>
      </c>
      <c r="AD196" s="70"/>
      <c r="AF196" s="19">
        <v>57</v>
      </c>
      <c r="AG196" s="30">
        <f t="shared" si="106"/>
        <v>46190</v>
      </c>
      <c r="AH196" s="31">
        <f t="shared" si="107"/>
        <v>15000.02</v>
      </c>
      <c r="AI196" s="31">
        <f t="shared" si="108"/>
        <v>0</v>
      </c>
      <c r="AJ196" s="34">
        <f t="shared" si="109"/>
        <v>0</v>
      </c>
      <c r="AK196" s="31">
        <f t="shared" si="110"/>
        <v>0</v>
      </c>
      <c r="AL196" s="32">
        <f t="shared" si="119"/>
        <v>0</v>
      </c>
    </row>
    <row r="197" spans="1:38" hidden="1" outlineLevel="1" x14ac:dyDescent="0.45">
      <c r="A197" s="27">
        <v>46191</v>
      </c>
      <c r="B197" s="28">
        <f t="shared" si="113"/>
        <v>1</v>
      </c>
      <c r="C197" s="14">
        <v>0</v>
      </c>
      <c r="D197" s="15">
        <v>0</v>
      </c>
      <c r="E197" s="16">
        <f t="shared" si="111"/>
        <v>15000.02</v>
      </c>
      <c r="F197" s="2"/>
      <c r="G197" s="33">
        <f t="shared" si="120"/>
        <v>9.0399999999999991</v>
      </c>
      <c r="H197" s="34">
        <v>0</v>
      </c>
      <c r="I197" s="16">
        <f t="shared" si="114"/>
        <v>90.4</v>
      </c>
      <c r="K197" s="14">
        <v>0</v>
      </c>
      <c r="L197" s="15">
        <v>0</v>
      </c>
      <c r="M197" s="16">
        <f t="shared" si="112"/>
        <v>0</v>
      </c>
      <c r="O197" s="33">
        <f t="shared" si="115"/>
        <v>0</v>
      </c>
      <c r="P197" s="34">
        <v>0</v>
      </c>
      <c r="Q197" s="16">
        <f t="shared" si="116"/>
        <v>0</v>
      </c>
      <c r="S197" s="33">
        <v>0</v>
      </c>
      <c r="T197" s="34">
        <v>0</v>
      </c>
      <c r="U197" s="16">
        <f t="shared" si="117"/>
        <v>0</v>
      </c>
      <c r="W197" s="14">
        <f t="shared" si="121"/>
        <v>0</v>
      </c>
      <c r="X197" s="15">
        <v>0</v>
      </c>
      <c r="Y197" s="16">
        <f t="shared" si="118"/>
        <v>0</v>
      </c>
      <c r="Z197" s="70"/>
      <c r="AA197" s="14">
        <f t="shared" si="104"/>
        <v>1.64</v>
      </c>
      <c r="AB197" s="15">
        <v>0</v>
      </c>
      <c r="AC197" s="16">
        <f t="shared" si="105"/>
        <v>16.400000000000002</v>
      </c>
      <c r="AD197" s="70"/>
      <c r="AF197" s="19">
        <v>58</v>
      </c>
      <c r="AG197" s="30">
        <f t="shared" si="106"/>
        <v>46191</v>
      </c>
      <c r="AH197" s="31">
        <f t="shared" si="107"/>
        <v>15000.02</v>
      </c>
      <c r="AI197" s="31">
        <f t="shared" si="108"/>
        <v>0</v>
      </c>
      <c r="AJ197" s="34">
        <f t="shared" si="109"/>
        <v>0</v>
      </c>
      <c r="AK197" s="31">
        <f t="shared" si="110"/>
        <v>0</v>
      </c>
      <c r="AL197" s="32">
        <f t="shared" si="119"/>
        <v>0</v>
      </c>
    </row>
    <row r="198" spans="1:38" hidden="1" outlineLevel="1" x14ac:dyDescent="0.45">
      <c r="A198" s="27">
        <v>46192</v>
      </c>
      <c r="B198" s="28">
        <f t="shared" si="113"/>
        <v>1</v>
      </c>
      <c r="C198" s="14">
        <v>0</v>
      </c>
      <c r="D198" s="15">
        <v>0</v>
      </c>
      <c r="E198" s="16">
        <f t="shared" si="111"/>
        <v>15000.02</v>
      </c>
      <c r="F198" s="2"/>
      <c r="G198" s="33">
        <f t="shared" si="120"/>
        <v>9.0399999999999991</v>
      </c>
      <c r="H198" s="34">
        <v>0</v>
      </c>
      <c r="I198" s="16">
        <f t="shared" si="114"/>
        <v>99.44</v>
      </c>
      <c r="K198" s="14">
        <v>0</v>
      </c>
      <c r="L198" s="15">
        <v>0</v>
      </c>
      <c r="M198" s="16">
        <f t="shared" si="112"/>
        <v>0</v>
      </c>
      <c r="O198" s="33">
        <f t="shared" si="115"/>
        <v>0</v>
      </c>
      <c r="P198" s="34">
        <v>0</v>
      </c>
      <c r="Q198" s="16">
        <f t="shared" si="116"/>
        <v>0</v>
      </c>
      <c r="S198" s="33">
        <v>0</v>
      </c>
      <c r="T198" s="34">
        <v>0</v>
      </c>
      <c r="U198" s="16">
        <f t="shared" si="117"/>
        <v>0</v>
      </c>
      <c r="W198" s="14">
        <f t="shared" si="121"/>
        <v>0</v>
      </c>
      <c r="X198" s="15">
        <v>0</v>
      </c>
      <c r="Y198" s="16">
        <f t="shared" si="118"/>
        <v>0</v>
      </c>
      <c r="Z198" s="70"/>
      <c r="AA198" s="14">
        <f t="shared" si="104"/>
        <v>1.64</v>
      </c>
      <c r="AB198" s="15">
        <v>0</v>
      </c>
      <c r="AC198" s="16">
        <f t="shared" si="105"/>
        <v>18.040000000000003</v>
      </c>
      <c r="AD198" s="70"/>
      <c r="AF198" s="19">
        <v>59</v>
      </c>
      <c r="AG198" s="30">
        <f t="shared" si="106"/>
        <v>46192</v>
      </c>
      <c r="AH198" s="31">
        <f t="shared" si="107"/>
        <v>15000.02</v>
      </c>
      <c r="AI198" s="31">
        <f t="shared" si="108"/>
        <v>0</v>
      </c>
      <c r="AJ198" s="34">
        <f t="shared" si="109"/>
        <v>0</v>
      </c>
      <c r="AK198" s="31">
        <f t="shared" si="110"/>
        <v>0</v>
      </c>
      <c r="AL198" s="32">
        <f t="shared" si="119"/>
        <v>0</v>
      </c>
    </row>
    <row r="199" spans="1:38" hidden="1" outlineLevel="1" x14ac:dyDescent="0.45">
      <c r="A199" s="27">
        <v>46193</v>
      </c>
      <c r="B199" s="28">
        <f t="shared" si="113"/>
        <v>1</v>
      </c>
      <c r="C199" s="14">
        <v>0</v>
      </c>
      <c r="D199" s="15">
        <v>0</v>
      </c>
      <c r="E199" s="16">
        <f t="shared" si="111"/>
        <v>15000.02</v>
      </c>
      <c r="F199" s="2"/>
      <c r="G199" s="33">
        <f t="shared" si="120"/>
        <v>9.0399999999999991</v>
      </c>
      <c r="H199" s="34">
        <v>0</v>
      </c>
      <c r="I199" s="16">
        <f t="shared" si="114"/>
        <v>108.47999999999999</v>
      </c>
      <c r="K199" s="14">
        <v>0</v>
      </c>
      <c r="L199" s="15">
        <v>0</v>
      </c>
      <c r="M199" s="16">
        <f t="shared" si="112"/>
        <v>0</v>
      </c>
      <c r="O199" s="33">
        <f t="shared" si="115"/>
        <v>0</v>
      </c>
      <c r="P199" s="34">
        <v>0</v>
      </c>
      <c r="Q199" s="16">
        <f t="shared" si="116"/>
        <v>0</v>
      </c>
      <c r="S199" s="33">
        <v>0</v>
      </c>
      <c r="T199" s="34">
        <v>0</v>
      </c>
      <c r="U199" s="16">
        <f t="shared" si="117"/>
        <v>0</v>
      </c>
      <c r="W199" s="14">
        <f t="shared" si="121"/>
        <v>0</v>
      </c>
      <c r="X199" s="15">
        <v>0</v>
      </c>
      <c r="Y199" s="16">
        <f t="shared" si="118"/>
        <v>0</v>
      </c>
      <c r="Z199" s="70"/>
      <c r="AA199" s="14">
        <f t="shared" si="104"/>
        <v>1.64</v>
      </c>
      <c r="AB199" s="15">
        <v>0</v>
      </c>
      <c r="AC199" s="16">
        <f t="shared" si="105"/>
        <v>19.680000000000003</v>
      </c>
      <c r="AD199" s="70"/>
      <c r="AF199" s="19">
        <v>60</v>
      </c>
      <c r="AG199" s="30">
        <f t="shared" si="106"/>
        <v>46193</v>
      </c>
      <c r="AH199" s="31">
        <f t="shared" si="107"/>
        <v>15000.02</v>
      </c>
      <c r="AI199" s="31">
        <f t="shared" si="108"/>
        <v>0</v>
      </c>
      <c r="AJ199" s="34">
        <f t="shared" si="109"/>
        <v>0</v>
      </c>
      <c r="AK199" s="31">
        <f t="shared" si="110"/>
        <v>0</v>
      </c>
      <c r="AL199" s="32">
        <f t="shared" si="119"/>
        <v>0</v>
      </c>
    </row>
    <row r="200" spans="1:38" hidden="1" outlineLevel="1" x14ac:dyDescent="0.45">
      <c r="A200" s="27">
        <v>46194</v>
      </c>
      <c r="B200" s="28">
        <f t="shared" si="113"/>
        <v>1</v>
      </c>
      <c r="C200" s="14">
        <v>0</v>
      </c>
      <c r="D200" s="15">
        <v>0</v>
      </c>
      <c r="E200" s="16">
        <f t="shared" si="111"/>
        <v>15000.02</v>
      </c>
      <c r="F200" s="2"/>
      <c r="G200" s="33">
        <f t="shared" si="120"/>
        <v>9.0399999999999991</v>
      </c>
      <c r="H200" s="34">
        <v>0</v>
      </c>
      <c r="I200" s="16">
        <f t="shared" si="114"/>
        <v>117.51999999999998</v>
      </c>
      <c r="K200" s="14">
        <v>0</v>
      </c>
      <c r="L200" s="15">
        <v>0</v>
      </c>
      <c r="M200" s="16">
        <f t="shared" si="112"/>
        <v>0</v>
      </c>
      <c r="O200" s="33">
        <f t="shared" si="115"/>
        <v>0</v>
      </c>
      <c r="P200" s="34">
        <v>0</v>
      </c>
      <c r="Q200" s="16">
        <f t="shared" si="116"/>
        <v>0</v>
      </c>
      <c r="S200" s="33">
        <v>0</v>
      </c>
      <c r="T200" s="34">
        <v>0</v>
      </c>
      <c r="U200" s="16">
        <f t="shared" si="117"/>
        <v>0</v>
      </c>
      <c r="W200" s="14">
        <f t="shared" si="121"/>
        <v>0</v>
      </c>
      <c r="X200" s="15">
        <v>0</v>
      </c>
      <c r="Y200" s="16">
        <f t="shared" si="118"/>
        <v>0</v>
      </c>
      <c r="Z200" s="70"/>
      <c r="AA200" s="14">
        <f t="shared" ref="AA200:AA263" si="122">ROUND($C$5*$AA$5/365*B200,2)</f>
        <v>1.64</v>
      </c>
      <c r="AB200" s="15">
        <v>0</v>
      </c>
      <c r="AC200" s="16">
        <f t="shared" ref="AC200:AC263" si="123">AC199+AA200-AB200</f>
        <v>21.320000000000004</v>
      </c>
      <c r="AD200" s="70"/>
      <c r="AF200" s="19">
        <v>61</v>
      </c>
      <c r="AG200" s="30">
        <f t="shared" ref="AG200:AG263" si="124">A200</f>
        <v>46194</v>
      </c>
      <c r="AH200" s="31">
        <f t="shared" ref="AH200:AH263" si="125">E200</f>
        <v>15000.02</v>
      </c>
      <c r="AI200" s="31">
        <f t="shared" ref="AI200:AI263" si="126">D200</f>
        <v>0</v>
      </c>
      <c r="AJ200" s="34">
        <f t="shared" ref="AJ200:AJ263" si="127">H200</f>
        <v>0</v>
      </c>
      <c r="AK200" s="31">
        <f t="shared" ref="AK200:AK263" si="128">AB200</f>
        <v>0</v>
      </c>
      <c r="AL200" s="32">
        <f t="shared" si="119"/>
        <v>0</v>
      </c>
    </row>
    <row r="201" spans="1:38" hidden="1" outlineLevel="1" x14ac:dyDescent="0.45">
      <c r="A201" s="27">
        <v>46195</v>
      </c>
      <c r="B201" s="28">
        <f t="shared" si="113"/>
        <v>1</v>
      </c>
      <c r="C201" s="14">
        <v>0</v>
      </c>
      <c r="D201" s="15">
        <v>0</v>
      </c>
      <c r="E201" s="16">
        <f t="shared" ref="E201:E264" si="129">ROUND(E200+C201-D201,2)</f>
        <v>15000.02</v>
      </c>
      <c r="F201" s="2"/>
      <c r="G201" s="33">
        <f t="shared" si="120"/>
        <v>9.0399999999999991</v>
      </c>
      <c r="H201" s="34">
        <v>0</v>
      </c>
      <c r="I201" s="16">
        <f t="shared" si="114"/>
        <v>126.55999999999997</v>
      </c>
      <c r="K201" s="14">
        <v>0</v>
      </c>
      <c r="L201" s="15">
        <v>0</v>
      </c>
      <c r="M201" s="16">
        <f t="shared" ref="M201:M264" si="130">ROUND(M200+K201-L201,2)</f>
        <v>0</v>
      </c>
      <c r="O201" s="33">
        <f t="shared" si="115"/>
        <v>0</v>
      </c>
      <c r="P201" s="34">
        <v>0</v>
      </c>
      <c r="Q201" s="16">
        <f t="shared" si="116"/>
        <v>0</v>
      </c>
      <c r="S201" s="33">
        <v>0</v>
      </c>
      <c r="T201" s="34">
        <v>0</v>
      </c>
      <c r="U201" s="16">
        <f t="shared" si="117"/>
        <v>0</v>
      </c>
      <c r="W201" s="14">
        <f t="shared" si="121"/>
        <v>0</v>
      </c>
      <c r="X201" s="15">
        <v>0</v>
      </c>
      <c r="Y201" s="16">
        <f t="shared" si="118"/>
        <v>0</v>
      </c>
      <c r="Z201" s="70"/>
      <c r="AA201" s="14">
        <f t="shared" si="122"/>
        <v>1.64</v>
      </c>
      <c r="AB201" s="15">
        <v>0</v>
      </c>
      <c r="AC201" s="16">
        <f t="shared" si="123"/>
        <v>22.960000000000004</v>
      </c>
      <c r="AD201" s="70"/>
      <c r="AF201" s="19">
        <v>62</v>
      </c>
      <c r="AG201" s="30">
        <f t="shared" si="124"/>
        <v>46195</v>
      </c>
      <c r="AH201" s="31">
        <f t="shared" si="125"/>
        <v>15000.02</v>
      </c>
      <c r="AI201" s="31">
        <f t="shared" si="126"/>
        <v>0</v>
      </c>
      <c r="AJ201" s="34">
        <f t="shared" si="127"/>
        <v>0</v>
      </c>
      <c r="AK201" s="31">
        <f t="shared" si="128"/>
        <v>0</v>
      </c>
      <c r="AL201" s="32">
        <f t="shared" si="119"/>
        <v>0</v>
      </c>
    </row>
    <row r="202" spans="1:38" hidden="1" outlineLevel="1" x14ac:dyDescent="0.45">
      <c r="A202" s="27">
        <v>46196</v>
      </c>
      <c r="B202" s="28">
        <f t="shared" ref="B202:B265" si="131">A202-A201</f>
        <v>1</v>
      </c>
      <c r="C202" s="14">
        <v>0</v>
      </c>
      <c r="D202" s="15">
        <v>0</v>
      </c>
      <c r="E202" s="16">
        <f t="shared" si="129"/>
        <v>15000.02</v>
      </c>
      <c r="F202" s="2"/>
      <c r="G202" s="33">
        <f t="shared" si="120"/>
        <v>9.0399999999999991</v>
      </c>
      <c r="H202" s="34">
        <v>0</v>
      </c>
      <c r="I202" s="16">
        <f t="shared" ref="I202:I265" si="132">I201+G202-H202</f>
        <v>135.59999999999997</v>
      </c>
      <c r="K202" s="14">
        <v>0</v>
      </c>
      <c r="L202" s="15">
        <v>0</v>
      </c>
      <c r="M202" s="16">
        <f t="shared" si="130"/>
        <v>0</v>
      </c>
      <c r="O202" s="33">
        <f t="shared" ref="O202:O265" si="133">ROUND(M202*$O$5/$D$5*B202,2)</f>
        <v>0</v>
      </c>
      <c r="P202" s="34">
        <v>0</v>
      </c>
      <c r="Q202" s="16">
        <f t="shared" ref="Q202:Q265" si="134">Q201+O202-P202</f>
        <v>0</v>
      </c>
      <c r="S202" s="33">
        <v>0</v>
      </c>
      <c r="T202" s="34">
        <v>0</v>
      </c>
      <c r="U202" s="16">
        <f t="shared" ref="U202:U265" si="135">U201+S202-T202</f>
        <v>0</v>
      </c>
      <c r="W202" s="14">
        <f t="shared" si="121"/>
        <v>0</v>
      </c>
      <c r="X202" s="15">
        <v>0</v>
      </c>
      <c r="Y202" s="16">
        <f t="shared" ref="Y202:Y265" si="136">Y201+W202-X202</f>
        <v>0</v>
      </c>
      <c r="Z202" s="70"/>
      <c r="AA202" s="14">
        <f t="shared" si="122"/>
        <v>1.64</v>
      </c>
      <c r="AB202" s="15">
        <v>0</v>
      </c>
      <c r="AC202" s="16">
        <f t="shared" si="123"/>
        <v>24.600000000000005</v>
      </c>
      <c r="AD202" s="70"/>
      <c r="AF202" s="19">
        <v>63</v>
      </c>
      <c r="AG202" s="30">
        <f t="shared" si="124"/>
        <v>46196</v>
      </c>
      <c r="AH202" s="31">
        <f t="shared" si="125"/>
        <v>15000.02</v>
      </c>
      <c r="AI202" s="31">
        <f t="shared" si="126"/>
        <v>0</v>
      </c>
      <c r="AJ202" s="34">
        <f t="shared" si="127"/>
        <v>0</v>
      </c>
      <c r="AK202" s="31">
        <f t="shared" si="128"/>
        <v>0</v>
      </c>
      <c r="AL202" s="32">
        <f t="shared" ref="AL202:AL265" si="137">AI202+AJ202+AK202</f>
        <v>0</v>
      </c>
    </row>
    <row r="203" spans="1:38" hidden="1" outlineLevel="1" x14ac:dyDescent="0.45">
      <c r="A203" s="27">
        <v>46197</v>
      </c>
      <c r="B203" s="28">
        <f t="shared" si="131"/>
        <v>1</v>
      </c>
      <c r="C203" s="14">
        <v>0</v>
      </c>
      <c r="D203" s="15">
        <v>0</v>
      </c>
      <c r="E203" s="16">
        <f t="shared" si="129"/>
        <v>15000.02</v>
      </c>
      <c r="F203" s="2"/>
      <c r="G203" s="33">
        <f t="shared" si="120"/>
        <v>9.0399999999999991</v>
      </c>
      <c r="H203" s="34">
        <v>0</v>
      </c>
      <c r="I203" s="16">
        <f t="shared" si="132"/>
        <v>144.63999999999996</v>
      </c>
      <c r="K203" s="14">
        <v>0</v>
      </c>
      <c r="L203" s="15">
        <v>0</v>
      </c>
      <c r="M203" s="16">
        <f t="shared" si="130"/>
        <v>0</v>
      </c>
      <c r="O203" s="33">
        <f t="shared" si="133"/>
        <v>0</v>
      </c>
      <c r="P203" s="34">
        <v>0</v>
      </c>
      <c r="Q203" s="16">
        <f t="shared" si="134"/>
        <v>0</v>
      </c>
      <c r="S203" s="33">
        <v>0</v>
      </c>
      <c r="T203" s="34">
        <v>0</v>
      </c>
      <c r="U203" s="16">
        <f t="shared" si="135"/>
        <v>0</v>
      </c>
      <c r="W203" s="14">
        <f t="shared" si="121"/>
        <v>0</v>
      </c>
      <c r="X203" s="15">
        <v>0</v>
      </c>
      <c r="Y203" s="16">
        <f t="shared" si="136"/>
        <v>0</v>
      </c>
      <c r="Z203" s="70"/>
      <c r="AA203" s="14">
        <f t="shared" si="122"/>
        <v>1.64</v>
      </c>
      <c r="AB203" s="15">
        <v>0</v>
      </c>
      <c r="AC203" s="16">
        <f t="shared" si="123"/>
        <v>26.240000000000006</v>
      </c>
      <c r="AD203" s="70"/>
      <c r="AF203" s="19">
        <v>64</v>
      </c>
      <c r="AG203" s="30">
        <f t="shared" si="124"/>
        <v>46197</v>
      </c>
      <c r="AH203" s="31">
        <f t="shared" si="125"/>
        <v>15000.02</v>
      </c>
      <c r="AI203" s="31">
        <f t="shared" si="126"/>
        <v>0</v>
      </c>
      <c r="AJ203" s="34">
        <f t="shared" si="127"/>
        <v>0</v>
      </c>
      <c r="AK203" s="31">
        <f t="shared" si="128"/>
        <v>0</v>
      </c>
      <c r="AL203" s="32">
        <f t="shared" si="137"/>
        <v>0</v>
      </c>
    </row>
    <row r="204" spans="1:38" hidden="1" outlineLevel="1" x14ac:dyDescent="0.45">
      <c r="A204" s="27">
        <v>46198</v>
      </c>
      <c r="B204" s="28">
        <f t="shared" si="131"/>
        <v>1</v>
      </c>
      <c r="C204" s="14">
        <v>0</v>
      </c>
      <c r="D204" s="15">
        <v>0</v>
      </c>
      <c r="E204" s="16">
        <f t="shared" si="129"/>
        <v>15000.02</v>
      </c>
      <c r="F204" s="2"/>
      <c r="G204" s="33">
        <f t="shared" ref="G204:G267" si="138">ROUND(E204*$G$5/$D$5*B204,2)</f>
        <v>9.0399999999999991</v>
      </c>
      <c r="H204" s="34">
        <v>0</v>
      </c>
      <c r="I204" s="16">
        <f t="shared" si="132"/>
        <v>153.67999999999995</v>
      </c>
      <c r="K204" s="14">
        <v>0</v>
      </c>
      <c r="L204" s="15">
        <v>0</v>
      </c>
      <c r="M204" s="16">
        <f t="shared" si="130"/>
        <v>0</v>
      </c>
      <c r="O204" s="33">
        <f t="shared" si="133"/>
        <v>0</v>
      </c>
      <c r="P204" s="34">
        <v>0</v>
      </c>
      <c r="Q204" s="16">
        <f t="shared" si="134"/>
        <v>0</v>
      </c>
      <c r="S204" s="33">
        <v>0</v>
      </c>
      <c r="T204" s="34">
        <v>0</v>
      </c>
      <c r="U204" s="16">
        <f t="shared" si="135"/>
        <v>0</v>
      </c>
      <c r="W204" s="14">
        <f t="shared" si="121"/>
        <v>0</v>
      </c>
      <c r="X204" s="15">
        <v>0</v>
      </c>
      <c r="Y204" s="16">
        <f t="shared" si="136"/>
        <v>0</v>
      </c>
      <c r="Z204" s="70"/>
      <c r="AA204" s="14">
        <f t="shared" si="122"/>
        <v>1.64</v>
      </c>
      <c r="AB204" s="15">
        <v>0</v>
      </c>
      <c r="AC204" s="16">
        <f t="shared" si="123"/>
        <v>27.880000000000006</v>
      </c>
      <c r="AD204" s="70"/>
      <c r="AF204" s="19">
        <v>65</v>
      </c>
      <c r="AG204" s="30">
        <f t="shared" si="124"/>
        <v>46198</v>
      </c>
      <c r="AH204" s="31">
        <f t="shared" si="125"/>
        <v>15000.02</v>
      </c>
      <c r="AI204" s="31">
        <f t="shared" si="126"/>
        <v>0</v>
      </c>
      <c r="AJ204" s="34">
        <f t="shared" si="127"/>
        <v>0</v>
      </c>
      <c r="AK204" s="31">
        <f t="shared" si="128"/>
        <v>0</v>
      </c>
      <c r="AL204" s="32">
        <f t="shared" si="137"/>
        <v>0</v>
      </c>
    </row>
    <row r="205" spans="1:38" hidden="1" outlineLevel="1" x14ac:dyDescent="0.45">
      <c r="A205" s="27">
        <v>46199</v>
      </c>
      <c r="B205" s="28">
        <f t="shared" si="131"/>
        <v>1</v>
      </c>
      <c r="C205" s="14">
        <v>0</v>
      </c>
      <c r="D205" s="15">
        <v>0</v>
      </c>
      <c r="E205" s="16">
        <f t="shared" si="129"/>
        <v>15000.02</v>
      </c>
      <c r="F205" s="2"/>
      <c r="G205" s="33">
        <f t="shared" si="138"/>
        <v>9.0399999999999991</v>
      </c>
      <c r="H205" s="34">
        <v>0</v>
      </c>
      <c r="I205" s="16">
        <f t="shared" si="132"/>
        <v>162.71999999999994</v>
      </c>
      <c r="K205" s="14">
        <v>0</v>
      </c>
      <c r="L205" s="15">
        <v>0</v>
      </c>
      <c r="M205" s="16">
        <f t="shared" si="130"/>
        <v>0</v>
      </c>
      <c r="O205" s="33">
        <f t="shared" si="133"/>
        <v>0</v>
      </c>
      <c r="P205" s="34">
        <v>0</v>
      </c>
      <c r="Q205" s="16">
        <f t="shared" si="134"/>
        <v>0</v>
      </c>
      <c r="S205" s="33">
        <v>0</v>
      </c>
      <c r="T205" s="34">
        <v>0</v>
      </c>
      <c r="U205" s="16">
        <f t="shared" si="135"/>
        <v>0</v>
      </c>
      <c r="W205" s="14">
        <f t="shared" si="121"/>
        <v>0</v>
      </c>
      <c r="X205" s="15">
        <v>0</v>
      </c>
      <c r="Y205" s="16">
        <f t="shared" si="136"/>
        <v>0</v>
      </c>
      <c r="Z205" s="70"/>
      <c r="AA205" s="14">
        <f t="shared" si="122"/>
        <v>1.64</v>
      </c>
      <c r="AB205" s="15">
        <v>0</v>
      </c>
      <c r="AC205" s="16">
        <f t="shared" si="123"/>
        <v>29.520000000000007</v>
      </c>
      <c r="AD205" s="70"/>
      <c r="AF205" s="19">
        <v>66</v>
      </c>
      <c r="AG205" s="30">
        <f t="shared" si="124"/>
        <v>46199</v>
      </c>
      <c r="AH205" s="31">
        <f t="shared" si="125"/>
        <v>15000.02</v>
      </c>
      <c r="AI205" s="31">
        <f t="shared" si="126"/>
        <v>0</v>
      </c>
      <c r="AJ205" s="34">
        <f t="shared" si="127"/>
        <v>0</v>
      </c>
      <c r="AK205" s="31">
        <f t="shared" si="128"/>
        <v>0</v>
      </c>
      <c r="AL205" s="32">
        <f t="shared" si="137"/>
        <v>0</v>
      </c>
    </row>
    <row r="206" spans="1:38" hidden="1" outlineLevel="1" x14ac:dyDescent="0.45">
      <c r="A206" s="27">
        <v>46200</v>
      </c>
      <c r="B206" s="28">
        <f t="shared" si="131"/>
        <v>1</v>
      </c>
      <c r="C206" s="14">
        <v>0</v>
      </c>
      <c r="D206" s="15">
        <v>0</v>
      </c>
      <c r="E206" s="16">
        <f t="shared" si="129"/>
        <v>15000.02</v>
      </c>
      <c r="F206" s="2"/>
      <c r="G206" s="33">
        <f t="shared" si="138"/>
        <v>9.0399999999999991</v>
      </c>
      <c r="H206" s="34">
        <v>0</v>
      </c>
      <c r="I206" s="16">
        <f t="shared" si="132"/>
        <v>171.75999999999993</v>
      </c>
      <c r="K206" s="14">
        <v>0</v>
      </c>
      <c r="L206" s="15">
        <v>0</v>
      </c>
      <c r="M206" s="16">
        <f t="shared" si="130"/>
        <v>0</v>
      </c>
      <c r="O206" s="33">
        <f t="shared" si="133"/>
        <v>0</v>
      </c>
      <c r="P206" s="34">
        <v>0</v>
      </c>
      <c r="Q206" s="16">
        <f t="shared" si="134"/>
        <v>0</v>
      </c>
      <c r="S206" s="33">
        <v>0</v>
      </c>
      <c r="T206" s="34">
        <v>0</v>
      </c>
      <c r="U206" s="16">
        <f t="shared" si="135"/>
        <v>0</v>
      </c>
      <c r="W206" s="14">
        <f t="shared" si="121"/>
        <v>0</v>
      </c>
      <c r="X206" s="15">
        <v>0</v>
      </c>
      <c r="Y206" s="16">
        <f t="shared" si="136"/>
        <v>0</v>
      </c>
      <c r="Z206" s="70"/>
      <c r="AA206" s="14">
        <f t="shared" si="122"/>
        <v>1.64</v>
      </c>
      <c r="AB206" s="15">
        <v>0</v>
      </c>
      <c r="AC206" s="16">
        <f t="shared" si="123"/>
        <v>31.160000000000007</v>
      </c>
      <c r="AD206" s="70"/>
      <c r="AF206" s="19">
        <v>67</v>
      </c>
      <c r="AG206" s="30">
        <f t="shared" si="124"/>
        <v>46200</v>
      </c>
      <c r="AH206" s="31">
        <f t="shared" si="125"/>
        <v>15000.02</v>
      </c>
      <c r="AI206" s="31">
        <f t="shared" si="126"/>
        <v>0</v>
      </c>
      <c r="AJ206" s="34">
        <f t="shared" si="127"/>
        <v>0</v>
      </c>
      <c r="AK206" s="31">
        <f t="shared" si="128"/>
        <v>0</v>
      </c>
      <c r="AL206" s="32">
        <f t="shared" si="137"/>
        <v>0</v>
      </c>
    </row>
    <row r="207" spans="1:38" hidden="1" outlineLevel="1" x14ac:dyDescent="0.45">
      <c r="A207" s="27">
        <v>46201</v>
      </c>
      <c r="B207" s="28">
        <f t="shared" si="131"/>
        <v>1</v>
      </c>
      <c r="C207" s="14">
        <v>0</v>
      </c>
      <c r="D207" s="15">
        <v>0</v>
      </c>
      <c r="E207" s="16">
        <f t="shared" si="129"/>
        <v>15000.02</v>
      </c>
      <c r="F207" s="2"/>
      <c r="G207" s="33">
        <f t="shared" si="138"/>
        <v>9.0399999999999991</v>
      </c>
      <c r="H207" s="34">
        <v>0</v>
      </c>
      <c r="I207" s="16">
        <f t="shared" si="132"/>
        <v>180.79999999999993</v>
      </c>
      <c r="K207" s="14">
        <v>0</v>
      </c>
      <c r="L207" s="15">
        <v>0</v>
      </c>
      <c r="M207" s="16">
        <f t="shared" si="130"/>
        <v>0</v>
      </c>
      <c r="O207" s="33">
        <f t="shared" si="133"/>
        <v>0</v>
      </c>
      <c r="P207" s="34">
        <v>0</v>
      </c>
      <c r="Q207" s="16">
        <f t="shared" si="134"/>
        <v>0</v>
      </c>
      <c r="S207" s="33">
        <v>0</v>
      </c>
      <c r="T207" s="34">
        <v>0</v>
      </c>
      <c r="U207" s="16">
        <f t="shared" si="135"/>
        <v>0</v>
      </c>
      <c r="W207" s="14">
        <f t="shared" si="121"/>
        <v>0</v>
      </c>
      <c r="X207" s="15">
        <v>0</v>
      </c>
      <c r="Y207" s="16">
        <f t="shared" si="136"/>
        <v>0</v>
      </c>
      <c r="Z207" s="70"/>
      <c r="AA207" s="14">
        <f t="shared" si="122"/>
        <v>1.64</v>
      </c>
      <c r="AB207" s="15">
        <v>0</v>
      </c>
      <c r="AC207" s="16">
        <f t="shared" si="123"/>
        <v>32.800000000000004</v>
      </c>
      <c r="AD207" s="70"/>
      <c r="AF207" s="19">
        <v>68</v>
      </c>
      <c r="AG207" s="30">
        <f t="shared" si="124"/>
        <v>46201</v>
      </c>
      <c r="AH207" s="31">
        <f t="shared" si="125"/>
        <v>15000.02</v>
      </c>
      <c r="AI207" s="31">
        <f t="shared" si="126"/>
        <v>0</v>
      </c>
      <c r="AJ207" s="34">
        <f t="shared" si="127"/>
        <v>0</v>
      </c>
      <c r="AK207" s="31">
        <f t="shared" si="128"/>
        <v>0</v>
      </c>
      <c r="AL207" s="32">
        <f t="shared" si="137"/>
        <v>0</v>
      </c>
    </row>
    <row r="208" spans="1:38" hidden="1" outlineLevel="1" x14ac:dyDescent="0.45">
      <c r="A208" s="27">
        <v>46202</v>
      </c>
      <c r="B208" s="28">
        <f t="shared" si="131"/>
        <v>1</v>
      </c>
      <c r="C208" s="14">
        <v>0</v>
      </c>
      <c r="D208" s="15">
        <v>0</v>
      </c>
      <c r="E208" s="16">
        <f t="shared" si="129"/>
        <v>15000.02</v>
      </c>
      <c r="F208" s="2"/>
      <c r="G208" s="33">
        <f t="shared" si="138"/>
        <v>9.0399999999999991</v>
      </c>
      <c r="H208" s="34">
        <v>0</v>
      </c>
      <c r="I208" s="16">
        <f t="shared" si="132"/>
        <v>189.83999999999992</v>
      </c>
      <c r="K208" s="14">
        <v>0</v>
      </c>
      <c r="L208" s="15">
        <v>0</v>
      </c>
      <c r="M208" s="16">
        <f t="shared" si="130"/>
        <v>0</v>
      </c>
      <c r="O208" s="33">
        <f t="shared" si="133"/>
        <v>0</v>
      </c>
      <c r="P208" s="34">
        <v>0</v>
      </c>
      <c r="Q208" s="16">
        <f t="shared" si="134"/>
        <v>0</v>
      </c>
      <c r="S208" s="33">
        <v>0</v>
      </c>
      <c r="T208" s="34">
        <v>0</v>
      </c>
      <c r="U208" s="16">
        <f t="shared" si="135"/>
        <v>0</v>
      </c>
      <c r="W208" s="14">
        <f t="shared" si="121"/>
        <v>0</v>
      </c>
      <c r="X208" s="15">
        <v>0</v>
      </c>
      <c r="Y208" s="16">
        <f t="shared" si="136"/>
        <v>0</v>
      </c>
      <c r="Z208" s="70"/>
      <c r="AA208" s="14">
        <f t="shared" si="122"/>
        <v>1.64</v>
      </c>
      <c r="AB208" s="15">
        <v>0</v>
      </c>
      <c r="AC208" s="16">
        <f t="shared" si="123"/>
        <v>34.440000000000005</v>
      </c>
      <c r="AD208" s="70"/>
      <c r="AF208" s="19">
        <v>69</v>
      </c>
      <c r="AG208" s="30">
        <f t="shared" si="124"/>
        <v>46202</v>
      </c>
      <c r="AH208" s="31">
        <f t="shared" si="125"/>
        <v>15000.02</v>
      </c>
      <c r="AI208" s="31">
        <f t="shared" si="126"/>
        <v>0</v>
      </c>
      <c r="AJ208" s="34">
        <f t="shared" si="127"/>
        <v>0</v>
      </c>
      <c r="AK208" s="31">
        <f t="shared" si="128"/>
        <v>0</v>
      </c>
      <c r="AL208" s="32">
        <f t="shared" si="137"/>
        <v>0</v>
      </c>
    </row>
    <row r="209" spans="1:44" hidden="1" outlineLevel="1" x14ac:dyDescent="0.45">
      <c r="A209" s="27">
        <v>46203</v>
      </c>
      <c r="B209" s="28">
        <f t="shared" si="131"/>
        <v>1</v>
      </c>
      <c r="C209" s="14">
        <v>0</v>
      </c>
      <c r="D209" s="15">
        <v>0</v>
      </c>
      <c r="E209" s="16">
        <f t="shared" si="129"/>
        <v>15000.02</v>
      </c>
      <c r="F209" s="2"/>
      <c r="G209" s="33">
        <f t="shared" si="138"/>
        <v>9.0399999999999991</v>
      </c>
      <c r="H209" s="34">
        <v>0</v>
      </c>
      <c r="I209" s="16">
        <f t="shared" si="132"/>
        <v>198.87999999999991</v>
      </c>
      <c r="K209" s="14">
        <v>0</v>
      </c>
      <c r="L209" s="15">
        <v>0</v>
      </c>
      <c r="M209" s="16">
        <f t="shared" si="130"/>
        <v>0</v>
      </c>
      <c r="O209" s="33">
        <f t="shared" si="133"/>
        <v>0</v>
      </c>
      <c r="P209" s="34">
        <v>0</v>
      </c>
      <c r="Q209" s="16">
        <f t="shared" si="134"/>
        <v>0</v>
      </c>
      <c r="S209" s="33">
        <v>0</v>
      </c>
      <c r="T209" s="34">
        <v>0</v>
      </c>
      <c r="U209" s="16">
        <f t="shared" si="135"/>
        <v>0</v>
      </c>
      <c r="W209" s="14">
        <f t="shared" si="121"/>
        <v>0</v>
      </c>
      <c r="X209" s="15">
        <v>0</v>
      </c>
      <c r="Y209" s="16">
        <f t="shared" si="136"/>
        <v>0</v>
      </c>
      <c r="Z209" s="70"/>
      <c r="AA209" s="14">
        <f t="shared" si="122"/>
        <v>1.64</v>
      </c>
      <c r="AB209" s="15">
        <v>0</v>
      </c>
      <c r="AC209" s="16">
        <f t="shared" si="123"/>
        <v>36.080000000000005</v>
      </c>
      <c r="AD209" s="70"/>
      <c r="AF209" s="19">
        <v>70</v>
      </c>
      <c r="AG209" s="30">
        <f t="shared" si="124"/>
        <v>46203</v>
      </c>
      <c r="AH209" s="31">
        <f t="shared" si="125"/>
        <v>15000.02</v>
      </c>
      <c r="AI209" s="31">
        <f t="shared" si="126"/>
        <v>0</v>
      </c>
      <c r="AJ209" s="34">
        <f t="shared" si="127"/>
        <v>0</v>
      </c>
      <c r="AK209" s="31">
        <f t="shared" si="128"/>
        <v>0</v>
      </c>
      <c r="AL209" s="32">
        <f t="shared" si="137"/>
        <v>0</v>
      </c>
    </row>
    <row r="210" spans="1:44" hidden="1" outlineLevel="1" x14ac:dyDescent="0.45">
      <c r="A210" s="27">
        <v>46204</v>
      </c>
      <c r="B210" s="28">
        <f t="shared" si="131"/>
        <v>1</v>
      </c>
      <c r="C210" s="14">
        <v>0</v>
      </c>
      <c r="D210" s="15">
        <v>0</v>
      </c>
      <c r="E210" s="16">
        <f t="shared" si="129"/>
        <v>15000.02</v>
      </c>
      <c r="F210" s="2"/>
      <c r="G210" s="33">
        <f t="shared" si="138"/>
        <v>9.0399999999999991</v>
      </c>
      <c r="H210" s="34">
        <v>0</v>
      </c>
      <c r="I210" s="16">
        <f t="shared" si="132"/>
        <v>207.9199999999999</v>
      </c>
      <c r="K210" s="14">
        <v>0</v>
      </c>
      <c r="L210" s="15">
        <v>0</v>
      </c>
      <c r="M210" s="16">
        <f t="shared" si="130"/>
        <v>0</v>
      </c>
      <c r="O210" s="33">
        <f t="shared" si="133"/>
        <v>0</v>
      </c>
      <c r="P210" s="34">
        <v>0</v>
      </c>
      <c r="Q210" s="16">
        <f t="shared" si="134"/>
        <v>0</v>
      </c>
      <c r="S210" s="33">
        <v>0</v>
      </c>
      <c r="T210" s="34">
        <v>0</v>
      </c>
      <c r="U210" s="16">
        <f t="shared" si="135"/>
        <v>0</v>
      </c>
      <c r="W210" s="14">
        <f t="shared" si="121"/>
        <v>0</v>
      </c>
      <c r="X210" s="15">
        <v>0</v>
      </c>
      <c r="Y210" s="16">
        <f t="shared" si="136"/>
        <v>0</v>
      </c>
      <c r="Z210" s="70"/>
      <c r="AA210" s="14">
        <f t="shared" si="122"/>
        <v>1.64</v>
      </c>
      <c r="AB210" s="15">
        <v>0</v>
      </c>
      <c r="AC210" s="16">
        <f t="shared" si="123"/>
        <v>37.720000000000006</v>
      </c>
      <c r="AD210" s="70"/>
      <c r="AF210" s="19">
        <v>71</v>
      </c>
      <c r="AG210" s="30">
        <f t="shared" si="124"/>
        <v>46204</v>
      </c>
      <c r="AH210" s="31">
        <f t="shared" si="125"/>
        <v>15000.02</v>
      </c>
      <c r="AI210" s="31">
        <f t="shared" si="126"/>
        <v>0</v>
      </c>
      <c r="AJ210" s="34">
        <f t="shared" si="127"/>
        <v>0</v>
      </c>
      <c r="AK210" s="31">
        <f t="shared" si="128"/>
        <v>0</v>
      </c>
      <c r="AL210" s="32">
        <f t="shared" si="137"/>
        <v>0</v>
      </c>
    </row>
    <row r="211" spans="1:44" hidden="1" outlineLevel="1" x14ac:dyDescent="0.45">
      <c r="A211" s="27">
        <v>46205</v>
      </c>
      <c r="B211" s="28">
        <f t="shared" si="131"/>
        <v>1</v>
      </c>
      <c r="C211" s="14">
        <v>0</v>
      </c>
      <c r="D211" s="15">
        <v>0</v>
      </c>
      <c r="E211" s="16">
        <f t="shared" si="129"/>
        <v>15000.02</v>
      </c>
      <c r="F211" s="2"/>
      <c r="G211" s="33">
        <f t="shared" si="138"/>
        <v>9.0399999999999991</v>
      </c>
      <c r="H211" s="34">
        <v>0</v>
      </c>
      <c r="I211" s="16">
        <f t="shared" si="132"/>
        <v>216.95999999999989</v>
      </c>
      <c r="K211" s="14">
        <v>0</v>
      </c>
      <c r="L211" s="15">
        <v>0</v>
      </c>
      <c r="M211" s="16">
        <f t="shared" si="130"/>
        <v>0</v>
      </c>
      <c r="O211" s="33">
        <f t="shared" si="133"/>
        <v>0</v>
      </c>
      <c r="P211" s="34">
        <v>0</v>
      </c>
      <c r="Q211" s="16">
        <f t="shared" si="134"/>
        <v>0</v>
      </c>
      <c r="S211" s="33">
        <v>0</v>
      </c>
      <c r="T211" s="34">
        <v>0</v>
      </c>
      <c r="U211" s="16">
        <f t="shared" si="135"/>
        <v>0</v>
      </c>
      <c r="W211" s="14">
        <f t="shared" si="121"/>
        <v>0</v>
      </c>
      <c r="X211" s="15">
        <v>0</v>
      </c>
      <c r="Y211" s="16">
        <f t="shared" si="136"/>
        <v>0</v>
      </c>
      <c r="Z211" s="70"/>
      <c r="AA211" s="14">
        <f t="shared" si="122"/>
        <v>1.64</v>
      </c>
      <c r="AB211" s="15">
        <v>0</v>
      </c>
      <c r="AC211" s="16">
        <f t="shared" si="123"/>
        <v>39.360000000000007</v>
      </c>
      <c r="AD211" s="70"/>
      <c r="AF211" s="19">
        <v>72</v>
      </c>
      <c r="AG211" s="30">
        <f t="shared" si="124"/>
        <v>46205</v>
      </c>
      <c r="AH211" s="31">
        <f t="shared" si="125"/>
        <v>15000.02</v>
      </c>
      <c r="AI211" s="31">
        <f t="shared" si="126"/>
        <v>0</v>
      </c>
      <c r="AJ211" s="34">
        <f t="shared" si="127"/>
        <v>0</v>
      </c>
      <c r="AK211" s="31">
        <f t="shared" si="128"/>
        <v>0</v>
      </c>
      <c r="AL211" s="32">
        <f t="shared" si="137"/>
        <v>0</v>
      </c>
    </row>
    <row r="212" spans="1:44" hidden="1" outlineLevel="1" x14ac:dyDescent="0.45">
      <c r="A212" s="27">
        <v>46206</v>
      </c>
      <c r="B212" s="28">
        <f t="shared" si="131"/>
        <v>1</v>
      </c>
      <c r="C212" s="14">
        <v>0</v>
      </c>
      <c r="D212" s="15">
        <v>0</v>
      </c>
      <c r="E212" s="16">
        <f t="shared" si="129"/>
        <v>15000.02</v>
      </c>
      <c r="F212" s="2"/>
      <c r="G212" s="33">
        <f t="shared" si="138"/>
        <v>9.0399999999999991</v>
      </c>
      <c r="H212" s="34">
        <v>0</v>
      </c>
      <c r="I212" s="16">
        <f t="shared" si="132"/>
        <v>225.99999999999989</v>
      </c>
      <c r="K212" s="14">
        <v>0</v>
      </c>
      <c r="L212" s="15">
        <v>0</v>
      </c>
      <c r="M212" s="16">
        <f t="shared" si="130"/>
        <v>0</v>
      </c>
      <c r="O212" s="33">
        <f t="shared" si="133"/>
        <v>0</v>
      </c>
      <c r="P212" s="34">
        <v>0</v>
      </c>
      <c r="Q212" s="16">
        <f t="shared" si="134"/>
        <v>0</v>
      </c>
      <c r="S212" s="33">
        <v>0</v>
      </c>
      <c r="T212" s="34">
        <v>0</v>
      </c>
      <c r="U212" s="16">
        <f t="shared" si="135"/>
        <v>0</v>
      </c>
      <c r="W212" s="14">
        <f t="shared" si="121"/>
        <v>0</v>
      </c>
      <c r="X212" s="15">
        <v>0</v>
      </c>
      <c r="Y212" s="16">
        <f t="shared" si="136"/>
        <v>0</v>
      </c>
      <c r="Z212" s="70"/>
      <c r="AA212" s="14">
        <f t="shared" si="122"/>
        <v>1.64</v>
      </c>
      <c r="AB212" s="15">
        <v>0</v>
      </c>
      <c r="AC212" s="16">
        <f t="shared" si="123"/>
        <v>41.000000000000007</v>
      </c>
      <c r="AD212" s="70"/>
      <c r="AF212" s="19">
        <v>73</v>
      </c>
      <c r="AG212" s="30">
        <f t="shared" si="124"/>
        <v>46206</v>
      </c>
      <c r="AH212" s="31">
        <f t="shared" si="125"/>
        <v>15000.02</v>
      </c>
      <c r="AI212" s="31">
        <f t="shared" si="126"/>
        <v>0</v>
      </c>
      <c r="AJ212" s="34">
        <f t="shared" si="127"/>
        <v>0</v>
      </c>
      <c r="AK212" s="31">
        <f t="shared" si="128"/>
        <v>0</v>
      </c>
      <c r="AL212" s="32">
        <f t="shared" si="137"/>
        <v>0</v>
      </c>
    </row>
    <row r="213" spans="1:44" hidden="1" outlineLevel="1" x14ac:dyDescent="0.45">
      <c r="A213" s="27">
        <v>46207</v>
      </c>
      <c r="B213" s="28">
        <f t="shared" si="131"/>
        <v>1</v>
      </c>
      <c r="C213" s="14">
        <v>0</v>
      </c>
      <c r="D213" s="15">
        <v>0</v>
      </c>
      <c r="E213" s="16">
        <f t="shared" si="129"/>
        <v>15000.02</v>
      </c>
      <c r="F213" s="2"/>
      <c r="G213" s="33">
        <f t="shared" si="138"/>
        <v>9.0399999999999991</v>
      </c>
      <c r="H213" s="34">
        <v>0</v>
      </c>
      <c r="I213" s="16">
        <f t="shared" si="132"/>
        <v>235.03999999999988</v>
      </c>
      <c r="K213" s="14">
        <v>0</v>
      </c>
      <c r="L213" s="15">
        <v>0</v>
      </c>
      <c r="M213" s="16">
        <f t="shared" si="130"/>
        <v>0</v>
      </c>
      <c r="O213" s="33">
        <f t="shared" si="133"/>
        <v>0</v>
      </c>
      <c r="P213" s="34">
        <v>0</v>
      </c>
      <c r="Q213" s="16">
        <f t="shared" si="134"/>
        <v>0</v>
      </c>
      <c r="S213" s="33">
        <v>0</v>
      </c>
      <c r="T213" s="34">
        <v>0</v>
      </c>
      <c r="U213" s="16">
        <f t="shared" si="135"/>
        <v>0</v>
      </c>
      <c r="W213" s="14">
        <f t="shared" si="121"/>
        <v>0</v>
      </c>
      <c r="X213" s="15">
        <v>0</v>
      </c>
      <c r="Y213" s="16">
        <f t="shared" si="136"/>
        <v>0</v>
      </c>
      <c r="Z213" s="70"/>
      <c r="AA213" s="14">
        <f t="shared" si="122"/>
        <v>1.64</v>
      </c>
      <c r="AB213" s="15">
        <v>0</v>
      </c>
      <c r="AC213" s="16">
        <f t="shared" si="123"/>
        <v>42.640000000000008</v>
      </c>
      <c r="AD213" s="70"/>
      <c r="AF213" s="19">
        <v>74</v>
      </c>
      <c r="AG213" s="30">
        <f t="shared" si="124"/>
        <v>46207</v>
      </c>
      <c r="AH213" s="31">
        <f t="shared" si="125"/>
        <v>15000.02</v>
      </c>
      <c r="AI213" s="31">
        <f t="shared" si="126"/>
        <v>0</v>
      </c>
      <c r="AJ213" s="34">
        <f t="shared" si="127"/>
        <v>0</v>
      </c>
      <c r="AK213" s="31">
        <f t="shared" si="128"/>
        <v>0</v>
      </c>
      <c r="AL213" s="32">
        <f t="shared" si="137"/>
        <v>0</v>
      </c>
    </row>
    <row r="214" spans="1:44" hidden="1" outlineLevel="1" x14ac:dyDescent="0.45">
      <c r="A214" s="27">
        <v>46208</v>
      </c>
      <c r="B214" s="28">
        <f t="shared" si="131"/>
        <v>1</v>
      </c>
      <c r="C214" s="14">
        <v>0</v>
      </c>
      <c r="D214" s="15">
        <v>0</v>
      </c>
      <c r="E214" s="16">
        <f t="shared" si="129"/>
        <v>15000.02</v>
      </c>
      <c r="F214" s="2"/>
      <c r="G214" s="33">
        <f t="shared" si="138"/>
        <v>9.0399999999999991</v>
      </c>
      <c r="H214" s="34">
        <v>0</v>
      </c>
      <c r="I214" s="16">
        <f t="shared" si="132"/>
        <v>244.07999999999987</v>
      </c>
      <c r="K214" s="14">
        <v>0</v>
      </c>
      <c r="L214" s="15">
        <v>0</v>
      </c>
      <c r="M214" s="16">
        <f t="shared" si="130"/>
        <v>0</v>
      </c>
      <c r="O214" s="33">
        <f t="shared" si="133"/>
        <v>0</v>
      </c>
      <c r="P214" s="34">
        <v>0</v>
      </c>
      <c r="Q214" s="16">
        <f t="shared" si="134"/>
        <v>0</v>
      </c>
      <c r="S214" s="33">
        <v>0</v>
      </c>
      <c r="T214" s="34">
        <v>0</v>
      </c>
      <c r="U214" s="16">
        <f t="shared" si="135"/>
        <v>0</v>
      </c>
      <c r="W214" s="14">
        <f t="shared" si="121"/>
        <v>0</v>
      </c>
      <c r="X214" s="15">
        <v>0</v>
      </c>
      <c r="Y214" s="16">
        <f t="shared" si="136"/>
        <v>0</v>
      </c>
      <c r="Z214" s="70"/>
      <c r="AA214" s="14">
        <f t="shared" si="122"/>
        <v>1.64</v>
      </c>
      <c r="AB214" s="15">
        <v>0</v>
      </c>
      <c r="AC214" s="16">
        <f t="shared" si="123"/>
        <v>44.280000000000008</v>
      </c>
      <c r="AD214" s="70"/>
      <c r="AF214" s="19">
        <v>75</v>
      </c>
      <c r="AG214" s="30">
        <f t="shared" si="124"/>
        <v>46208</v>
      </c>
      <c r="AH214" s="31">
        <f t="shared" si="125"/>
        <v>15000.02</v>
      </c>
      <c r="AI214" s="31">
        <f t="shared" si="126"/>
        <v>0</v>
      </c>
      <c r="AJ214" s="34">
        <f t="shared" si="127"/>
        <v>0</v>
      </c>
      <c r="AK214" s="31">
        <f t="shared" si="128"/>
        <v>0</v>
      </c>
      <c r="AL214" s="32">
        <f t="shared" si="137"/>
        <v>0</v>
      </c>
    </row>
    <row r="215" spans="1:44" hidden="1" outlineLevel="1" x14ac:dyDescent="0.45">
      <c r="A215" s="27">
        <v>46209</v>
      </c>
      <c r="B215" s="28">
        <f t="shared" si="131"/>
        <v>1</v>
      </c>
      <c r="C215" s="14">
        <v>0</v>
      </c>
      <c r="D215" s="15">
        <v>0</v>
      </c>
      <c r="E215" s="16">
        <f t="shared" si="129"/>
        <v>15000.02</v>
      </c>
      <c r="F215" s="2"/>
      <c r="G215" s="33">
        <f t="shared" si="138"/>
        <v>9.0399999999999991</v>
      </c>
      <c r="H215" s="34">
        <v>0</v>
      </c>
      <c r="I215" s="16">
        <f t="shared" si="132"/>
        <v>253.11999999999986</v>
      </c>
      <c r="K215" s="14">
        <v>0</v>
      </c>
      <c r="L215" s="15">
        <v>0</v>
      </c>
      <c r="M215" s="16">
        <f t="shared" si="130"/>
        <v>0</v>
      </c>
      <c r="O215" s="33">
        <f t="shared" si="133"/>
        <v>0</v>
      </c>
      <c r="P215" s="34">
        <v>0</v>
      </c>
      <c r="Q215" s="16">
        <f t="shared" si="134"/>
        <v>0</v>
      </c>
      <c r="S215" s="33">
        <v>0</v>
      </c>
      <c r="T215" s="34">
        <v>0</v>
      </c>
      <c r="U215" s="16">
        <f t="shared" si="135"/>
        <v>0</v>
      </c>
      <c r="W215" s="14">
        <f t="shared" si="121"/>
        <v>0</v>
      </c>
      <c r="X215" s="15">
        <v>0</v>
      </c>
      <c r="Y215" s="16">
        <f t="shared" si="136"/>
        <v>0</v>
      </c>
      <c r="Z215" s="70"/>
      <c r="AA215" s="14">
        <f t="shared" si="122"/>
        <v>1.64</v>
      </c>
      <c r="AB215" s="15">
        <v>0</v>
      </c>
      <c r="AC215" s="16">
        <f t="shared" si="123"/>
        <v>45.920000000000009</v>
      </c>
      <c r="AD215" s="70"/>
      <c r="AF215" s="19">
        <v>76</v>
      </c>
      <c r="AG215" s="30">
        <f t="shared" si="124"/>
        <v>46209</v>
      </c>
      <c r="AH215" s="31">
        <f t="shared" si="125"/>
        <v>15000.02</v>
      </c>
      <c r="AI215" s="31">
        <f t="shared" si="126"/>
        <v>0</v>
      </c>
      <c r="AJ215" s="34">
        <f t="shared" si="127"/>
        <v>0</v>
      </c>
      <c r="AK215" s="31">
        <f t="shared" si="128"/>
        <v>0</v>
      </c>
      <c r="AL215" s="32">
        <f t="shared" si="137"/>
        <v>0</v>
      </c>
    </row>
    <row r="216" spans="1:44" hidden="1" outlineLevel="1" x14ac:dyDescent="0.45">
      <c r="A216" s="27">
        <v>46210</v>
      </c>
      <c r="B216" s="28">
        <f t="shared" si="131"/>
        <v>1</v>
      </c>
      <c r="C216" s="14">
        <v>0</v>
      </c>
      <c r="D216" s="15">
        <v>0</v>
      </c>
      <c r="E216" s="16">
        <f t="shared" si="129"/>
        <v>15000.02</v>
      </c>
      <c r="F216" s="2"/>
      <c r="G216" s="33">
        <f t="shared" si="138"/>
        <v>9.0399999999999991</v>
      </c>
      <c r="H216" s="34">
        <v>0</v>
      </c>
      <c r="I216" s="16">
        <f t="shared" si="132"/>
        <v>262.15999999999985</v>
      </c>
      <c r="K216" s="14">
        <v>0</v>
      </c>
      <c r="L216" s="15">
        <v>0</v>
      </c>
      <c r="M216" s="16">
        <f t="shared" si="130"/>
        <v>0</v>
      </c>
      <c r="O216" s="33">
        <f t="shared" si="133"/>
        <v>0</v>
      </c>
      <c r="P216" s="34">
        <v>0</v>
      </c>
      <c r="Q216" s="16">
        <f t="shared" si="134"/>
        <v>0</v>
      </c>
      <c r="S216" s="33">
        <v>0</v>
      </c>
      <c r="T216" s="34">
        <v>0</v>
      </c>
      <c r="U216" s="16">
        <f t="shared" si="135"/>
        <v>0</v>
      </c>
      <c r="W216" s="14">
        <f t="shared" si="121"/>
        <v>0</v>
      </c>
      <c r="X216" s="15">
        <v>0</v>
      </c>
      <c r="Y216" s="16">
        <f t="shared" si="136"/>
        <v>0</v>
      </c>
      <c r="Z216" s="70"/>
      <c r="AA216" s="14">
        <f t="shared" si="122"/>
        <v>1.64</v>
      </c>
      <c r="AB216" s="15">
        <v>0</v>
      </c>
      <c r="AC216" s="16">
        <f t="shared" si="123"/>
        <v>47.560000000000009</v>
      </c>
      <c r="AD216" s="70"/>
      <c r="AF216" s="19">
        <v>77</v>
      </c>
      <c r="AG216" s="30">
        <f t="shared" si="124"/>
        <v>46210</v>
      </c>
      <c r="AH216" s="31">
        <f t="shared" si="125"/>
        <v>15000.02</v>
      </c>
      <c r="AI216" s="31">
        <f t="shared" si="126"/>
        <v>0</v>
      </c>
      <c r="AJ216" s="34">
        <f t="shared" si="127"/>
        <v>0</v>
      </c>
      <c r="AK216" s="31">
        <f t="shared" si="128"/>
        <v>0</v>
      </c>
      <c r="AL216" s="32">
        <f t="shared" si="137"/>
        <v>0</v>
      </c>
    </row>
    <row r="217" spans="1:44" hidden="1" outlineLevel="1" x14ac:dyDescent="0.45">
      <c r="A217" s="27">
        <v>46211</v>
      </c>
      <c r="B217" s="28">
        <f t="shared" si="131"/>
        <v>1</v>
      </c>
      <c r="C217" s="14">
        <v>0</v>
      </c>
      <c r="D217" s="15">
        <v>0</v>
      </c>
      <c r="E217" s="16">
        <f t="shared" si="129"/>
        <v>15000.02</v>
      </c>
      <c r="F217" s="2"/>
      <c r="G217" s="33">
        <f t="shared" si="138"/>
        <v>9.0399999999999991</v>
      </c>
      <c r="H217" s="34">
        <v>0</v>
      </c>
      <c r="I217" s="16">
        <f t="shared" si="132"/>
        <v>271.19999999999987</v>
      </c>
      <c r="K217" s="14">
        <v>0</v>
      </c>
      <c r="L217" s="15">
        <v>0</v>
      </c>
      <c r="M217" s="16">
        <f t="shared" si="130"/>
        <v>0</v>
      </c>
      <c r="O217" s="33">
        <f t="shared" si="133"/>
        <v>0</v>
      </c>
      <c r="P217" s="34">
        <v>0</v>
      </c>
      <c r="Q217" s="16">
        <f t="shared" si="134"/>
        <v>0</v>
      </c>
      <c r="S217" s="33">
        <v>0</v>
      </c>
      <c r="T217" s="34">
        <v>0</v>
      </c>
      <c r="U217" s="16">
        <f t="shared" si="135"/>
        <v>0</v>
      </c>
      <c r="W217" s="14">
        <f t="shared" si="121"/>
        <v>0</v>
      </c>
      <c r="X217" s="15">
        <v>0</v>
      </c>
      <c r="Y217" s="16">
        <f t="shared" si="136"/>
        <v>0</v>
      </c>
      <c r="Z217" s="70"/>
      <c r="AA217" s="14">
        <f t="shared" si="122"/>
        <v>1.64</v>
      </c>
      <c r="AB217" s="15">
        <v>0</v>
      </c>
      <c r="AC217" s="16">
        <f t="shared" si="123"/>
        <v>49.20000000000001</v>
      </c>
      <c r="AD217" s="70"/>
      <c r="AF217" s="19">
        <v>78</v>
      </c>
      <c r="AG217" s="30">
        <f t="shared" si="124"/>
        <v>46211</v>
      </c>
      <c r="AH217" s="31">
        <f t="shared" si="125"/>
        <v>15000.02</v>
      </c>
      <c r="AI217" s="31">
        <f t="shared" si="126"/>
        <v>0</v>
      </c>
      <c r="AJ217" s="34">
        <f t="shared" si="127"/>
        <v>0</v>
      </c>
      <c r="AK217" s="31">
        <f t="shared" si="128"/>
        <v>0</v>
      </c>
      <c r="AL217" s="32">
        <f t="shared" si="137"/>
        <v>0</v>
      </c>
    </row>
    <row r="218" spans="1:44" hidden="1" outlineLevel="1" x14ac:dyDescent="0.45">
      <c r="A218" s="27">
        <v>46212</v>
      </c>
      <c r="B218" s="28">
        <f t="shared" si="131"/>
        <v>1</v>
      </c>
      <c r="C218" s="14">
        <v>0</v>
      </c>
      <c r="D218" s="15">
        <v>0</v>
      </c>
      <c r="E218" s="16">
        <f t="shared" si="129"/>
        <v>15000.02</v>
      </c>
      <c r="F218" s="2"/>
      <c r="G218" s="33">
        <f t="shared" si="138"/>
        <v>9.0399999999999991</v>
      </c>
      <c r="H218" s="34">
        <v>0</v>
      </c>
      <c r="I218" s="16">
        <f t="shared" si="132"/>
        <v>280.2399999999999</v>
      </c>
      <c r="K218" s="14">
        <v>0</v>
      </c>
      <c r="L218" s="15">
        <v>0</v>
      </c>
      <c r="M218" s="16">
        <f t="shared" si="130"/>
        <v>0</v>
      </c>
      <c r="O218" s="33">
        <f t="shared" si="133"/>
        <v>0</v>
      </c>
      <c r="P218" s="34">
        <v>0</v>
      </c>
      <c r="Q218" s="16">
        <f t="shared" si="134"/>
        <v>0</v>
      </c>
      <c r="S218" s="33">
        <v>0</v>
      </c>
      <c r="T218" s="34">
        <v>0</v>
      </c>
      <c r="U218" s="16">
        <f t="shared" si="135"/>
        <v>0</v>
      </c>
      <c r="W218" s="14">
        <f t="shared" si="121"/>
        <v>0</v>
      </c>
      <c r="X218" s="15">
        <v>0</v>
      </c>
      <c r="Y218" s="16">
        <f t="shared" si="136"/>
        <v>0</v>
      </c>
      <c r="Z218" s="70"/>
      <c r="AA218" s="14">
        <f t="shared" si="122"/>
        <v>1.64</v>
      </c>
      <c r="AB218" s="15">
        <v>0</v>
      </c>
      <c r="AC218" s="16">
        <f t="shared" si="123"/>
        <v>50.840000000000011</v>
      </c>
      <c r="AD218" s="70"/>
      <c r="AF218" s="19">
        <v>79</v>
      </c>
      <c r="AG218" s="30">
        <f t="shared" si="124"/>
        <v>46212</v>
      </c>
      <c r="AH218" s="31">
        <f t="shared" si="125"/>
        <v>15000.02</v>
      </c>
      <c r="AI218" s="31">
        <f t="shared" si="126"/>
        <v>0</v>
      </c>
      <c r="AJ218" s="34">
        <f t="shared" si="127"/>
        <v>0</v>
      </c>
      <c r="AK218" s="31">
        <f t="shared" si="128"/>
        <v>0</v>
      </c>
      <c r="AL218" s="32">
        <f t="shared" si="137"/>
        <v>0</v>
      </c>
    </row>
    <row r="219" spans="1:44" s="39" customFormat="1" collapsed="1" x14ac:dyDescent="0.45">
      <c r="A219" s="27">
        <v>46213</v>
      </c>
      <c r="B219" s="35">
        <f t="shared" si="131"/>
        <v>1</v>
      </c>
      <c r="C219" s="36">
        <v>0</v>
      </c>
      <c r="D219" s="37">
        <v>833.33</v>
      </c>
      <c r="E219" s="38">
        <f t="shared" si="129"/>
        <v>14166.69</v>
      </c>
      <c r="G219" s="33">
        <f t="shared" si="138"/>
        <v>8.5399999999999991</v>
      </c>
      <c r="H219" s="37">
        <f>I218</f>
        <v>280.2399999999999</v>
      </c>
      <c r="I219" s="38">
        <f t="shared" si="132"/>
        <v>8.5400000000000205</v>
      </c>
      <c r="K219" s="36">
        <v>0</v>
      </c>
      <c r="L219" s="37">
        <v>0</v>
      </c>
      <c r="M219" s="38">
        <f t="shared" si="130"/>
        <v>0</v>
      </c>
      <c r="O219" s="33">
        <f t="shared" si="133"/>
        <v>0</v>
      </c>
      <c r="P219" s="37">
        <f>Q218+O219</f>
        <v>0</v>
      </c>
      <c r="Q219" s="38">
        <f t="shared" si="134"/>
        <v>0</v>
      </c>
      <c r="S219" s="36">
        <v>0</v>
      </c>
      <c r="T219" s="37">
        <f>U218+S219</f>
        <v>0</v>
      </c>
      <c r="U219" s="38">
        <f t="shared" si="135"/>
        <v>0</v>
      </c>
      <c r="W219" s="14">
        <f t="shared" si="121"/>
        <v>0</v>
      </c>
      <c r="X219" s="15">
        <v>0</v>
      </c>
      <c r="Y219" s="38">
        <f t="shared" si="136"/>
        <v>0</v>
      </c>
      <c r="Z219" s="85"/>
      <c r="AA219" s="36">
        <f t="shared" si="122"/>
        <v>1.64</v>
      </c>
      <c r="AB219" s="37">
        <f>AC218</f>
        <v>50.840000000000011</v>
      </c>
      <c r="AC219" s="38">
        <f t="shared" si="123"/>
        <v>1.6400000000000006</v>
      </c>
      <c r="AD219" s="85"/>
      <c r="AF219" s="40">
        <v>30</v>
      </c>
      <c r="AG219" s="41">
        <f t="shared" si="124"/>
        <v>46213</v>
      </c>
      <c r="AH219" s="42">
        <f t="shared" si="125"/>
        <v>14166.69</v>
      </c>
      <c r="AI219" s="42">
        <f t="shared" si="126"/>
        <v>833.33</v>
      </c>
      <c r="AJ219" s="37">
        <f t="shared" si="127"/>
        <v>280.2399999999999</v>
      </c>
      <c r="AK219" s="42">
        <f>AC218</f>
        <v>50.840000000000011</v>
      </c>
      <c r="AL219" s="43">
        <f>AI219+AJ219+AK219</f>
        <v>1164.4099999999999</v>
      </c>
      <c r="AM219" s="44">
        <f>AL219</f>
        <v>1164.4099999999999</v>
      </c>
      <c r="AN219" s="44"/>
      <c r="AO219" s="5"/>
      <c r="AP219" s="46"/>
      <c r="AQ219" s="44"/>
      <c r="AR219" s="44"/>
    </row>
    <row r="220" spans="1:44" hidden="1" outlineLevel="1" x14ac:dyDescent="0.45">
      <c r="A220" s="27">
        <v>46214</v>
      </c>
      <c r="B220" s="28">
        <f t="shared" si="131"/>
        <v>1</v>
      </c>
      <c r="C220" s="14">
        <v>0</v>
      </c>
      <c r="D220" s="15">
        <v>0</v>
      </c>
      <c r="E220" s="16">
        <f t="shared" si="129"/>
        <v>14166.69</v>
      </c>
      <c r="F220" s="2"/>
      <c r="G220" s="33">
        <f t="shared" si="138"/>
        <v>8.5399999999999991</v>
      </c>
      <c r="H220" s="34">
        <v>0</v>
      </c>
      <c r="I220" s="16">
        <f t="shared" si="132"/>
        <v>17.08000000000002</v>
      </c>
      <c r="K220" s="14">
        <v>0</v>
      </c>
      <c r="L220" s="15">
        <v>0</v>
      </c>
      <c r="M220" s="16">
        <f t="shared" si="130"/>
        <v>0</v>
      </c>
      <c r="O220" s="33">
        <f t="shared" si="133"/>
        <v>0</v>
      </c>
      <c r="P220" s="34">
        <v>0</v>
      </c>
      <c r="Q220" s="16">
        <f t="shared" si="134"/>
        <v>0</v>
      </c>
      <c r="S220" s="33">
        <v>0</v>
      </c>
      <c r="T220" s="34">
        <v>0</v>
      </c>
      <c r="U220" s="16">
        <f t="shared" si="135"/>
        <v>0</v>
      </c>
      <c r="W220" s="14">
        <f t="shared" si="121"/>
        <v>0</v>
      </c>
      <c r="X220" s="15">
        <v>0</v>
      </c>
      <c r="Y220" s="16">
        <f t="shared" si="136"/>
        <v>0</v>
      </c>
      <c r="Z220" s="70"/>
      <c r="AA220" s="14">
        <f t="shared" si="122"/>
        <v>1.64</v>
      </c>
      <c r="AB220" s="15">
        <v>0</v>
      </c>
      <c r="AC220" s="16">
        <f t="shared" si="123"/>
        <v>3.2800000000000002</v>
      </c>
      <c r="AD220" s="70"/>
      <c r="AF220" s="19">
        <v>50</v>
      </c>
      <c r="AG220" s="30">
        <f t="shared" si="124"/>
        <v>46214</v>
      </c>
      <c r="AH220" s="31">
        <f t="shared" si="125"/>
        <v>14166.69</v>
      </c>
      <c r="AI220" s="31">
        <f t="shared" si="126"/>
        <v>0</v>
      </c>
      <c r="AJ220" s="34">
        <f t="shared" si="127"/>
        <v>0</v>
      </c>
      <c r="AK220" s="31">
        <f t="shared" si="128"/>
        <v>0</v>
      </c>
      <c r="AL220" s="32">
        <f t="shared" si="137"/>
        <v>0</v>
      </c>
    </row>
    <row r="221" spans="1:44" hidden="1" outlineLevel="1" x14ac:dyDescent="0.45">
      <c r="A221" s="27">
        <v>46215</v>
      </c>
      <c r="B221" s="28">
        <f t="shared" si="131"/>
        <v>1</v>
      </c>
      <c r="C221" s="14">
        <v>0</v>
      </c>
      <c r="D221" s="15">
        <v>0</v>
      </c>
      <c r="E221" s="16">
        <f t="shared" si="129"/>
        <v>14166.69</v>
      </c>
      <c r="F221" s="2"/>
      <c r="G221" s="33">
        <f t="shared" si="138"/>
        <v>8.5399999999999991</v>
      </c>
      <c r="H221" s="34">
        <v>0</v>
      </c>
      <c r="I221" s="16">
        <f t="shared" si="132"/>
        <v>25.620000000000019</v>
      </c>
      <c r="K221" s="14">
        <v>0</v>
      </c>
      <c r="L221" s="15">
        <v>0</v>
      </c>
      <c r="M221" s="16">
        <f t="shared" si="130"/>
        <v>0</v>
      </c>
      <c r="O221" s="33">
        <f t="shared" si="133"/>
        <v>0</v>
      </c>
      <c r="P221" s="34">
        <v>0</v>
      </c>
      <c r="Q221" s="16">
        <f t="shared" si="134"/>
        <v>0</v>
      </c>
      <c r="S221" s="33">
        <v>0</v>
      </c>
      <c r="T221" s="34">
        <v>0</v>
      </c>
      <c r="U221" s="16">
        <f t="shared" si="135"/>
        <v>0</v>
      </c>
      <c r="W221" s="14">
        <f t="shared" si="121"/>
        <v>0</v>
      </c>
      <c r="X221" s="15">
        <v>0</v>
      </c>
      <c r="Y221" s="16">
        <f t="shared" si="136"/>
        <v>0</v>
      </c>
      <c r="Z221" s="70"/>
      <c r="AA221" s="14">
        <f t="shared" si="122"/>
        <v>1.64</v>
      </c>
      <c r="AB221" s="15">
        <v>0</v>
      </c>
      <c r="AC221" s="16">
        <f t="shared" si="123"/>
        <v>4.92</v>
      </c>
      <c r="AD221" s="70"/>
      <c r="AF221" s="19">
        <v>51</v>
      </c>
      <c r="AG221" s="30">
        <f t="shared" si="124"/>
        <v>46215</v>
      </c>
      <c r="AH221" s="31">
        <f t="shared" si="125"/>
        <v>14166.69</v>
      </c>
      <c r="AI221" s="31">
        <f t="shared" si="126"/>
        <v>0</v>
      </c>
      <c r="AJ221" s="34">
        <f t="shared" si="127"/>
        <v>0</v>
      </c>
      <c r="AK221" s="31">
        <f t="shared" si="128"/>
        <v>0</v>
      </c>
      <c r="AL221" s="32">
        <f t="shared" si="137"/>
        <v>0</v>
      </c>
    </row>
    <row r="222" spans="1:44" hidden="1" outlineLevel="1" x14ac:dyDescent="0.45">
      <c r="A222" s="27">
        <v>46216</v>
      </c>
      <c r="B222" s="28">
        <f t="shared" si="131"/>
        <v>1</v>
      </c>
      <c r="C222" s="14">
        <v>0</v>
      </c>
      <c r="D222" s="15">
        <v>0</v>
      </c>
      <c r="E222" s="16">
        <f t="shared" si="129"/>
        <v>14166.69</v>
      </c>
      <c r="F222" s="2"/>
      <c r="G222" s="33">
        <f t="shared" si="138"/>
        <v>8.5399999999999991</v>
      </c>
      <c r="H222" s="34">
        <v>0</v>
      </c>
      <c r="I222" s="16">
        <f t="shared" si="132"/>
        <v>34.160000000000018</v>
      </c>
      <c r="K222" s="14">
        <v>0</v>
      </c>
      <c r="L222" s="15">
        <v>0</v>
      </c>
      <c r="M222" s="16">
        <f t="shared" si="130"/>
        <v>0</v>
      </c>
      <c r="O222" s="33">
        <f t="shared" si="133"/>
        <v>0</v>
      </c>
      <c r="P222" s="34">
        <v>0</v>
      </c>
      <c r="Q222" s="16">
        <f t="shared" si="134"/>
        <v>0</v>
      </c>
      <c r="S222" s="33">
        <v>0</v>
      </c>
      <c r="T222" s="34">
        <v>0</v>
      </c>
      <c r="U222" s="16">
        <f t="shared" si="135"/>
        <v>0</v>
      </c>
      <c r="W222" s="14">
        <f t="shared" si="121"/>
        <v>0</v>
      </c>
      <c r="X222" s="15">
        <v>0</v>
      </c>
      <c r="Y222" s="16">
        <f t="shared" si="136"/>
        <v>0</v>
      </c>
      <c r="Z222" s="70"/>
      <c r="AA222" s="14">
        <f t="shared" si="122"/>
        <v>1.64</v>
      </c>
      <c r="AB222" s="15">
        <v>0</v>
      </c>
      <c r="AC222" s="16">
        <f t="shared" si="123"/>
        <v>6.56</v>
      </c>
      <c r="AD222" s="70"/>
      <c r="AF222" s="19">
        <v>52</v>
      </c>
      <c r="AG222" s="30">
        <f t="shared" si="124"/>
        <v>46216</v>
      </c>
      <c r="AH222" s="31">
        <f t="shared" si="125"/>
        <v>14166.69</v>
      </c>
      <c r="AI222" s="31">
        <f t="shared" si="126"/>
        <v>0</v>
      </c>
      <c r="AJ222" s="34">
        <f t="shared" si="127"/>
        <v>0</v>
      </c>
      <c r="AK222" s="31">
        <f t="shared" si="128"/>
        <v>0</v>
      </c>
      <c r="AL222" s="32">
        <f t="shared" si="137"/>
        <v>0</v>
      </c>
    </row>
    <row r="223" spans="1:44" hidden="1" outlineLevel="1" x14ac:dyDescent="0.45">
      <c r="A223" s="27">
        <v>46217</v>
      </c>
      <c r="B223" s="28">
        <f t="shared" si="131"/>
        <v>1</v>
      </c>
      <c r="C223" s="14">
        <v>0</v>
      </c>
      <c r="D223" s="15">
        <v>0</v>
      </c>
      <c r="E223" s="16">
        <f t="shared" si="129"/>
        <v>14166.69</v>
      </c>
      <c r="F223" s="2"/>
      <c r="G223" s="33">
        <f t="shared" si="138"/>
        <v>8.5399999999999991</v>
      </c>
      <c r="H223" s="34">
        <v>0</v>
      </c>
      <c r="I223" s="16">
        <f t="shared" si="132"/>
        <v>42.700000000000017</v>
      </c>
      <c r="K223" s="14">
        <v>0</v>
      </c>
      <c r="L223" s="15">
        <v>0</v>
      </c>
      <c r="M223" s="16">
        <f t="shared" si="130"/>
        <v>0</v>
      </c>
      <c r="O223" s="33">
        <f t="shared" si="133"/>
        <v>0</v>
      </c>
      <c r="P223" s="34">
        <v>0</v>
      </c>
      <c r="Q223" s="16">
        <f t="shared" si="134"/>
        <v>0</v>
      </c>
      <c r="S223" s="33">
        <v>0</v>
      </c>
      <c r="T223" s="34">
        <v>0</v>
      </c>
      <c r="U223" s="16">
        <f t="shared" si="135"/>
        <v>0</v>
      </c>
      <c r="W223" s="14">
        <f t="shared" si="121"/>
        <v>0</v>
      </c>
      <c r="X223" s="15">
        <v>0</v>
      </c>
      <c r="Y223" s="16">
        <f t="shared" si="136"/>
        <v>0</v>
      </c>
      <c r="Z223" s="70"/>
      <c r="AA223" s="14">
        <f t="shared" si="122"/>
        <v>1.64</v>
      </c>
      <c r="AB223" s="15">
        <v>0</v>
      </c>
      <c r="AC223" s="16">
        <f t="shared" si="123"/>
        <v>8.1999999999999993</v>
      </c>
      <c r="AD223" s="70"/>
      <c r="AF223" s="19">
        <v>53</v>
      </c>
      <c r="AG223" s="30">
        <f t="shared" si="124"/>
        <v>46217</v>
      </c>
      <c r="AH223" s="31">
        <f t="shared" si="125"/>
        <v>14166.69</v>
      </c>
      <c r="AI223" s="31">
        <f t="shared" si="126"/>
        <v>0</v>
      </c>
      <c r="AJ223" s="34">
        <f t="shared" si="127"/>
        <v>0</v>
      </c>
      <c r="AK223" s="31">
        <f t="shared" si="128"/>
        <v>0</v>
      </c>
      <c r="AL223" s="32">
        <f t="shared" si="137"/>
        <v>0</v>
      </c>
    </row>
    <row r="224" spans="1:44" hidden="1" outlineLevel="1" x14ac:dyDescent="0.45">
      <c r="A224" s="27">
        <v>46218</v>
      </c>
      <c r="B224" s="28">
        <f t="shared" si="131"/>
        <v>1</v>
      </c>
      <c r="C224" s="14">
        <v>0</v>
      </c>
      <c r="D224" s="15">
        <v>0</v>
      </c>
      <c r="E224" s="16">
        <f t="shared" si="129"/>
        <v>14166.69</v>
      </c>
      <c r="F224" s="2"/>
      <c r="G224" s="33">
        <f t="shared" si="138"/>
        <v>8.5399999999999991</v>
      </c>
      <c r="H224" s="34">
        <v>0</v>
      </c>
      <c r="I224" s="16">
        <f t="shared" si="132"/>
        <v>51.240000000000016</v>
      </c>
      <c r="K224" s="14">
        <v>0</v>
      </c>
      <c r="L224" s="15">
        <v>0</v>
      </c>
      <c r="M224" s="16">
        <f t="shared" si="130"/>
        <v>0</v>
      </c>
      <c r="O224" s="33">
        <f t="shared" si="133"/>
        <v>0</v>
      </c>
      <c r="P224" s="34">
        <v>0</v>
      </c>
      <c r="Q224" s="16">
        <f t="shared" si="134"/>
        <v>0</v>
      </c>
      <c r="S224" s="33">
        <v>0</v>
      </c>
      <c r="T224" s="34">
        <v>0</v>
      </c>
      <c r="U224" s="16">
        <f t="shared" si="135"/>
        <v>0</v>
      </c>
      <c r="W224" s="14">
        <f t="shared" si="121"/>
        <v>0</v>
      </c>
      <c r="X224" s="15">
        <v>0</v>
      </c>
      <c r="Y224" s="16">
        <f t="shared" si="136"/>
        <v>0</v>
      </c>
      <c r="Z224" s="70"/>
      <c r="AA224" s="14">
        <f t="shared" si="122"/>
        <v>1.64</v>
      </c>
      <c r="AB224" s="15">
        <v>0</v>
      </c>
      <c r="AC224" s="16">
        <f t="shared" si="123"/>
        <v>9.84</v>
      </c>
      <c r="AD224" s="70"/>
      <c r="AF224" s="19">
        <v>54</v>
      </c>
      <c r="AG224" s="30">
        <f t="shared" si="124"/>
        <v>46218</v>
      </c>
      <c r="AH224" s="31">
        <f t="shared" si="125"/>
        <v>14166.69</v>
      </c>
      <c r="AI224" s="31">
        <f t="shared" si="126"/>
        <v>0</v>
      </c>
      <c r="AJ224" s="34">
        <f t="shared" si="127"/>
        <v>0</v>
      </c>
      <c r="AK224" s="31">
        <f t="shared" si="128"/>
        <v>0</v>
      </c>
      <c r="AL224" s="32">
        <f t="shared" si="137"/>
        <v>0</v>
      </c>
    </row>
    <row r="225" spans="1:38" hidden="1" outlineLevel="1" x14ac:dyDescent="0.45">
      <c r="A225" s="27">
        <v>46219</v>
      </c>
      <c r="B225" s="28">
        <f t="shared" si="131"/>
        <v>1</v>
      </c>
      <c r="C225" s="14">
        <v>0</v>
      </c>
      <c r="D225" s="15">
        <v>0</v>
      </c>
      <c r="E225" s="16">
        <f t="shared" si="129"/>
        <v>14166.69</v>
      </c>
      <c r="F225" s="2"/>
      <c r="G225" s="33">
        <f t="shared" si="138"/>
        <v>8.5399999999999991</v>
      </c>
      <c r="H225" s="34">
        <v>0</v>
      </c>
      <c r="I225" s="16">
        <f t="shared" si="132"/>
        <v>59.780000000000015</v>
      </c>
      <c r="K225" s="14">
        <v>0</v>
      </c>
      <c r="L225" s="15">
        <v>0</v>
      </c>
      <c r="M225" s="16">
        <f t="shared" si="130"/>
        <v>0</v>
      </c>
      <c r="O225" s="33">
        <f t="shared" si="133"/>
        <v>0</v>
      </c>
      <c r="P225" s="34">
        <v>0</v>
      </c>
      <c r="Q225" s="16">
        <f t="shared" si="134"/>
        <v>0</v>
      </c>
      <c r="S225" s="33">
        <v>0</v>
      </c>
      <c r="T225" s="34">
        <v>0</v>
      </c>
      <c r="U225" s="16">
        <f t="shared" si="135"/>
        <v>0</v>
      </c>
      <c r="W225" s="14">
        <f t="shared" si="121"/>
        <v>0</v>
      </c>
      <c r="X225" s="15">
        <v>0</v>
      </c>
      <c r="Y225" s="16">
        <f t="shared" si="136"/>
        <v>0</v>
      </c>
      <c r="Z225" s="70"/>
      <c r="AA225" s="14">
        <f t="shared" si="122"/>
        <v>1.64</v>
      </c>
      <c r="AB225" s="15">
        <v>0</v>
      </c>
      <c r="AC225" s="16">
        <f t="shared" si="123"/>
        <v>11.48</v>
      </c>
      <c r="AD225" s="70"/>
      <c r="AF225" s="19">
        <v>55</v>
      </c>
      <c r="AG225" s="30">
        <f t="shared" si="124"/>
        <v>46219</v>
      </c>
      <c r="AH225" s="31">
        <f t="shared" si="125"/>
        <v>14166.69</v>
      </c>
      <c r="AI225" s="31">
        <f t="shared" si="126"/>
        <v>0</v>
      </c>
      <c r="AJ225" s="34">
        <f t="shared" si="127"/>
        <v>0</v>
      </c>
      <c r="AK225" s="31">
        <f t="shared" si="128"/>
        <v>0</v>
      </c>
      <c r="AL225" s="32">
        <f t="shared" si="137"/>
        <v>0</v>
      </c>
    </row>
    <row r="226" spans="1:38" hidden="1" outlineLevel="1" x14ac:dyDescent="0.45">
      <c r="A226" s="27">
        <v>46220</v>
      </c>
      <c r="B226" s="28">
        <f t="shared" si="131"/>
        <v>1</v>
      </c>
      <c r="C226" s="14">
        <v>0</v>
      </c>
      <c r="D226" s="15">
        <v>0</v>
      </c>
      <c r="E226" s="16">
        <f t="shared" si="129"/>
        <v>14166.69</v>
      </c>
      <c r="F226" s="2"/>
      <c r="G226" s="33">
        <f t="shared" si="138"/>
        <v>8.5399999999999991</v>
      </c>
      <c r="H226" s="34">
        <v>0</v>
      </c>
      <c r="I226" s="16">
        <f t="shared" si="132"/>
        <v>68.320000000000022</v>
      </c>
      <c r="K226" s="14">
        <v>0</v>
      </c>
      <c r="L226" s="15">
        <v>0</v>
      </c>
      <c r="M226" s="16">
        <f t="shared" si="130"/>
        <v>0</v>
      </c>
      <c r="O226" s="33">
        <f t="shared" si="133"/>
        <v>0</v>
      </c>
      <c r="P226" s="34">
        <v>0</v>
      </c>
      <c r="Q226" s="16">
        <f t="shared" si="134"/>
        <v>0</v>
      </c>
      <c r="S226" s="33">
        <v>0</v>
      </c>
      <c r="T226" s="34">
        <v>0</v>
      </c>
      <c r="U226" s="16">
        <f t="shared" si="135"/>
        <v>0</v>
      </c>
      <c r="W226" s="14">
        <f t="shared" si="121"/>
        <v>0</v>
      </c>
      <c r="X226" s="15">
        <v>0</v>
      </c>
      <c r="Y226" s="16">
        <f t="shared" si="136"/>
        <v>0</v>
      </c>
      <c r="Z226" s="70"/>
      <c r="AA226" s="14">
        <f t="shared" si="122"/>
        <v>1.64</v>
      </c>
      <c r="AB226" s="15">
        <v>0</v>
      </c>
      <c r="AC226" s="16">
        <f t="shared" si="123"/>
        <v>13.120000000000001</v>
      </c>
      <c r="AD226" s="70"/>
      <c r="AF226" s="19">
        <v>56</v>
      </c>
      <c r="AG226" s="30">
        <f t="shared" si="124"/>
        <v>46220</v>
      </c>
      <c r="AH226" s="31">
        <f t="shared" si="125"/>
        <v>14166.69</v>
      </c>
      <c r="AI226" s="31">
        <f t="shared" si="126"/>
        <v>0</v>
      </c>
      <c r="AJ226" s="34">
        <f t="shared" si="127"/>
        <v>0</v>
      </c>
      <c r="AK226" s="31">
        <f t="shared" si="128"/>
        <v>0</v>
      </c>
      <c r="AL226" s="32">
        <f t="shared" si="137"/>
        <v>0</v>
      </c>
    </row>
    <row r="227" spans="1:38" hidden="1" outlineLevel="1" x14ac:dyDescent="0.45">
      <c r="A227" s="27">
        <v>46221</v>
      </c>
      <c r="B227" s="28">
        <f t="shared" si="131"/>
        <v>1</v>
      </c>
      <c r="C227" s="14">
        <v>0</v>
      </c>
      <c r="D227" s="15">
        <v>0</v>
      </c>
      <c r="E227" s="16">
        <f t="shared" si="129"/>
        <v>14166.69</v>
      </c>
      <c r="F227" s="2"/>
      <c r="G227" s="33">
        <f t="shared" si="138"/>
        <v>8.5399999999999991</v>
      </c>
      <c r="H227" s="34">
        <v>0</v>
      </c>
      <c r="I227" s="16">
        <f t="shared" si="132"/>
        <v>76.860000000000014</v>
      </c>
      <c r="K227" s="14">
        <v>0</v>
      </c>
      <c r="L227" s="15">
        <v>0</v>
      </c>
      <c r="M227" s="16">
        <f t="shared" si="130"/>
        <v>0</v>
      </c>
      <c r="O227" s="33">
        <f t="shared" si="133"/>
        <v>0</v>
      </c>
      <c r="P227" s="34">
        <v>0</v>
      </c>
      <c r="Q227" s="16">
        <f t="shared" si="134"/>
        <v>0</v>
      </c>
      <c r="S227" s="33">
        <v>0</v>
      </c>
      <c r="T227" s="34">
        <v>0</v>
      </c>
      <c r="U227" s="16">
        <f t="shared" si="135"/>
        <v>0</v>
      </c>
      <c r="W227" s="14">
        <f t="shared" ref="W227:W290" si="139">ROUND(M226*$W$5*B227,2)</f>
        <v>0</v>
      </c>
      <c r="X227" s="15">
        <v>0</v>
      </c>
      <c r="Y227" s="16">
        <f t="shared" si="136"/>
        <v>0</v>
      </c>
      <c r="Z227" s="70"/>
      <c r="AA227" s="14">
        <f t="shared" si="122"/>
        <v>1.64</v>
      </c>
      <c r="AB227" s="15">
        <v>0</v>
      </c>
      <c r="AC227" s="16">
        <f t="shared" si="123"/>
        <v>14.760000000000002</v>
      </c>
      <c r="AD227" s="70"/>
      <c r="AF227" s="19">
        <v>57</v>
      </c>
      <c r="AG227" s="30">
        <f t="shared" si="124"/>
        <v>46221</v>
      </c>
      <c r="AH227" s="31">
        <f t="shared" si="125"/>
        <v>14166.69</v>
      </c>
      <c r="AI227" s="31">
        <f t="shared" si="126"/>
        <v>0</v>
      </c>
      <c r="AJ227" s="34">
        <f t="shared" si="127"/>
        <v>0</v>
      </c>
      <c r="AK227" s="31">
        <f t="shared" si="128"/>
        <v>0</v>
      </c>
      <c r="AL227" s="32">
        <f t="shared" si="137"/>
        <v>0</v>
      </c>
    </row>
    <row r="228" spans="1:38" hidden="1" outlineLevel="1" x14ac:dyDescent="0.45">
      <c r="A228" s="27">
        <v>46222</v>
      </c>
      <c r="B228" s="28">
        <f t="shared" si="131"/>
        <v>1</v>
      </c>
      <c r="C228" s="14">
        <v>0</v>
      </c>
      <c r="D228" s="15">
        <v>0</v>
      </c>
      <c r="E228" s="16">
        <f t="shared" si="129"/>
        <v>14166.69</v>
      </c>
      <c r="F228" s="2"/>
      <c r="G228" s="33">
        <f t="shared" si="138"/>
        <v>8.5399999999999991</v>
      </c>
      <c r="H228" s="34">
        <v>0</v>
      </c>
      <c r="I228" s="16">
        <f t="shared" si="132"/>
        <v>85.4</v>
      </c>
      <c r="K228" s="14">
        <v>0</v>
      </c>
      <c r="L228" s="15">
        <v>0</v>
      </c>
      <c r="M228" s="16">
        <f t="shared" si="130"/>
        <v>0</v>
      </c>
      <c r="O228" s="33">
        <f t="shared" si="133"/>
        <v>0</v>
      </c>
      <c r="P228" s="34">
        <v>0</v>
      </c>
      <c r="Q228" s="16">
        <f t="shared" si="134"/>
        <v>0</v>
      </c>
      <c r="S228" s="33">
        <v>0</v>
      </c>
      <c r="T228" s="34">
        <v>0</v>
      </c>
      <c r="U228" s="16">
        <f t="shared" si="135"/>
        <v>0</v>
      </c>
      <c r="W228" s="14">
        <f t="shared" si="139"/>
        <v>0</v>
      </c>
      <c r="X228" s="15">
        <v>0</v>
      </c>
      <c r="Y228" s="16">
        <f t="shared" si="136"/>
        <v>0</v>
      </c>
      <c r="Z228" s="70"/>
      <c r="AA228" s="14">
        <f t="shared" si="122"/>
        <v>1.64</v>
      </c>
      <c r="AB228" s="15">
        <v>0</v>
      </c>
      <c r="AC228" s="16">
        <f t="shared" si="123"/>
        <v>16.400000000000002</v>
      </c>
      <c r="AD228" s="70"/>
      <c r="AF228" s="19">
        <v>58</v>
      </c>
      <c r="AG228" s="30">
        <f t="shared" si="124"/>
        <v>46222</v>
      </c>
      <c r="AH228" s="31">
        <f t="shared" si="125"/>
        <v>14166.69</v>
      </c>
      <c r="AI228" s="31">
        <f t="shared" si="126"/>
        <v>0</v>
      </c>
      <c r="AJ228" s="34">
        <f t="shared" si="127"/>
        <v>0</v>
      </c>
      <c r="AK228" s="31">
        <f t="shared" si="128"/>
        <v>0</v>
      </c>
      <c r="AL228" s="32">
        <f t="shared" si="137"/>
        <v>0</v>
      </c>
    </row>
    <row r="229" spans="1:38" hidden="1" outlineLevel="1" x14ac:dyDescent="0.45">
      <c r="A229" s="27">
        <v>46223</v>
      </c>
      <c r="B229" s="28">
        <f t="shared" si="131"/>
        <v>1</v>
      </c>
      <c r="C229" s="14">
        <v>0</v>
      </c>
      <c r="D229" s="15">
        <v>0</v>
      </c>
      <c r="E229" s="16">
        <f t="shared" si="129"/>
        <v>14166.69</v>
      </c>
      <c r="F229" s="2"/>
      <c r="G229" s="33">
        <f t="shared" si="138"/>
        <v>8.5399999999999991</v>
      </c>
      <c r="H229" s="34">
        <v>0</v>
      </c>
      <c r="I229" s="16">
        <f t="shared" si="132"/>
        <v>93.94</v>
      </c>
      <c r="K229" s="14">
        <v>0</v>
      </c>
      <c r="L229" s="15">
        <v>0</v>
      </c>
      <c r="M229" s="16">
        <f t="shared" si="130"/>
        <v>0</v>
      </c>
      <c r="O229" s="33">
        <f t="shared" si="133"/>
        <v>0</v>
      </c>
      <c r="P229" s="34">
        <v>0</v>
      </c>
      <c r="Q229" s="16">
        <f t="shared" si="134"/>
        <v>0</v>
      </c>
      <c r="S229" s="33">
        <v>0</v>
      </c>
      <c r="T229" s="34">
        <v>0</v>
      </c>
      <c r="U229" s="16">
        <f t="shared" si="135"/>
        <v>0</v>
      </c>
      <c r="W229" s="14">
        <f t="shared" si="139"/>
        <v>0</v>
      </c>
      <c r="X229" s="15">
        <v>0</v>
      </c>
      <c r="Y229" s="16">
        <f t="shared" si="136"/>
        <v>0</v>
      </c>
      <c r="Z229" s="70"/>
      <c r="AA229" s="14">
        <f t="shared" si="122"/>
        <v>1.64</v>
      </c>
      <c r="AB229" s="15">
        <v>0</v>
      </c>
      <c r="AC229" s="16">
        <f t="shared" si="123"/>
        <v>18.040000000000003</v>
      </c>
      <c r="AD229" s="70"/>
      <c r="AF229" s="19">
        <v>59</v>
      </c>
      <c r="AG229" s="30">
        <f t="shared" si="124"/>
        <v>46223</v>
      </c>
      <c r="AH229" s="31">
        <f t="shared" si="125"/>
        <v>14166.69</v>
      </c>
      <c r="AI229" s="31">
        <f t="shared" si="126"/>
        <v>0</v>
      </c>
      <c r="AJ229" s="34">
        <f t="shared" si="127"/>
        <v>0</v>
      </c>
      <c r="AK229" s="31">
        <f t="shared" si="128"/>
        <v>0</v>
      </c>
      <c r="AL229" s="32">
        <f t="shared" si="137"/>
        <v>0</v>
      </c>
    </row>
    <row r="230" spans="1:38" hidden="1" outlineLevel="1" x14ac:dyDescent="0.45">
      <c r="A230" s="27">
        <v>46224</v>
      </c>
      <c r="B230" s="28">
        <f t="shared" si="131"/>
        <v>1</v>
      </c>
      <c r="C230" s="14">
        <v>0</v>
      </c>
      <c r="D230" s="15">
        <v>0</v>
      </c>
      <c r="E230" s="16">
        <f t="shared" si="129"/>
        <v>14166.69</v>
      </c>
      <c r="F230" s="2"/>
      <c r="G230" s="33">
        <f t="shared" si="138"/>
        <v>8.5399999999999991</v>
      </c>
      <c r="H230" s="34">
        <v>0</v>
      </c>
      <c r="I230" s="16">
        <f t="shared" si="132"/>
        <v>102.47999999999999</v>
      </c>
      <c r="K230" s="14">
        <v>0</v>
      </c>
      <c r="L230" s="15">
        <v>0</v>
      </c>
      <c r="M230" s="16">
        <f t="shared" si="130"/>
        <v>0</v>
      </c>
      <c r="O230" s="33">
        <f t="shared" si="133"/>
        <v>0</v>
      </c>
      <c r="P230" s="34">
        <v>0</v>
      </c>
      <c r="Q230" s="16">
        <f t="shared" si="134"/>
        <v>0</v>
      </c>
      <c r="S230" s="33">
        <v>0</v>
      </c>
      <c r="T230" s="34">
        <v>0</v>
      </c>
      <c r="U230" s="16">
        <f t="shared" si="135"/>
        <v>0</v>
      </c>
      <c r="W230" s="14">
        <f t="shared" si="139"/>
        <v>0</v>
      </c>
      <c r="X230" s="15">
        <v>0</v>
      </c>
      <c r="Y230" s="16">
        <f t="shared" si="136"/>
        <v>0</v>
      </c>
      <c r="Z230" s="70"/>
      <c r="AA230" s="14">
        <f t="shared" si="122"/>
        <v>1.64</v>
      </c>
      <c r="AB230" s="15">
        <v>0</v>
      </c>
      <c r="AC230" s="16">
        <f t="shared" si="123"/>
        <v>19.680000000000003</v>
      </c>
      <c r="AD230" s="70"/>
      <c r="AF230" s="19">
        <v>60</v>
      </c>
      <c r="AG230" s="30">
        <f t="shared" si="124"/>
        <v>46224</v>
      </c>
      <c r="AH230" s="31">
        <f t="shared" si="125"/>
        <v>14166.69</v>
      </c>
      <c r="AI230" s="31">
        <f t="shared" si="126"/>
        <v>0</v>
      </c>
      <c r="AJ230" s="34">
        <f t="shared" si="127"/>
        <v>0</v>
      </c>
      <c r="AK230" s="31">
        <f t="shared" si="128"/>
        <v>0</v>
      </c>
      <c r="AL230" s="32">
        <f t="shared" si="137"/>
        <v>0</v>
      </c>
    </row>
    <row r="231" spans="1:38" hidden="1" outlineLevel="1" x14ac:dyDescent="0.45">
      <c r="A231" s="27">
        <v>46225</v>
      </c>
      <c r="B231" s="28">
        <f t="shared" si="131"/>
        <v>1</v>
      </c>
      <c r="C231" s="14">
        <v>0</v>
      </c>
      <c r="D231" s="15">
        <v>0</v>
      </c>
      <c r="E231" s="16">
        <f t="shared" si="129"/>
        <v>14166.69</v>
      </c>
      <c r="F231" s="2"/>
      <c r="G231" s="33">
        <f t="shared" si="138"/>
        <v>8.5399999999999991</v>
      </c>
      <c r="H231" s="34">
        <v>0</v>
      </c>
      <c r="I231" s="16">
        <f t="shared" si="132"/>
        <v>111.01999999999998</v>
      </c>
      <c r="K231" s="14">
        <v>0</v>
      </c>
      <c r="L231" s="15">
        <v>0</v>
      </c>
      <c r="M231" s="16">
        <f t="shared" si="130"/>
        <v>0</v>
      </c>
      <c r="O231" s="33">
        <f t="shared" si="133"/>
        <v>0</v>
      </c>
      <c r="P231" s="34">
        <v>0</v>
      </c>
      <c r="Q231" s="16">
        <f t="shared" si="134"/>
        <v>0</v>
      </c>
      <c r="S231" s="33">
        <v>0</v>
      </c>
      <c r="T231" s="34">
        <v>0</v>
      </c>
      <c r="U231" s="16">
        <f t="shared" si="135"/>
        <v>0</v>
      </c>
      <c r="W231" s="14">
        <f t="shared" si="139"/>
        <v>0</v>
      </c>
      <c r="X231" s="15">
        <v>0</v>
      </c>
      <c r="Y231" s="16">
        <f t="shared" si="136"/>
        <v>0</v>
      </c>
      <c r="Z231" s="70"/>
      <c r="AA231" s="14">
        <f t="shared" si="122"/>
        <v>1.64</v>
      </c>
      <c r="AB231" s="15">
        <v>0</v>
      </c>
      <c r="AC231" s="16">
        <f t="shared" si="123"/>
        <v>21.320000000000004</v>
      </c>
      <c r="AD231" s="70"/>
      <c r="AF231" s="19">
        <v>61</v>
      </c>
      <c r="AG231" s="30">
        <f t="shared" si="124"/>
        <v>46225</v>
      </c>
      <c r="AH231" s="31">
        <f t="shared" si="125"/>
        <v>14166.69</v>
      </c>
      <c r="AI231" s="31">
        <f t="shared" si="126"/>
        <v>0</v>
      </c>
      <c r="AJ231" s="34">
        <f t="shared" si="127"/>
        <v>0</v>
      </c>
      <c r="AK231" s="31">
        <f t="shared" si="128"/>
        <v>0</v>
      </c>
      <c r="AL231" s="32">
        <f t="shared" si="137"/>
        <v>0</v>
      </c>
    </row>
    <row r="232" spans="1:38" hidden="1" outlineLevel="1" x14ac:dyDescent="0.45">
      <c r="A232" s="27">
        <v>46226</v>
      </c>
      <c r="B232" s="28">
        <f t="shared" si="131"/>
        <v>1</v>
      </c>
      <c r="C232" s="14">
        <v>0</v>
      </c>
      <c r="D232" s="15">
        <v>0</v>
      </c>
      <c r="E232" s="16">
        <f t="shared" si="129"/>
        <v>14166.69</v>
      </c>
      <c r="F232" s="2"/>
      <c r="G232" s="33">
        <f t="shared" si="138"/>
        <v>8.5399999999999991</v>
      </c>
      <c r="H232" s="34">
        <v>0</v>
      </c>
      <c r="I232" s="16">
        <f t="shared" si="132"/>
        <v>119.55999999999997</v>
      </c>
      <c r="K232" s="14">
        <v>0</v>
      </c>
      <c r="L232" s="15">
        <v>0</v>
      </c>
      <c r="M232" s="16">
        <f t="shared" si="130"/>
        <v>0</v>
      </c>
      <c r="O232" s="33">
        <f t="shared" si="133"/>
        <v>0</v>
      </c>
      <c r="P232" s="34">
        <v>0</v>
      </c>
      <c r="Q232" s="16">
        <f t="shared" si="134"/>
        <v>0</v>
      </c>
      <c r="S232" s="33">
        <v>0</v>
      </c>
      <c r="T232" s="34">
        <v>0</v>
      </c>
      <c r="U232" s="16">
        <f t="shared" si="135"/>
        <v>0</v>
      </c>
      <c r="W232" s="14">
        <f t="shared" si="139"/>
        <v>0</v>
      </c>
      <c r="X232" s="15">
        <v>0</v>
      </c>
      <c r="Y232" s="16">
        <f t="shared" si="136"/>
        <v>0</v>
      </c>
      <c r="Z232" s="70"/>
      <c r="AA232" s="14">
        <f t="shared" si="122"/>
        <v>1.64</v>
      </c>
      <c r="AB232" s="15">
        <v>0</v>
      </c>
      <c r="AC232" s="16">
        <f t="shared" si="123"/>
        <v>22.960000000000004</v>
      </c>
      <c r="AD232" s="70"/>
      <c r="AF232" s="19">
        <v>62</v>
      </c>
      <c r="AG232" s="30">
        <f t="shared" si="124"/>
        <v>46226</v>
      </c>
      <c r="AH232" s="31">
        <f t="shared" si="125"/>
        <v>14166.69</v>
      </c>
      <c r="AI232" s="31">
        <f t="shared" si="126"/>
        <v>0</v>
      </c>
      <c r="AJ232" s="34">
        <f t="shared" si="127"/>
        <v>0</v>
      </c>
      <c r="AK232" s="31">
        <f t="shared" si="128"/>
        <v>0</v>
      </c>
      <c r="AL232" s="32">
        <f t="shared" si="137"/>
        <v>0</v>
      </c>
    </row>
    <row r="233" spans="1:38" hidden="1" outlineLevel="1" x14ac:dyDescent="0.45">
      <c r="A233" s="27">
        <v>46227</v>
      </c>
      <c r="B233" s="28">
        <f t="shared" si="131"/>
        <v>1</v>
      </c>
      <c r="C233" s="14">
        <v>0</v>
      </c>
      <c r="D233" s="15">
        <v>0</v>
      </c>
      <c r="E233" s="16">
        <f t="shared" si="129"/>
        <v>14166.69</v>
      </c>
      <c r="F233" s="2"/>
      <c r="G233" s="33">
        <f t="shared" si="138"/>
        <v>8.5399999999999991</v>
      </c>
      <c r="H233" s="34">
        <v>0</v>
      </c>
      <c r="I233" s="16">
        <f t="shared" si="132"/>
        <v>128.09999999999997</v>
      </c>
      <c r="K233" s="14">
        <v>0</v>
      </c>
      <c r="L233" s="15">
        <v>0</v>
      </c>
      <c r="M233" s="16">
        <f t="shared" si="130"/>
        <v>0</v>
      </c>
      <c r="O233" s="33">
        <f t="shared" si="133"/>
        <v>0</v>
      </c>
      <c r="P233" s="34">
        <v>0</v>
      </c>
      <c r="Q233" s="16">
        <f t="shared" si="134"/>
        <v>0</v>
      </c>
      <c r="S233" s="33">
        <v>0</v>
      </c>
      <c r="T233" s="34">
        <v>0</v>
      </c>
      <c r="U233" s="16">
        <f t="shared" si="135"/>
        <v>0</v>
      </c>
      <c r="W233" s="14">
        <f t="shared" si="139"/>
        <v>0</v>
      </c>
      <c r="X233" s="15">
        <v>0</v>
      </c>
      <c r="Y233" s="16">
        <f t="shared" si="136"/>
        <v>0</v>
      </c>
      <c r="Z233" s="70"/>
      <c r="AA233" s="14">
        <f t="shared" si="122"/>
        <v>1.64</v>
      </c>
      <c r="AB233" s="15">
        <v>0</v>
      </c>
      <c r="AC233" s="16">
        <f t="shared" si="123"/>
        <v>24.600000000000005</v>
      </c>
      <c r="AD233" s="70"/>
      <c r="AF233" s="19">
        <v>63</v>
      </c>
      <c r="AG233" s="30">
        <f t="shared" si="124"/>
        <v>46227</v>
      </c>
      <c r="AH233" s="31">
        <f t="shared" si="125"/>
        <v>14166.69</v>
      </c>
      <c r="AI233" s="31">
        <f t="shared" si="126"/>
        <v>0</v>
      </c>
      <c r="AJ233" s="34">
        <f t="shared" si="127"/>
        <v>0</v>
      </c>
      <c r="AK233" s="31">
        <f t="shared" si="128"/>
        <v>0</v>
      </c>
      <c r="AL233" s="32">
        <f t="shared" si="137"/>
        <v>0</v>
      </c>
    </row>
    <row r="234" spans="1:38" hidden="1" outlineLevel="1" x14ac:dyDescent="0.45">
      <c r="A234" s="27">
        <v>46228</v>
      </c>
      <c r="B234" s="28">
        <f t="shared" si="131"/>
        <v>1</v>
      </c>
      <c r="C234" s="14">
        <v>0</v>
      </c>
      <c r="D234" s="15">
        <v>0</v>
      </c>
      <c r="E234" s="16">
        <f t="shared" si="129"/>
        <v>14166.69</v>
      </c>
      <c r="F234" s="2"/>
      <c r="G234" s="33">
        <f t="shared" si="138"/>
        <v>8.5399999999999991</v>
      </c>
      <c r="H234" s="34">
        <v>0</v>
      </c>
      <c r="I234" s="16">
        <f t="shared" si="132"/>
        <v>136.63999999999996</v>
      </c>
      <c r="K234" s="14">
        <v>0</v>
      </c>
      <c r="L234" s="15">
        <v>0</v>
      </c>
      <c r="M234" s="16">
        <f t="shared" si="130"/>
        <v>0</v>
      </c>
      <c r="O234" s="33">
        <f t="shared" si="133"/>
        <v>0</v>
      </c>
      <c r="P234" s="34">
        <v>0</v>
      </c>
      <c r="Q234" s="16">
        <f t="shared" si="134"/>
        <v>0</v>
      </c>
      <c r="S234" s="33">
        <v>0</v>
      </c>
      <c r="T234" s="34">
        <v>0</v>
      </c>
      <c r="U234" s="16">
        <f t="shared" si="135"/>
        <v>0</v>
      </c>
      <c r="W234" s="14">
        <f t="shared" si="139"/>
        <v>0</v>
      </c>
      <c r="X234" s="15">
        <v>0</v>
      </c>
      <c r="Y234" s="16">
        <f t="shared" si="136"/>
        <v>0</v>
      </c>
      <c r="Z234" s="70"/>
      <c r="AA234" s="14">
        <f t="shared" si="122"/>
        <v>1.64</v>
      </c>
      <c r="AB234" s="15">
        <v>0</v>
      </c>
      <c r="AC234" s="16">
        <f t="shared" si="123"/>
        <v>26.240000000000006</v>
      </c>
      <c r="AD234" s="70"/>
      <c r="AF234" s="19">
        <v>64</v>
      </c>
      <c r="AG234" s="30">
        <f t="shared" si="124"/>
        <v>46228</v>
      </c>
      <c r="AH234" s="31">
        <f t="shared" si="125"/>
        <v>14166.69</v>
      </c>
      <c r="AI234" s="31">
        <f t="shared" si="126"/>
        <v>0</v>
      </c>
      <c r="AJ234" s="34">
        <f t="shared" si="127"/>
        <v>0</v>
      </c>
      <c r="AK234" s="31">
        <f t="shared" si="128"/>
        <v>0</v>
      </c>
      <c r="AL234" s="32">
        <f t="shared" si="137"/>
        <v>0</v>
      </c>
    </row>
    <row r="235" spans="1:38" hidden="1" outlineLevel="1" x14ac:dyDescent="0.45">
      <c r="A235" s="27">
        <v>46229</v>
      </c>
      <c r="B235" s="28">
        <f t="shared" si="131"/>
        <v>1</v>
      </c>
      <c r="C235" s="14">
        <v>0</v>
      </c>
      <c r="D235" s="15">
        <v>0</v>
      </c>
      <c r="E235" s="16">
        <f t="shared" si="129"/>
        <v>14166.69</v>
      </c>
      <c r="F235" s="2"/>
      <c r="G235" s="33">
        <f t="shared" si="138"/>
        <v>8.5399999999999991</v>
      </c>
      <c r="H235" s="34">
        <v>0</v>
      </c>
      <c r="I235" s="16">
        <f t="shared" si="132"/>
        <v>145.17999999999995</v>
      </c>
      <c r="K235" s="14">
        <v>0</v>
      </c>
      <c r="L235" s="15">
        <v>0</v>
      </c>
      <c r="M235" s="16">
        <f t="shared" si="130"/>
        <v>0</v>
      </c>
      <c r="O235" s="33">
        <f t="shared" si="133"/>
        <v>0</v>
      </c>
      <c r="P235" s="34">
        <v>0</v>
      </c>
      <c r="Q235" s="16">
        <f t="shared" si="134"/>
        <v>0</v>
      </c>
      <c r="S235" s="33">
        <v>0</v>
      </c>
      <c r="T235" s="34">
        <v>0</v>
      </c>
      <c r="U235" s="16">
        <f t="shared" si="135"/>
        <v>0</v>
      </c>
      <c r="W235" s="14">
        <f t="shared" si="139"/>
        <v>0</v>
      </c>
      <c r="X235" s="15">
        <v>0</v>
      </c>
      <c r="Y235" s="16">
        <f t="shared" si="136"/>
        <v>0</v>
      </c>
      <c r="Z235" s="70"/>
      <c r="AA235" s="14">
        <f t="shared" si="122"/>
        <v>1.64</v>
      </c>
      <c r="AB235" s="15">
        <v>0</v>
      </c>
      <c r="AC235" s="16">
        <f t="shared" si="123"/>
        <v>27.880000000000006</v>
      </c>
      <c r="AD235" s="70"/>
      <c r="AF235" s="19">
        <v>65</v>
      </c>
      <c r="AG235" s="30">
        <f t="shared" si="124"/>
        <v>46229</v>
      </c>
      <c r="AH235" s="31">
        <f t="shared" si="125"/>
        <v>14166.69</v>
      </c>
      <c r="AI235" s="31">
        <f t="shared" si="126"/>
        <v>0</v>
      </c>
      <c r="AJ235" s="34">
        <f t="shared" si="127"/>
        <v>0</v>
      </c>
      <c r="AK235" s="31">
        <f t="shared" si="128"/>
        <v>0</v>
      </c>
      <c r="AL235" s="32">
        <f t="shared" si="137"/>
        <v>0</v>
      </c>
    </row>
    <row r="236" spans="1:38" hidden="1" outlineLevel="1" x14ac:dyDescent="0.45">
      <c r="A236" s="27">
        <v>46230</v>
      </c>
      <c r="B236" s="28">
        <f t="shared" si="131"/>
        <v>1</v>
      </c>
      <c r="C236" s="14">
        <v>0</v>
      </c>
      <c r="D236" s="15">
        <v>0</v>
      </c>
      <c r="E236" s="16">
        <f t="shared" si="129"/>
        <v>14166.69</v>
      </c>
      <c r="F236" s="2"/>
      <c r="G236" s="33">
        <f t="shared" si="138"/>
        <v>8.5399999999999991</v>
      </c>
      <c r="H236" s="34">
        <v>0</v>
      </c>
      <c r="I236" s="16">
        <f t="shared" si="132"/>
        <v>153.71999999999994</v>
      </c>
      <c r="K236" s="14">
        <v>0</v>
      </c>
      <c r="L236" s="15">
        <v>0</v>
      </c>
      <c r="M236" s="16">
        <f t="shared" si="130"/>
        <v>0</v>
      </c>
      <c r="O236" s="33">
        <f t="shared" si="133"/>
        <v>0</v>
      </c>
      <c r="P236" s="34">
        <v>0</v>
      </c>
      <c r="Q236" s="16">
        <f t="shared" si="134"/>
        <v>0</v>
      </c>
      <c r="S236" s="33">
        <v>0</v>
      </c>
      <c r="T236" s="34">
        <v>0</v>
      </c>
      <c r="U236" s="16">
        <f t="shared" si="135"/>
        <v>0</v>
      </c>
      <c r="W236" s="14">
        <f t="shared" si="139"/>
        <v>0</v>
      </c>
      <c r="X236" s="15">
        <v>0</v>
      </c>
      <c r="Y236" s="16">
        <f t="shared" si="136"/>
        <v>0</v>
      </c>
      <c r="Z236" s="70"/>
      <c r="AA236" s="14">
        <f t="shared" si="122"/>
        <v>1.64</v>
      </c>
      <c r="AB236" s="15">
        <v>0</v>
      </c>
      <c r="AC236" s="16">
        <f t="shared" si="123"/>
        <v>29.520000000000007</v>
      </c>
      <c r="AD236" s="70"/>
      <c r="AF236" s="19">
        <v>66</v>
      </c>
      <c r="AG236" s="30">
        <f t="shared" si="124"/>
        <v>46230</v>
      </c>
      <c r="AH236" s="31">
        <f t="shared" si="125"/>
        <v>14166.69</v>
      </c>
      <c r="AI236" s="31">
        <f t="shared" si="126"/>
        <v>0</v>
      </c>
      <c r="AJ236" s="34">
        <f t="shared" si="127"/>
        <v>0</v>
      </c>
      <c r="AK236" s="31">
        <f t="shared" si="128"/>
        <v>0</v>
      </c>
      <c r="AL236" s="32">
        <f t="shared" si="137"/>
        <v>0</v>
      </c>
    </row>
    <row r="237" spans="1:38" hidden="1" outlineLevel="1" x14ac:dyDescent="0.45">
      <c r="A237" s="27">
        <v>46231</v>
      </c>
      <c r="B237" s="28">
        <f t="shared" si="131"/>
        <v>1</v>
      </c>
      <c r="C237" s="14">
        <v>0</v>
      </c>
      <c r="D237" s="15">
        <v>0</v>
      </c>
      <c r="E237" s="16">
        <f t="shared" si="129"/>
        <v>14166.69</v>
      </c>
      <c r="F237" s="2"/>
      <c r="G237" s="33">
        <f t="shared" si="138"/>
        <v>8.5399999999999991</v>
      </c>
      <c r="H237" s="34">
        <v>0</v>
      </c>
      <c r="I237" s="16">
        <f t="shared" si="132"/>
        <v>162.25999999999993</v>
      </c>
      <c r="K237" s="14">
        <v>0</v>
      </c>
      <c r="L237" s="15">
        <v>0</v>
      </c>
      <c r="M237" s="16">
        <f t="shared" si="130"/>
        <v>0</v>
      </c>
      <c r="O237" s="33">
        <f t="shared" si="133"/>
        <v>0</v>
      </c>
      <c r="P237" s="34">
        <v>0</v>
      </c>
      <c r="Q237" s="16">
        <f t="shared" si="134"/>
        <v>0</v>
      </c>
      <c r="S237" s="33">
        <v>0</v>
      </c>
      <c r="T237" s="34">
        <v>0</v>
      </c>
      <c r="U237" s="16">
        <f t="shared" si="135"/>
        <v>0</v>
      </c>
      <c r="W237" s="14">
        <f t="shared" si="139"/>
        <v>0</v>
      </c>
      <c r="X237" s="15">
        <v>0</v>
      </c>
      <c r="Y237" s="16">
        <f t="shared" si="136"/>
        <v>0</v>
      </c>
      <c r="Z237" s="70"/>
      <c r="AA237" s="14">
        <f t="shared" si="122"/>
        <v>1.64</v>
      </c>
      <c r="AB237" s="15">
        <v>0</v>
      </c>
      <c r="AC237" s="16">
        <f t="shared" si="123"/>
        <v>31.160000000000007</v>
      </c>
      <c r="AD237" s="70"/>
      <c r="AF237" s="19">
        <v>67</v>
      </c>
      <c r="AG237" s="30">
        <f t="shared" si="124"/>
        <v>46231</v>
      </c>
      <c r="AH237" s="31">
        <f t="shared" si="125"/>
        <v>14166.69</v>
      </c>
      <c r="AI237" s="31">
        <f t="shared" si="126"/>
        <v>0</v>
      </c>
      <c r="AJ237" s="34">
        <f t="shared" si="127"/>
        <v>0</v>
      </c>
      <c r="AK237" s="31">
        <f t="shared" si="128"/>
        <v>0</v>
      </c>
      <c r="AL237" s="32">
        <f t="shared" si="137"/>
        <v>0</v>
      </c>
    </row>
    <row r="238" spans="1:38" hidden="1" outlineLevel="1" x14ac:dyDescent="0.45">
      <c r="A238" s="27">
        <v>46232</v>
      </c>
      <c r="B238" s="28">
        <f t="shared" si="131"/>
        <v>1</v>
      </c>
      <c r="C238" s="14">
        <v>0</v>
      </c>
      <c r="D238" s="15">
        <v>0</v>
      </c>
      <c r="E238" s="16">
        <f t="shared" si="129"/>
        <v>14166.69</v>
      </c>
      <c r="F238" s="2"/>
      <c r="G238" s="33">
        <f t="shared" si="138"/>
        <v>8.5399999999999991</v>
      </c>
      <c r="H238" s="34">
        <v>0</v>
      </c>
      <c r="I238" s="16">
        <f t="shared" si="132"/>
        <v>170.79999999999993</v>
      </c>
      <c r="K238" s="14">
        <v>0</v>
      </c>
      <c r="L238" s="15">
        <v>0</v>
      </c>
      <c r="M238" s="16">
        <f t="shared" si="130"/>
        <v>0</v>
      </c>
      <c r="O238" s="33">
        <f t="shared" si="133"/>
        <v>0</v>
      </c>
      <c r="P238" s="34">
        <v>0</v>
      </c>
      <c r="Q238" s="16">
        <f t="shared" si="134"/>
        <v>0</v>
      </c>
      <c r="S238" s="33">
        <v>0</v>
      </c>
      <c r="T238" s="34">
        <v>0</v>
      </c>
      <c r="U238" s="16">
        <f t="shared" si="135"/>
        <v>0</v>
      </c>
      <c r="W238" s="14">
        <f t="shared" si="139"/>
        <v>0</v>
      </c>
      <c r="X238" s="15">
        <v>0</v>
      </c>
      <c r="Y238" s="16">
        <f t="shared" si="136"/>
        <v>0</v>
      </c>
      <c r="Z238" s="70"/>
      <c r="AA238" s="14">
        <f t="shared" si="122"/>
        <v>1.64</v>
      </c>
      <c r="AB238" s="15">
        <v>0</v>
      </c>
      <c r="AC238" s="16">
        <f t="shared" si="123"/>
        <v>32.800000000000004</v>
      </c>
      <c r="AD238" s="70"/>
      <c r="AF238" s="19">
        <v>68</v>
      </c>
      <c r="AG238" s="30">
        <f t="shared" si="124"/>
        <v>46232</v>
      </c>
      <c r="AH238" s="31">
        <f t="shared" si="125"/>
        <v>14166.69</v>
      </c>
      <c r="AI238" s="31">
        <f t="shared" si="126"/>
        <v>0</v>
      </c>
      <c r="AJ238" s="34">
        <f t="shared" si="127"/>
        <v>0</v>
      </c>
      <c r="AK238" s="31">
        <f t="shared" si="128"/>
        <v>0</v>
      </c>
      <c r="AL238" s="32">
        <f t="shared" si="137"/>
        <v>0</v>
      </c>
    </row>
    <row r="239" spans="1:38" hidden="1" outlineLevel="1" x14ac:dyDescent="0.45">
      <c r="A239" s="27">
        <v>46233</v>
      </c>
      <c r="B239" s="28">
        <f t="shared" si="131"/>
        <v>1</v>
      </c>
      <c r="C239" s="14">
        <v>0</v>
      </c>
      <c r="D239" s="15">
        <v>0</v>
      </c>
      <c r="E239" s="16">
        <f t="shared" si="129"/>
        <v>14166.69</v>
      </c>
      <c r="F239" s="2"/>
      <c r="G239" s="33">
        <f t="shared" si="138"/>
        <v>8.5399999999999991</v>
      </c>
      <c r="H239" s="34">
        <v>0</v>
      </c>
      <c r="I239" s="16">
        <f t="shared" si="132"/>
        <v>179.33999999999992</v>
      </c>
      <c r="K239" s="14">
        <v>0</v>
      </c>
      <c r="L239" s="15">
        <v>0</v>
      </c>
      <c r="M239" s="16">
        <f t="shared" si="130"/>
        <v>0</v>
      </c>
      <c r="O239" s="33">
        <f t="shared" si="133"/>
        <v>0</v>
      </c>
      <c r="P239" s="34">
        <v>0</v>
      </c>
      <c r="Q239" s="16">
        <f t="shared" si="134"/>
        <v>0</v>
      </c>
      <c r="S239" s="33">
        <v>0</v>
      </c>
      <c r="T239" s="34">
        <v>0</v>
      </c>
      <c r="U239" s="16">
        <f t="shared" si="135"/>
        <v>0</v>
      </c>
      <c r="W239" s="14">
        <f t="shared" si="139"/>
        <v>0</v>
      </c>
      <c r="X239" s="15">
        <v>0</v>
      </c>
      <c r="Y239" s="16">
        <f t="shared" si="136"/>
        <v>0</v>
      </c>
      <c r="Z239" s="70"/>
      <c r="AA239" s="14">
        <f t="shared" si="122"/>
        <v>1.64</v>
      </c>
      <c r="AB239" s="15">
        <v>0</v>
      </c>
      <c r="AC239" s="16">
        <f t="shared" si="123"/>
        <v>34.440000000000005</v>
      </c>
      <c r="AD239" s="70"/>
      <c r="AF239" s="19">
        <v>69</v>
      </c>
      <c r="AG239" s="30">
        <f t="shared" si="124"/>
        <v>46233</v>
      </c>
      <c r="AH239" s="31">
        <f t="shared" si="125"/>
        <v>14166.69</v>
      </c>
      <c r="AI239" s="31">
        <f t="shared" si="126"/>
        <v>0</v>
      </c>
      <c r="AJ239" s="34">
        <f t="shared" si="127"/>
        <v>0</v>
      </c>
      <c r="AK239" s="31">
        <f t="shared" si="128"/>
        <v>0</v>
      </c>
      <c r="AL239" s="32">
        <f t="shared" si="137"/>
        <v>0</v>
      </c>
    </row>
    <row r="240" spans="1:38" hidden="1" outlineLevel="1" x14ac:dyDescent="0.45">
      <c r="A240" s="27">
        <v>46234</v>
      </c>
      <c r="B240" s="28">
        <f t="shared" si="131"/>
        <v>1</v>
      </c>
      <c r="C240" s="14">
        <v>0</v>
      </c>
      <c r="D240" s="15">
        <v>0</v>
      </c>
      <c r="E240" s="16">
        <f t="shared" si="129"/>
        <v>14166.69</v>
      </c>
      <c r="F240" s="2"/>
      <c r="G240" s="33">
        <f t="shared" si="138"/>
        <v>8.5399999999999991</v>
      </c>
      <c r="H240" s="34">
        <v>0</v>
      </c>
      <c r="I240" s="16">
        <f t="shared" si="132"/>
        <v>187.87999999999991</v>
      </c>
      <c r="K240" s="14">
        <v>0</v>
      </c>
      <c r="L240" s="15">
        <v>0</v>
      </c>
      <c r="M240" s="16">
        <f t="shared" si="130"/>
        <v>0</v>
      </c>
      <c r="O240" s="33">
        <f t="shared" si="133"/>
        <v>0</v>
      </c>
      <c r="P240" s="34">
        <v>0</v>
      </c>
      <c r="Q240" s="16">
        <f t="shared" si="134"/>
        <v>0</v>
      </c>
      <c r="S240" s="33">
        <v>0</v>
      </c>
      <c r="T240" s="34">
        <v>0</v>
      </c>
      <c r="U240" s="16">
        <f t="shared" si="135"/>
        <v>0</v>
      </c>
      <c r="W240" s="14">
        <f t="shared" si="139"/>
        <v>0</v>
      </c>
      <c r="X240" s="15">
        <v>0</v>
      </c>
      <c r="Y240" s="16">
        <f t="shared" si="136"/>
        <v>0</v>
      </c>
      <c r="Z240" s="70"/>
      <c r="AA240" s="14">
        <f t="shared" si="122"/>
        <v>1.64</v>
      </c>
      <c r="AB240" s="15">
        <v>0</v>
      </c>
      <c r="AC240" s="16">
        <f t="shared" si="123"/>
        <v>36.080000000000005</v>
      </c>
      <c r="AD240" s="70"/>
      <c r="AF240" s="19">
        <v>70</v>
      </c>
      <c r="AG240" s="30">
        <f t="shared" si="124"/>
        <v>46234</v>
      </c>
      <c r="AH240" s="31">
        <f t="shared" si="125"/>
        <v>14166.69</v>
      </c>
      <c r="AI240" s="31">
        <f t="shared" si="126"/>
        <v>0</v>
      </c>
      <c r="AJ240" s="34">
        <f t="shared" si="127"/>
        <v>0</v>
      </c>
      <c r="AK240" s="31">
        <f t="shared" si="128"/>
        <v>0</v>
      </c>
      <c r="AL240" s="32">
        <f t="shared" si="137"/>
        <v>0</v>
      </c>
    </row>
    <row r="241" spans="1:44" hidden="1" outlineLevel="1" x14ac:dyDescent="0.45">
      <c r="A241" s="27">
        <v>46235</v>
      </c>
      <c r="B241" s="28">
        <f t="shared" si="131"/>
        <v>1</v>
      </c>
      <c r="C241" s="14">
        <v>0</v>
      </c>
      <c r="D241" s="15">
        <v>0</v>
      </c>
      <c r="E241" s="16">
        <f t="shared" si="129"/>
        <v>14166.69</v>
      </c>
      <c r="F241" s="2"/>
      <c r="G241" s="33">
        <f t="shared" si="138"/>
        <v>8.5399999999999991</v>
      </c>
      <c r="H241" s="34">
        <v>0</v>
      </c>
      <c r="I241" s="16">
        <f t="shared" si="132"/>
        <v>196.4199999999999</v>
      </c>
      <c r="K241" s="14">
        <v>0</v>
      </c>
      <c r="L241" s="15">
        <v>0</v>
      </c>
      <c r="M241" s="16">
        <f t="shared" si="130"/>
        <v>0</v>
      </c>
      <c r="O241" s="33">
        <f t="shared" si="133"/>
        <v>0</v>
      </c>
      <c r="P241" s="34">
        <v>0</v>
      </c>
      <c r="Q241" s="16">
        <f t="shared" si="134"/>
        <v>0</v>
      </c>
      <c r="S241" s="33">
        <v>0</v>
      </c>
      <c r="T241" s="34">
        <v>0</v>
      </c>
      <c r="U241" s="16">
        <f t="shared" si="135"/>
        <v>0</v>
      </c>
      <c r="W241" s="14">
        <f t="shared" si="139"/>
        <v>0</v>
      </c>
      <c r="X241" s="15">
        <v>0</v>
      </c>
      <c r="Y241" s="16">
        <f t="shared" si="136"/>
        <v>0</v>
      </c>
      <c r="Z241" s="70"/>
      <c r="AA241" s="14">
        <f t="shared" si="122"/>
        <v>1.64</v>
      </c>
      <c r="AB241" s="15">
        <v>0</v>
      </c>
      <c r="AC241" s="16">
        <f t="shared" si="123"/>
        <v>37.720000000000006</v>
      </c>
      <c r="AD241" s="70"/>
      <c r="AF241" s="19">
        <v>71</v>
      </c>
      <c r="AG241" s="30">
        <f t="shared" si="124"/>
        <v>46235</v>
      </c>
      <c r="AH241" s="31">
        <f t="shared" si="125"/>
        <v>14166.69</v>
      </c>
      <c r="AI241" s="31">
        <f t="shared" si="126"/>
        <v>0</v>
      </c>
      <c r="AJ241" s="34">
        <f t="shared" si="127"/>
        <v>0</v>
      </c>
      <c r="AK241" s="31">
        <f t="shared" si="128"/>
        <v>0</v>
      </c>
      <c r="AL241" s="32">
        <f t="shared" si="137"/>
        <v>0</v>
      </c>
    </row>
    <row r="242" spans="1:44" hidden="1" outlineLevel="1" x14ac:dyDescent="0.45">
      <c r="A242" s="27">
        <v>46236</v>
      </c>
      <c r="B242" s="28">
        <f t="shared" si="131"/>
        <v>1</v>
      </c>
      <c r="C242" s="14">
        <v>0</v>
      </c>
      <c r="D242" s="15">
        <v>0</v>
      </c>
      <c r="E242" s="16">
        <f t="shared" si="129"/>
        <v>14166.69</v>
      </c>
      <c r="F242" s="2"/>
      <c r="G242" s="33">
        <f t="shared" si="138"/>
        <v>8.5399999999999991</v>
      </c>
      <c r="H242" s="34">
        <v>0</v>
      </c>
      <c r="I242" s="16">
        <f t="shared" si="132"/>
        <v>204.95999999999989</v>
      </c>
      <c r="K242" s="14">
        <v>0</v>
      </c>
      <c r="L242" s="15">
        <v>0</v>
      </c>
      <c r="M242" s="16">
        <f t="shared" si="130"/>
        <v>0</v>
      </c>
      <c r="O242" s="33">
        <f t="shared" si="133"/>
        <v>0</v>
      </c>
      <c r="P242" s="34">
        <v>0</v>
      </c>
      <c r="Q242" s="16">
        <f t="shared" si="134"/>
        <v>0</v>
      </c>
      <c r="S242" s="33">
        <v>0</v>
      </c>
      <c r="T242" s="34">
        <v>0</v>
      </c>
      <c r="U242" s="16">
        <f t="shared" si="135"/>
        <v>0</v>
      </c>
      <c r="W242" s="14">
        <f t="shared" si="139"/>
        <v>0</v>
      </c>
      <c r="X242" s="15">
        <v>0</v>
      </c>
      <c r="Y242" s="16">
        <f t="shared" si="136"/>
        <v>0</v>
      </c>
      <c r="Z242" s="70"/>
      <c r="AA242" s="14">
        <f t="shared" si="122"/>
        <v>1.64</v>
      </c>
      <c r="AB242" s="15">
        <v>0</v>
      </c>
      <c r="AC242" s="16">
        <f t="shared" si="123"/>
        <v>39.360000000000007</v>
      </c>
      <c r="AD242" s="70"/>
      <c r="AF242" s="19">
        <v>72</v>
      </c>
      <c r="AG242" s="30">
        <f t="shared" si="124"/>
        <v>46236</v>
      </c>
      <c r="AH242" s="31">
        <f t="shared" si="125"/>
        <v>14166.69</v>
      </c>
      <c r="AI242" s="31">
        <f t="shared" si="126"/>
        <v>0</v>
      </c>
      <c r="AJ242" s="34">
        <f t="shared" si="127"/>
        <v>0</v>
      </c>
      <c r="AK242" s="31">
        <f t="shared" si="128"/>
        <v>0</v>
      </c>
      <c r="AL242" s="32">
        <f t="shared" si="137"/>
        <v>0</v>
      </c>
    </row>
    <row r="243" spans="1:44" hidden="1" outlineLevel="1" x14ac:dyDescent="0.45">
      <c r="A243" s="27">
        <v>46237</v>
      </c>
      <c r="B243" s="28">
        <f t="shared" si="131"/>
        <v>1</v>
      </c>
      <c r="C243" s="14">
        <v>0</v>
      </c>
      <c r="D243" s="15">
        <v>0</v>
      </c>
      <c r="E243" s="16">
        <f t="shared" si="129"/>
        <v>14166.69</v>
      </c>
      <c r="F243" s="2"/>
      <c r="G243" s="33">
        <f t="shared" si="138"/>
        <v>8.5399999999999991</v>
      </c>
      <c r="H243" s="34">
        <v>0</v>
      </c>
      <c r="I243" s="16">
        <f t="shared" si="132"/>
        <v>213.49999999999989</v>
      </c>
      <c r="K243" s="14">
        <v>0</v>
      </c>
      <c r="L243" s="15">
        <v>0</v>
      </c>
      <c r="M243" s="16">
        <f t="shared" si="130"/>
        <v>0</v>
      </c>
      <c r="O243" s="33">
        <f t="shared" si="133"/>
        <v>0</v>
      </c>
      <c r="P243" s="34">
        <v>0</v>
      </c>
      <c r="Q243" s="16">
        <f t="shared" si="134"/>
        <v>0</v>
      </c>
      <c r="S243" s="33">
        <v>0</v>
      </c>
      <c r="T243" s="34">
        <v>0</v>
      </c>
      <c r="U243" s="16">
        <f t="shared" si="135"/>
        <v>0</v>
      </c>
      <c r="W243" s="14">
        <f t="shared" si="139"/>
        <v>0</v>
      </c>
      <c r="X243" s="15">
        <v>0</v>
      </c>
      <c r="Y243" s="16">
        <f t="shared" si="136"/>
        <v>0</v>
      </c>
      <c r="Z243" s="70"/>
      <c r="AA243" s="14">
        <f t="shared" si="122"/>
        <v>1.64</v>
      </c>
      <c r="AB243" s="15">
        <v>0</v>
      </c>
      <c r="AC243" s="16">
        <f t="shared" si="123"/>
        <v>41.000000000000007</v>
      </c>
      <c r="AD243" s="70"/>
      <c r="AF243" s="19">
        <v>73</v>
      </c>
      <c r="AG243" s="30">
        <f t="shared" si="124"/>
        <v>46237</v>
      </c>
      <c r="AH243" s="31">
        <f t="shared" si="125"/>
        <v>14166.69</v>
      </c>
      <c r="AI243" s="31">
        <f t="shared" si="126"/>
        <v>0</v>
      </c>
      <c r="AJ243" s="34">
        <f t="shared" si="127"/>
        <v>0</v>
      </c>
      <c r="AK243" s="31">
        <f t="shared" si="128"/>
        <v>0</v>
      </c>
      <c r="AL243" s="32">
        <f t="shared" si="137"/>
        <v>0</v>
      </c>
    </row>
    <row r="244" spans="1:44" hidden="1" outlineLevel="1" x14ac:dyDescent="0.45">
      <c r="A244" s="27">
        <v>46238</v>
      </c>
      <c r="B244" s="28">
        <f t="shared" si="131"/>
        <v>1</v>
      </c>
      <c r="C244" s="14">
        <v>0</v>
      </c>
      <c r="D244" s="15">
        <v>0</v>
      </c>
      <c r="E244" s="16">
        <f t="shared" si="129"/>
        <v>14166.69</v>
      </c>
      <c r="F244" s="2"/>
      <c r="G244" s="33">
        <f t="shared" si="138"/>
        <v>8.5399999999999991</v>
      </c>
      <c r="H244" s="34">
        <v>0</v>
      </c>
      <c r="I244" s="16">
        <f t="shared" si="132"/>
        <v>222.03999999999988</v>
      </c>
      <c r="K244" s="14">
        <v>0</v>
      </c>
      <c r="L244" s="15">
        <v>0</v>
      </c>
      <c r="M244" s="16">
        <f t="shared" si="130"/>
        <v>0</v>
      </c>
      <c r="O244" s="33">
        <f t="shared" si="133"/>
        <v>0</v>
      </c>
      <c r="P244" s="34">
        <v>0</v>
      </c>
      <c r="Q244" s="16">
        <f t="shared" si="134"/>
        <v>0</v>
      </c>
      <c r="S244" s="33">
        <v>0</v>
      </c>
      <c r="T244" s="34">
        <v>0</v>
      </c>
      <c r="U244" s="16">
        <f t="shared" si="135"/>
        <v>0</v>
      </c>
      <c r="W244" s="14">
        <f t="shared" si="139"/>
        <v>0</v>
      </c>
      <c r="X244" s="15">
        <v>0</v>
      </c>
      <c r="Y244" s="16">
        <f t="shared" si="136"/>
        <v>0</v>
      </c>
      <c r="Z244" s="70"/>
      <c r="AA244" s="14">
        <f t="shared" si="122"/>
        <v>1.64</v>
      </c>
      <c r="AB244" s="15">
        <v>0</v>
      </c>
      <c r="AC244" s="16">
        <f t="shared" si="123"/>
        <v>42.640000000000008</v>
      </c>
      <c r="AD244" s="70"/>
      <c r="AF244" s="19">
        <v>74</v>
      </c>
      <c r="AG244" s="30">
        <f t="shared" si="124"/>
        <v>46238</v>
      </c>
      <c r="AH244" s="31">
        <f t="shared" si="125"/>
        <v>14166.69</v>
      </c>
      <c r="AI244" s="31">
        <f t="shared" si="126"/>
        <v>0</v>
      </c>
      <c r="AJ244" s="34">
        <f t="shared" si="127"/>
        <v>0</v>
      </c>
      <c r="AK244" s="31">
        <f t="shared" si="128"/>
        <v>0</v>
      </c>
      <c r="AL244" s="32">
        <f t="shared" si="137"/>
        <v>0</v>
      </c>
    </row>
    <row r="245" spans="1:44" hidden="1" outlineLevel="1" x14ac:dyDescent="0.45">
      <c r="A245" s="27">
        <v>46239</v>
      </c>
      <c r="B245" s="28">
        <f t="shared" si="131"/>
        <v>1</v>
      </c>
      <c r="C245" s="14">
        <v>0</v>
      </c>
      <c r="D245" s="15">
        <v>0</v>
      </c>
      <c r="E245" s="16">
        <f t="shared" si="129"/>
        <v>14166.69</v>
      </c>
      <c r="F245" s="2"/>
      <c r="G245" s="33">
        <f t="shared" si="138"/>
        <v>8.5399999999999991</v>
      </c>
      <c r="H245" s="34">
        <v>0</v>
      </c>
      <c r="I245" s="16">
        <f t="shared" si="132"/>
        <v>230.57999999999987</v>
      </c>
      <c r="K245" s="14">
        <v>0</v>
      </c>
      <c r="L245" s="15">
        <v>0</v>
      </c>
      <c r="M245" s="16">
        <f t="shared" si="130"/>
        <v>0</v>
      </c>
      <c r="O245" s="33">
        <f t="shared" si="133"/>
        <v>0</v>
      </c>
      <c r="P245" s="34">
        <v>0</v>
      </c>
      <c r="Q245" s="16">
        <f t="shared" si="134"/>
        <v>0</v>
      </c>
      <c r="S245" s="33">
        <v>0</v>
      </c>
      <c r="T245" s="34">
        <v>0</v>
      </c>
      <c r="U245" s="16">
        <f t="shared" si="135"/>
        <v>0</v>
      </c>
      <c r="W245" s="14">
        <f t="shared" si="139"/>
        <v>0</v>
      </c>
      <c r="X245" s="15">
        <v>0</v>
      </c>
      <c r="Y245" s="16">
        <f t="shared" si="136"/>
        <v>0</v>
      </c>
      <c r="Z245" s="70"/>
      <c r="AA245" s="14">
        <f t="shared" si="122"/>
        <v>1.64</v>
      </c>
      <c r="AB245" s="15">
        <v>0</v>
      </c>
      <c r="AC245" s="16">
        <f t="shared" si="123"/>
        <v>44.280000000000008</v>
      </c>
      <c r="AD245" s="70"/>
      <c r="AF245" s="19">
        <v>75</v>
      </c>
      <c r="AG245" s="30">
        <f t="shared" si="124"/>
        <v>46239</v>
      </c>
      <c r="AH245" s="31">
        <f t="shared" si="125"/>
        <v>14166.69</v>
      </c>
      <c r="AI245" s="31">
        <f t="shared" si="126"/>
        <v>0</v>
      </c>
      <c r="AJ245" s="34">
        <f t="shared" si="127"/>
        <v>0</v>
      </c>
      <c r="AK245" s="31">
        <f t="shared" si="128"/>
        <v>0</v>
      </c>
      <c r="AL245" s="32">
        <f t="shared" si="137"/>
        <v>0</v>
      </c>
    </row>
    <row r="246" spans="1:44" hidden="1" outlineLevel="1" x14ac:dyDescent="0.45">
      <c r="A246" s="27">
        <v>46240</v>
      </c>
      <c r="B246" s="28">
        <f t="shared" si="131"/>
        <v>1</v>
      </c>
      <c r="C246" s="14">
        <v>0</v>
      </c>
      <c r="D246" s="15">
        <v>0</v>
      </c>
      <c r="E246" s="16">
        <f t="shared" si="129"/>
        <v>14166.69</v>
      </c>
      <c r="F246" s="2"/>
      <c r="G246" s="33">
        <f t="shared" si="138"/>
        <v>8.5399999999999991</v>
      </c>
      <c r="H246" s="34">
        <v>0</v>
      </c>
      <c r="I246" s="16">
        <f t="shared" si="132"/>
        <v>239.11999999999986</v>
      </c>
      <c r="K246" s="14">
        <v>0</v>
      </c>
      <c r="L246" s="15">
        <v>0</v>
      </c>
      <c r="M246" s="16">
        <f t="shared" si="130"/>
        <v>0</v>
      </c>
      <c r="O246" s="33">
        <f t="shared" si="133"/>
        <v>0</v>
      </c>
      <c r="P246" s="34">
        <v>0</v>
      </c>
      <c r="Q246" s="16">
        <f t="shared" si="134"/>
        <v>0</v>
      </c>
      <c r="S246" s="33">
        <v>0</v>
      </c>
      <c r="T246" s="34">
        <v>0</v>
      </c>
      <c r="U246" s="16">
        <f t="shared" si="135"/>
        <v>0</v>
      </c>
      <c r="W246" s="14">
        <f t="shared" si="139"/>
        <v>0</v>
      </c>
      <c r="X246" s="15">
        <v>0</v>
      </c>
      <c r="Y246" s="16">
        <f t="shared" si="136"/>
        <v>0</v>
      </c>
      <c r="Z246" s="70"/>
      <c r="AA246" s="14">
        <f t="shared" si="122"/>
        <v>1.64</v>
      </c>
      <c r="AB246" s="15">
        <v>0</v>
      </c>
      <c r="AC246" s="16">
        <f t="shared" si="123"/>
        <v>45.920000000000009</v>
      </c>
      <c r="AD246" s="70"/>
      <c r="AF246" s="19">
        <v>76</v>
      </c>
      <c r="AG246" s="30">
        <f t="shared" si="124"/>
        <v>46240</v>
      </c>
      <c r="AH246" s="31">
        <f t="shared" si="125"/>
        <v>14166.69</v>
      </c>
      <c r="AI246" s="31">
        <f t="shared" si="126"/>
        <v>0</v>
      </c>
      <c r="AJ246" s="34">
        <f t="shared" si="127"/>
        <v>0</v>
      </c>
      <c r="AK246" s="31">
        <f t="shared" si="128"/>
        <v>0</v>
      </c>
      <c r="AL246" s="32">
        <f t="shared" si="137"/>
        <v>0</v>
      </c>
    </row>
    <row r="247" spans="1:44" hidden="1" outlineLevel="1" x14ac:dyDescent="0.45">
      <c r="A247" s="27">
        <v>46241</v>
      </c>
      <c r="B247" s="28">
        <f t="shared" si="131"/>
        <v>1</v>
      </c>
      <c r="C247" s="14">
        <v>0</v>
      </c>
      <c r="D247" s="15">
        <v>0</v>
      </c>
      <c r="E247" s="16">
        <f t="shared" si="129"/>
        <v>14166.69</v>
      </c>
      <c r="F247" s="2"/>
      <c r="G247" s="33">
        <f t="shared" si="138"/>
        <v>8.5399999999999991</v>
      </c>
      <c r="H247" s="34">
        <v>0</v>
      </c>
      <c r="I247" s="16">
        <f t="shared" si="132"/>
        <v>247.65999999999985</v>
      </c>
      <c r="K247" s="14">
        <v>0</v>
      </c>
      <c r="L247" s="15">
        <v>0</v>
      </c>
      <c r="M247" s="16">
        <f t="shared" si="130"/>
        <v>0</v>
      </c>
      <c r="O247" s="33">
        <f t="shared" si="133"/>
        <v>0</v>
      </c>
      <c r="P247" s="34">
        <v>0</v>
      </c>
      <c r="Q247" s="16">
        <f t="shared" si="134"/>
        <v>0</v>
      </c>
      <c r="S247" s="33">
        <v>0</v>
      </c>
      <c r="T247" s="34">
        <v>0</v>
      </c>
      <c r="U247" s="16">
        <f t="shared" si="135"/>
        <v>0</v>
      </c>
      <c r="W247" s="14">
        <f t="shared" si="139"/>
        <v>0</v>
      </c>
      <c r="X247" s="15">
        <v>0</v>
      </c>
      <c r="Y247" s="16">
        <f t="shared" si="136"/>
        <v>0</v>
      </c>
      <c r="Z247" s="70"/>
      <c r="AA247" s="14">
        <f t="shared" si="122"/>
        <v>1.64</v>
      </c>
      <c r="AB247" s="15">
        <v>0</v>
      </c>
      <c r="AC247" s="16">
        <f t="shared" si="123"/>
        <v>47.560000000000009</v>
      </c>
      <c r="AD247" s="70"/>
      <c r="AF247" s="19">
        <v>77</v>
      </c>
      <c r="AG247" s="30">
        <f t="shared" si="124"/>
        <v>46241</v>
      </c>
      <c r="AH247" s="31">
        <f t="shared" si="125"/>
        <v>14166.69</v>
      </c>
      <c r="AI247" s="31">
        <f t="shared" si="126"/>
        <v>0</v>
      </c>
      <c r="AJ247" s="34">
        <f t="shared" si="127"/>
        <v>0</v>
      </c>
      <c r="AK247" s="31">
        <f t="shared" si="128"/>
        <v>0</v>
      </c>
      <c r="AL247" s="32">
        <f t="shared" si="137"/>
        <v>0</v>
      </c>
    </row>
    <row r="248" spans="1:44" hidden="1" outlineLevel="1" x14ac:dyDescent="0.45">
      <c r="A248" s="27">
        <v>46242</v>
      </c>
      <c r="B248" s="28">
        <f t="shared" si="131"/>
        <v>1</v>
      </c>
      <c r="C248" s="14">
        <v>0</v>
      </c>
      <c r="D248" s="15">
        <v>0</v>
      </c>
      <c r="E248" s="16">
        <f t="shared" si="129"/>
        <v>14166.69</v>
      </c>
      <c r="F248" s="2"/>
      <c r="G248" s="33">
        <f t="shared" si="138"/>
        <v>8.5399999999999991</v>
      </c>
      <c r="H248" s="34">
        <v>0</v>
      </c>
      <c r="I248" s="16">
        <f t="shared" si="132"/>
        <v>256.19999999999987</v>
      </c>
      <c r="K248" s="14">
        <v>0</v>
      </c>
      <c r="L248" s="15">
        <v>0</v>
      </c>
      <c r="M248" s="16">
        <f t="shared" si="130"/>
        <v>0</v>
      </c>
      <c r="O248" s="33">
        <f t="shared" si="133"/>
        <v>0</v>
      </c>
      <c r="P248" s="34">
        <v>0</v>
      </c>
      <c r="Q248" s="16">
        <f t="shared" si="134"/>
        <v>0</v>
      </c>
      <c r="S248" s="33">
        <v>0</v>
      </c>
      <c r="T248" s="34">
        <v>0</v>
      </c>
      <c r="U248" s="16">
        <f t="shared" si="135"/>
        <v>0</v>
      </c>
      <c r="W248" s="14">
        <f t="shared" si="139"/>
        <v>0</v>
      </c>
      <c r="X248" s="15">
        <v>0</v>
      </c>
      <c r="Y248" s="16">
        <f t="shared" si="136"/>
        <v>0</v>
      </c>
      <c r="Z248" s="70"/>
      <c r="AA248" s="14">
        <f t="shared" si="122"/>
        <v>1.64</v>
      </c>
      <c r="AB248" s="15">
        <v>0</v>
      </c>
      <c r="AC248" s="16">
        <f t="shared" si="123"/>
        <v>49.20000000000001</v>
      </c>
      <c r="AD248" s="70"/>
      <c r="AF248" s="19">
        <v>78</v>
      </c>
      <c r="AG248" s="30">
        <f t="shared" si="124"/>
        <v>46242</v>
      </c>
      <c r="AH248" s="31">
        <f t="shared" si="125"/>
        <v>14166.69</v>
      </c>
      <c r="AI248" s="31">
        <f t="shared" si="126"/>
        <v>0</v>
      </c>
      <c r="AJ248" s="34">
        <f t="shared" si="127"/>
        <v>0</v>
      </c>
      <c r="AK248" s="31">
        <f t="shared" si="128"/>
        <v>0</v>
      </c>
      <c r="AL248" s="32">
        <f t="shared" si="137"/>
        <v>0</v>
      </c>
    </row>
    <row r="249" spans="1:44" hidden="1" outlineLevel="1" x14ac:dyDescent="0.45">
      <c r="A249" s="27">
        <v>46243</v>
      </c>
      <c r="B249" s="28">
        <f t="shared" si="131"/>
        <v>1</v>
      </c>
      <c r="C249" s="14">
        <v>0</v>
      </c>
      <c r="D249" s="15">
        <v>0</v>
      </c>
      <c r="E249" s="16">
        <f t="shared" si="129"/>
        <v>14166.69</v>
      </c>
      <c r="F249" s="2"/>
      <c r="G249" s="33">
        <f t="shared" si="138"/>
        <v>8.5399999999999991</v>
      </c>
      <c r="H249" s="34">
        <v>0</v>
      </c>
      <c r="I249" s="16">
        <f t="shared" si="132"/>
        <v>264.7399999999999</v>
      </c>
      <c r="K249" s="14">
        <v>0</v>
      </c>
      <c r="L249" s="15">
        <v>0</v>
      </c>
      <c r="M249" s="16">
        <f t="shared" si="130"/>
        <v>0</v>
      </c>
      <c r="O249" s="33">
        <f t="shared" si="133"/>
        <v>0</v>
      </c>
      <c r="P249" s="34">
        <v>0</v>
      </c>
      <c r="Q249" s="16">
        <f t="shared" si="134"/>
        <v>0</v>
      </c>
      <c r="S249" s="33">
        <v>0</v>
      </c>
      <c r="T249" s="34">
        <v>0</v>
      </c>
      <c r="U249" s="16">
        <f t="shared" si="135"/>
        <v>0</v>
      </c>
      <c r="W249" s="14">
        <f t="shared" si="139"/>
        <v>0</v>
      </c>
      <c r="X249" s="15">
        <v>0</v>
      </c>
      <c r="Y249" s="16">
        <f t="shared" si="136"/>
        <v>0</v>
      </c>
      <c r="Z249" s="70"/>
      <c r="AA249" s="14">
        <f t="shared" si="122"/>
        <v>1.64</v>
      </c>
      <c r="AB249" s="15">
        <v>0</v>
      </c>
      <c r="AC249" s="16">
        <f t="shared" si="123"/>
        <v>50.840000000000011</v>
      </c>
      <c r="AD249" s="70"/>
      <c r="AF249" s="19">
        <v>79</v>
      </c>
      <c r="AG249" s="30">
        <f t="shared" si="124"/>
        <v>46243</v>
      </c>
      <c r="AH249" s="31">
        <f t="shared" si="125"/>
        <v>14166.69</v>
      </c>
      <c r="AI249" s="31">
        <f t="shared" si="126"/>
        <v>0</v>
      </c>
      <c r="AJ249" s="34">
        <f t="shared" si="127"/>
        <v>0</v>
      </c>
      <c r="AK249" s="31">
        <f t="shared" si="128"/>
        <v>0</v>
      </c>
      <c r="AL249" s="32">
        <f t="shared" si="137"/>
        <v>0</v>
      </c>
    </row>
    <row r="250" spans="1:44" s="39" customFormat="1" collapsed="1" x14ac:dyDescent="0.45">
      <c r="A250" s="27">
        <v>46244</v>
      </c>
      <c r="B250" s="35">
        <f t="shared" si="131"/>
        <v>1</v>
      </c>
      <c r="C250" s="36">
        <v>0</v>
      </c>
      <c r="D250" s="37">
        <v>833.33</v>
      </c>
      <c r="E250" s="38">
        <f t="shared" si="129"/>
        <v>13333.36</v>
      </c>
      <c r="G250" s="33">
        <f t="shared" si="138"/>
        <v>8.0399999999999991</v>
      </c>
      <c r="H250" s="37">
        <f>I249</f>
        <v>264.7399999999999</v>
      </c>
      <c r="I250" s="38">
        <f t="shared" si="132"/>
        <v>8.0400000000000205</v>
      </c>
      <c r="K250" s="36">
        <v>0</v>
      </c>
      <c r="L250" s="37">
        <v>0</v>
      </c>
      <c r="M250" s="38">
        <f t="shared" si="130"/>
        <v>0</v>
      </c>
      <c r="O250" s="33">
        <f t="shared" si="133"/>
        <v>0</v>
      </c>
      <c r="P250" s="37">
        <f>Q249+O250</f>
        <v>0</v>
      </c>
      <c r="Q250" s="38">
        <f t="shared" si="134"/>
        <v>0</v>
      </c>
      <c r="S250" s="36">
        <v>0</v>
      </c>
      <c r="T250" s="37">
        <f>U249+S250</f>
        <v>0</v>
      </c>
      <c r="U250" s="38">
        <f t="shared" si="135"/>
        <v>0</v>
      </c>
      <c r="W250" s="14">
        <f t="shared" si="139"/>
        <v>0</v>
      </c>
      <c r="X250" s="15">
        <v>0</v>
      </c>
      <c r="Y250" s="38">
        <f t="shared" si="136"/>
        <v>0</v>
      </c>
      <c r="Z250" s="85"/>
      <c r="AA250" s="36">
        <f t="shared" si="122"/>
        <v>1.64</v>
      </c>
      <c r="AB250" s="37">
        <f>AC249</f>
        <v>50.840000000000011</v>
      </c>
      <c r="AC250" s="38">
        <f t="shared" si="123"/>
        <v>1.6400000000000006</v>
      </c>
      <c r="AD250" s="85"/>
      <c r="AF250" s="40">
        <v>30</v>
      </c>
      <c r="AG250" s="41">
        <f t="shared" si="124"/>
        <v>46244</v>
      </c>
      <c r="AH250" s="42">
        <f t="shared" si="125"/>
        <v>13333.36</v>
      </c>
      <c r="AI250" s="42">
        <f t="shared" si="126"/>
        <v>833.33</v>
      </c>
      <c r="AJ250" s="37">
        <f t="shared" si="127"/>
        <v>264.7399999999999</v>
      </c>
      <c r="AK250" s="42">
        <f>AC249</f>
        <v>50.840000000000011</v>
      </c>
      <c r="AL250" s="43">
        <f>AI250+AJ250+AK250</f>
        <v>1148.9099999999999</v>
      </c>
      <c r="AM250" s="44">
        <f>AL250</f>
        <v>1148.9099999999999</v>
      </c>
      <c r="AN250" s="44"/>
      <c r="AO250" s="5"/>
      <c r="AP250" s="46"/>
      <c r="AQ250" s="44"/>
      <c r="AR250" s="44"/>
    </row>
    <row r="251" spans="1:44" hidden="1" outlineLevel="1" x14ac:dyDescent="0.45">
      <c r="A251" s="27">
        <v>46245</v>
      </c>
      <c r="B251" s="28">
        <f t="shared" si="131"/>
        <v>1</v>
      </c>
      <c r="C251" s="14">
        <v>0</v>
      </c>
      <c r="D251" s="15">
        <v>0</v>
      </c>
      <c r="E251" s="16">
        <f t="shared" si="129"/>
        <v>13333.36</v>
      </c>
      <c r="F251" s="2"/>
      <c r="G251" s="33">
        <f t="shared" si="138"/>
        <v>8.0399999999999991</v>
      </c>
      <c r="H251" s="34">
        <v>0</v>
      </c>
      <c r="I251" s="16">
        <f t="shared" si="132"/>
        <v>16.08000000000002</v>
      </c>
      <c r="K251" s="14">
        <v>0</v>
      </c>
      <c r="L251" s="15">
        <v>0</v>
      </c>
      <c r="M251" s="16">
        <f t="shared" si="130"/>
        <v>0</v>
      </c>
      <c r="O251" s="33">
        <f t="shared" si="133"/>
        <v>0</v>
      </c>
      <c r="P251" s="34">
        <v>0</v>
      </c>
      <c r="Q251" s="16">
        <f t="shared" si="134"/>
        <v>0</v>
      </c>
      <c r="S251" s="33">
        <v>0</v>
      </c>
      <c r="T251" s="34">
        <v>0</v>
      </c>
      <c r="U251" s="16">
        <f t="shared" si="135"/>
        <v>0</v>
      </c>
      <c r="W251" s="14">
        <f t="shared" si="139"/>
        <v>0</v>
      </c>
      <c r="X251" s="15">
        <v>0</v>
      </c>
      <c r="Y251" s="16">
        <f t="shared" si="136"/>
        <v>0</v>
      </c>
      <c r="Z251" s="70"/>
      <c r="AA251" s="14">
        <f t="shared" si="122"/>
        <v>1.64</v>
      </c>
      <c r="AB251" s="15">
        <v>0</v>
      </c>
      <c r="AC251" s="16">
        <f t="shared" si="123"/>
        <v>3.2800000000000002</v>
      </c>
      <c r="AD251" s="70"/>
      <c r="AF251" s="19">
        <v>50</v>
      </c>
      <c r="AG251" s="30">
        <f t="shared" si="124"/>
        <v>46245</v>
      </c>
      <c r="AH251" s="31">
        <f t="shared" si="125"/>
        <v>13333.36</v>
      </c>
      <c r="AI251" s="31">
        <f t="shared" si="126"/>
        <v>0</v>
      </c>
      <c r="AJ251" s="34">
        <f t="shared" si="127"/>
        <v>0</v>
      </c>
      <c r="AK251" s="31">
        <f t="shared" si="128"/>
        <v>0</v>
      </c>
      <c r="AL251" s="32">
        <f t="shared" si="137"/>
        <v>0</v>
      </c>
    </row>
    <row r="252" spans="1:44" hidden="1" outlineLevel="1" x14ac:dyDescent="0.45">
      <c r="A252" s="27">
        <v>46246</v>
      </c>
      <c r="B252" s="28">
        <f t="shared" si="131"/>
        <v>1</v>
      </c>
      <c r="C252" s="14">
        <v>0</v>
      </c>
      <c r="D252" s="15">
        <v>0</v>
      </c>
      <c r="E252" s="16">
        <f t="shared" si="129"/>
        <v>13333.36</v>
      </c>
      <c r="F252" s="2"/>
      <c r="G252" s="33">
        <f t="shared" si="138"/>
        <v>8.0399999999999991</v>
      </c>
      <c r="H252" s="34">
        <v>0</v>
      </c>
      <c r="I252" s="16">
        <f t="shared" si="132"/>
        <v>24.120000000000019</v>
      </c>
      <c r="K252" s="14">
        <v>0</v>
      </c>
      <c r="L252" s="15">
        <v>0</v>
      </c>
      <c r="M252" s="16">
        <f t="shared" si="130"/>
        <v>0</v>
      </c>
      <c r="O252" s="33">
        <f t="shared" si="133"/>
        <v>0</v>
      </c>
      <c r="P252" s="34">
        <v>0</v>
      </c>
      <c r="Q252" s="16">
        <f t="shared" si="134"/>
        <v>0</v>
      </c>
      <c r="S252" s="33">
        <v>0</v>
      </c>
      <c r="T252" s="34">
        <v>0</v>
      </c>
      <c r="U252" s="16">
        <f t="shared" si="135"/>
        <v>0</v>
      </c>
      <c r="W252" s="14">
        <f t="shared" si="139"/>
        <v>0</v>
      </c>
      <c r="X252" s="15">
        <v>0</v>
      </c>
      <c r="Y252" s="16">
        <f t="shared" si="136"/>
        <v>0</v>
      </c>
      <c r="Z252" s="70"/>
      <c r="AA252" s="14">
        <f t="shared" si="122"/>
        <v>1.64</v>
      </c>
      <c r="AB252" s="15">
        <v>0</v>
      </c>
      <c r="AC252" s="16">
        <f t="shared" si="123"/>
        <v>4.92</v>
      </c>
      <c r="AD252" s="70"/>
      <c r="AF252" s="19">
        <v>51</v>
      </c>
      <c r="AG252" s="30">
        <f t="shared" si="124"/>
        <v>46246</v>
      </c>
      <c r="AH252" s="31">
        <f t="shared" si="125"/>
        <v>13333.36</v>
      </c>
      <c r="AI252" s="31">
        <f t="shared" si="126"/>
        <v>0</v>
      </c>
      <c r="AJ252" s="34">
        <f t="shared" si="127"/>
        <v>0</v>
      </c>
      <c r="AK252" s="31">
        <f t="shared" si="128"/>
        <v>0</v>
      </c>
      <c r="AL252" s="32">
        <f t="shared" si="137"/>
        <v>0</v>
      </c>
    </row>
    <row r="253" spans="1:44" hidden="1" outlineLevel="1" x14ac:dyDescent="0.45">
      <c r="A253" s="27">
        <v>46247</v>
      </c>
      <c r="B253" s="28">
        <f t="shared" si="131"/>
        <v>1</v>
      </c>
      <c r="C253" s="14">
        <v>0</v>
      </c>
      <c r="D253" s="15">
        <v>0</v>
      </c>
      <c r="E253" s="16">
        <f t="shared" si="129"/>
        <v>13333.36</v>
      </c>
      <c r="F253" s="2"/>
      <c r="G253" s="33">
        <f t="shared" si="138"/>
        <v>8.0399999999999991</v>
      </c>
      <c r="H253" s="34">
        <v>0</v>
      </c>
      <c r="I253" s="16">
        <f t="shared" si="132"/>
        <v>32.160000000000018</v>
      </c>
      <c r="K253" s="14">
        <v>0</v>
      </c>
      <c r="L253" s="15">
        <v>0</v>
      </c>
      <c r="M253" s="16">
        <f t="shared" si="130"/>
        <v>0</v>
      </c>
      <c r="O253" s="33">
        <f t="shared" si="133"/>
        <v>0</v>
      </c>
      <c r="P253" s="34">
        <v>0</v>
      </c>
      <c r="Q253" s="16">
        <f t="shared" si="134"/>
        <v>0</v>
      </c>
      <c r="S253" s="33">
        <v>0</v>
      </c>
      <c r="T253" s="34">
        <v>0</v>
      </c>
      <c r="U253" s="16">
        <f t="shared" si="135"/>
        <v>0</v>
      </c>
      <c r="W253" s="14">
        <f t="shared" si="139"/>
        <v>0</v>
      </c>
      <c r="X253" s="15">
        <v>0</v>
      </c>
      <c r="Y253" s="16">
        <f t="shared" si="136"/>
        <v>0</v>
      </c>
      <c r="Z253" s="70"/>
      <c r="AA253" s="14">
        <f t="shared" si="122"/>
        <v>1.64</v>
      </c>
      <c r="AB253" s="15">
        <v>0</v>
      </c>
      <c r="AC253" s="16">
        <f t="shared" si="123"/>
        <v>6.56</v>
      </c>
      <c r="AD253" s="70"/>
      <c r="AF253" s="19">
        <v>52</v>
      </c>
      <c r="AG253" s="30">
        <f t="shared" si="124"/>
        <v>46247</v>
      </c>
      <c r="AH253" s="31">
        <f t="shared" si="125"/>
        <v>13333.36</v>
      </c>
      <c r="AI253" s="31">
        <f t="shared" si="126"/>
        <v>0</v>
      </c>
      <c r="AJ253" s="34">
        <f t="shared" si="127"/>
        <v>0</v>
      </c>
      <c r="AK253" s="31">
        <f t="shared" si="128"/>
        <v>0</v>
      </c>
      <c r="AL253" s="32">
        <f t="shared" si="137"/>
        <v>0</v>
      </c>
    </row>
    <row r="254" spans="1:44" hidden="1" outlineLevel="1" x14ac:dyDescent="0.45">
      <c r="A254" s="27">
        <v>46248</v>
      </c>
      <c r="B254" s="28">
        <f t="shared" si="131"/>
        <v>1</v>
      </c>
      <c r="C254" s="14">
        <v>0</v>
      </c>
      <c r="D254" s="15">
        <v>0</v>
      </c>
      <c r="E254" s="16">
        <f t="shared" si="129"/>
        <v>13333.36</v>
      </c>
      <c r="F254" s="2"/>
      <c r="G254" s="33">
        <f t="shared" si="138"/>
        <v>8.0399999999999991</v>
      </c>
      <c r="H254" s="34">
        <v>0</v>
      </c>
      <c r="I254" s="16">
        <f t="shared" si="132"/>
        <v>40.200000000000017</v>
      </c>
      <c r="K254" s="14">
        <v>0</v>
      </c>
      <c r="L254" s="15">
        <v>0</v>
      </c>
      <c r="M254" s="16">
        <f t="shared" si="130"/>
        <v>0</v>
      </c>
      <c r="O254" s="33">
        <f t="shared" si="133"/>
        <v>0</v>
      </c>
      <c r="P254" s="34">
        <v>0</v>
      </c>
      <c r="Q254" s="16">
        <f t="shared" si="134"/>
        <v>0</v>
      </c>
      <c r="S254" s="33">
        <v>0</v>
      </c>
      <c r="T254" s="34">
        <v>0</v>
      </c>
      <c r="U254" s="16">
        <f t="shared" si="135"/>
        <v>0</v>
      </c>
      <c r="W254" s="14">
        <f t="shared" si="139"/>
        <v>0</v>
      </c>
      <c r="X254" s="15">
        <v>0</v>
      </c>
      <c r="Y254" s="16">
        <f t="shared" si="136"/>
        <v>0</v>
      </c>
      <c r="Z254" s="70"/>
      <c r="AA254" s="14">
        <f t="shared" si="122"/>
        <v>1.64</v>
      </c>
      <c r="AB254" s="15">
        <v>0</v>
      </c>
      <c r="AC254" s="16">
        <f t="shared" si="123"/>
        <v>8.1999999999999993</v>
      </c>
      <c r="AD254" s="70"/>
      <c r="AF254" s="19">
        <v>53</v>
      </c>
      <c r="AG254" s="30">
        <f t="shared" si="124"/>
        <v>46248</v>
      </c>
      <c r="AH254" s="31">
        <f t="shared" si="125"/>
        <v>13333.36</v>
      </c>
      <c r="AI254" s="31">
        <f t="shared" si="126"/>
        <v>0</v>
      </c>
      <c r="AJ254" s="34">
        <f t="shared" si="127"/>
        <v>0</v>
      </c>
      <c r="AK254" s="31">
        <f t="shared" si="128"/>
        <v>0</v>
      </c>
      <c r="AL254" s="32">
        <f t="shared" si="137"/>
        <v>0</v>
      </c>
    </row>
    <row r="255" spans="1:44" hidden="1" outlineLevel="1" x14ac:dyDescent="0.45">
      <c r="A255" s="27">
        <v>46249</v>
      </c>
      <c r="B255" s="28">
        <f t="shared" si="131"/>
        <v>1</v>
      </c>
      <c r="C255" s="14">
        <v>0</v>
      </c>
      <c r="D255" s="15">
        <v>0</v>
      </c>
      <c r="E255" s="16">
        <f t="shared" si="129"/>
        <v>13333.36</v>
      </c>
      <c r="F255" s="2"/>
      <c r="G255" s="33">
        <f t="shared" si="138"/>
        <v>8.0399999999999991</v>
      </c>
      <c r="H255" s="34">
        <v>0</v>
      </c>
      <c r="I255" s="16">
        <f t="shared" si="132"/>
        <v>48.240000000000016</v>
      </c>
      <c r="K255" s="14">
        <v>0</v>
      </c>
      <c r="L255" s="15">
        <v>0</v>
      </c>
      <c r="M255" s="16">
        <f t="shared" si="130"/>
        <v>0</v>
      </c>
      <c r="O255" s="33">
        <f t="shared" si="133"/>
        <v>0</v>
      </c>
      <c r="P255" s="34">
        <v>0</v>
      </c>
      <c r="Q255" s="16">
        <f t="shared" si="134"/>
        <v>0</v>
      </c>
      <c r="S255" s="33">
        <v>0</v>
      </c>
      <c r="T255" s="34">
        <v>0</v>
      </c>
      <c r="U255" s="16">
        <f t="shared" si="135"/>
        <v>0</v>
      </c>
      <c r="W255" s="14">
        <f t="shared" si="139"/>
        <v>0</v>
      </c>
      <c r="X255" s="15">
        <v>0</v>
      </c>
      <c r="Y255" s="16">
        <f t="shared" si="136"/>
        <v>0</v>
      </c>
      <c r="Z255" s="70"/>
      <c r="AA255" s="14">
        <f t="shared" si="122"/>
        <v>1.64</v>
      </c>
      <c r="AB255" s="15">
        <v>0</v>
      </c>
      <c r="AC255" s="16">
        <f t="shared" si="123"/>
        <v>9.84</v>
      </c>
      <c r="AD255" s="70"/>
      <c r="AF255" s="19">
        <v>54</v>
      </c>
      <c r="AG255" s="30">
        <f t="shared" si="124"/>
        <v>46249</v>
      </c>
      <c r="AH255" s="31">
        <f t="shared" si="125"/>
        <v>13333.36</v>
      </c>
      <c r="AI255" s="31">
        <f t="shared" si="126"/>
        <v>0</v>
      </c>
      <c r="AJ255" s="34">
        <f t="shared" si="127"/>
        <v>0</v>
      </c>
      <c r="AK255" s="31">
        <f t="shared" si="128"/>
        <v>0</v>
      </c>
      <c r="AL255" s="32">
        <f t="shared" si="137"/>
        <v>0</v>
      </c>
    </row>
    <row r="256" spans="1:44" hidden="1" outlineLevel="1" x14ac:dyDescent="0.45">
      <c r="A256" s="27">
        <v>46250</v>
      </c>
      <c r="B256" s="28">
        <f t="shared" si="131"/>
        <v>1</v>
      </c>
      <c r="C256" s="14">
        <v>0</v>
      </c>
      <c r="D256" s="15">
        <v>0</v>
      </c>
      <c r="E256" s="16">
        <f t="shared" si="129"/>
        <v>13333.36</v>
      </c>
      <c r="F256" s="2"/>
      <c r="G256" s="33">
        <f t="shared" si="138"/>
        <v>8.0399999999999991</v>
      </c>
      <c r="H256" s="34">
        <v>0</v>
      </c>
      <c r="I256" s="16">
        <f t="shared" si="132"/>
        <v>56.280000000000015</v>
      </c>
      <c r="K256" s="14">
        <v>0</v>
      </c>
      <c r="L256" s="15">
        <v>0</v>
      </c>
      <c r="M256" s="16">
        <f t="shared" si="130"/>
        <v>0</v>
      </c>
      <c r="O256" s="33">
        <f t="shared" si="133"/>
        <v>0</v>
      </c>
      <c r="P256" s="34">
        <v>0</v>
      </c>
      <c r="Q256" s="16">
        <f t="shared" si="134"/>
        <v>0</v>
      </c>
      <c r="S256" s="33">
        <v>0</v>
      </c>
      <c r="T256" s="34">
        <v>0</v>
      </c>
      <c r="U256" s="16">
        <f t="shared" si="135"/>
        <v>0</v>
      </c>
      <c r="W256" s="14">
        <f t="shared" si="139"/>
        <v>0</v>
      </c>
      <c r="X256" s="15">
        <v>0</v>
      </c>
      <c r="Y256" s="16">
        <f t="shared" si="136"/>
        <v>0</v>
      </c>
      <c r="Z256" s="70"/>
      <c r="AA256" s="14">
        <f t="shared" si="122"/>
        <v>1.64</v>
      </c>
      <c r="AB256" s="15">
        <v>0</v>
      </c>
      <c r="AC256" s="16">
        <f t="shared" si="123"/>
        <v>11.48</v>
      </c>
      <c r="AD256" s="70"/>
      <c r="AF256" s="19">
        <v>55</v>
      </c>
      <c r="AG256" s="30">
        <f t="shared" si="124"/>
        <v>46250</v>
      </c>
      <c r="AH256" s="31">
        <f t="shared" si="125"/>
        <v>13333.36</v>
      </c>
      <c r="AI256" s="31">
        <f t="shared" si="126"/>
        <v>0</v>
      </c>
      <c r="AJ256" s="34">
        <f t="shared" si="127"/>
        <v>0</v>
      </c>
      <c r="AK256" s="31">
        <f t="shared" si="128"/>
        <v>0</v>
      </c>
      <c r="AL256" s="32">
        <f t="shared" si="137"/>
        <v>0</v>
      </c>
    </row>
    <row r="257" spans="1:38" hidden="1" outlineLevel="1" x14ac:dyDescent="0.45">
      <c r="A257" s="27">
        <v>46251</v>
      </c>
      <c r="B257" s="28">
        <f t="shared" si="131"/>
        <v>1</v>
      </c>
      <c r="C257" s="14">
        <v>0</v>
      </c>
      <c r="D257" s="15">
        <v>0</v>
      </c>
      <c r="E257" s="16">
        <f t="shared" si="129"/>
        <v>13333.36</v>
      </c>
      <c r="F257" s="2"/>
      <c r="G257" s="33">
        <f t="shared" si="138"/>
        <v>8.0399999999999991</v>
      </c>
      <c r="H257" s="34">
        <v>0</v>
      </c>
      <c r="I257" s="16">
        <f t="shared" si="132"/>
        <v>64.320000000000022</v>
      </c>
      <c r="K257" s="14">
        <v>0</v>
      </c>
      <c r="L257" s="15">
        <v>0</v>
      </c>
      <c r="M257" s="16">
        <f t="shared" si="130"/>
        <v>0</v>
      </c>
      <c r="O257" s="33">
        <f t="shared" si="133"/>
        <v>0</v>
      </c>
      <c r="P257" s="34">
        <v>0</v>
      </c>
      <c r="Q257" s="16">
        <f t="shared" si="134"/>
        <v>0</v>
      </c>
      <c r="S257" s="33">
        <v>0</v>
      </c>
      <c r="T257" s="34">
        <v>0</v>
      </c>
      <c r="U257" s="16">
        <f t="shared" si="135"/>
        <v>0</v>
      </c>
      <c r="W257" s="14">
        <f t="shared" si="139"/>
        <v>0</v>
      </c>
      <c r="X257" s="15">
        <v>0</v>
      </c>
      <c r="Y257" s="16">
        <f t="shared" si="136"/>
        <v>0</v>
      </c>
      <c r="Z257" s="70"/>
      <c r="AA257" s="14">
        <f t="shared" si="122"/>
        <v>1.64</v>
      </c>
      <c r="AB257" s="15">
        <v>0</v>
      </c>
      <c r="AC257" s="16">
        <f t="shared" si="123"/>
        <v>13.120000000000001</v>
      </c>
      <c r="AD257" s="70"/>
      <c r="AF257" s="19">
        <v>56</v>
      </c>
      <c r="AG257" s="30">
        <f t="shared" si="124"/>
        <v>46251</v>
      </c>
      <c r="AH257" s="31">
        <f t="shared" si="125"/>
        <v>13333.36</v>
      </c>
      <c r="AI257" s="31">
        <f t="shared" si="126"/>
        <v>0</v>
      </c>
      <c r="AJ257" s="34">
        <f t="shared" si="127"/>
        <v>0</v>
      </c>
      <c r="AK257" s="31">
        <f t="shared" si="128"/>
        <v>0</v>
      </c>
      <c r="AL257" s="32">
        <f t="shared" si="137"/>
        <v>0</v>
      </c>
    </row>
    <row r="258" spans="1:38" hidden="1" outlineLevel="1" x14ac:dyDescent="0.45">
      <c r="A258" s="27">
        <v>46252</v>
      </c>
      <c r="B258" s="28">
        <f t="shared" si="131"/>
        <v>1</v>
      </c>
      <c r="C258" s="14">
        <v>0</v>
      </c>
      <c r="D258" s="15">
        <v>0</v>
      </c>
      <c r="E258" s="16">
        <f t="shared" si="129"/>
        <v>13333.36</v>
      </c>
      <c r="F258" s="2"/>
      <c r="G258" s="33">
        <f t="shared" si="138"/>
        <v>8.0399999999999991</v>
      </c>
      <c r="H258" s="34">
        <v>0</v>
      </c>
      <c r="I258" s="16">
        <f t="shared" si="132"/>
        <v>72.360000000000014</v>
      </c>
      <c r="K258" s="14">
        <v>0</v>
      </c>
      <c r="L258" s="15">
        <v>0</v>
      </c>
      <c r="M258" s="16">
        <f t="shared" si="130"/>
        <v>0</v>
      </c>
      <c r="O258" s="33">
        <f t="shared" si="133"/>
        <v>0</v>
      </c>
      <c r="P258" s="34">
        <v>0</v>
      </c>
      <c r="Q258" s="16">
        <f t="shared" si="134"/>
        <v>0</v>
      </c>
      <c r="S258" s="33">
        <v>0</v>
      </c>
      <c r="T258" s="34">
        <v>0</v>
      </c>
      <c r="U258" s="16">
        <f t="shared" si="135"/>
        <v>0</v>
      </c>
      <c r="W258" s="14">
        <f t="shared" si="139"/>
        <v>0</v>
      </c>
      <c r="X258" s="15">
        <v>0</v>
      </c>
      <c r="Y258" s="16">
        <f t="shared" si="136"/>
        <v>0</v>
      </c>
      <c r="Z258" s="70"/>
      <c r="AA258" s="14">
        <f t="shared" si="122"/>
        <v>1.64</v>
      </c>
      <c r="AB258" s="15">
        <v>0</v>
      </c>
      <c r="AC258" s="16">
        <f t="shared" si="123"/>
        <v>14.760000000000002</v>
      </c>
      <c r="AD258" s="70"/>
      <c r="AF258" s="19">
        <v>57</v>
      </c>
      <c r="AG258" s="30">
        <f t="shared" si="124"/>
        <v>46252</v>
      </c>
      <c r="AH258" s="31">
        <f t="shared" si="125"/>
        <v>13333.36</v>
      </c>
      <c r="AI258" s="31">
        <f t="shared" si="126"/>
        <v>0</v>
      </c>
      <c r="AJ258" s="34">
        <f t="shared" si="127"/>
        <v>0</v>
      </c>
      <c r="AK258" s="31">
        <f t="shared" si="128"/>
        <v>0</v>
      </c>
      <c r="AL258" s="32">
        <f t="shared" si="137"/>
        <v>0</v>
      </c>
    </row>
    <row r="259" spans="1:38" hidden="1" outlineLevel="1" x14ac:dyDescent="0.45">
      <c r="A259" s="27">
        <v>46253</v>
      </c>
      <c r="B259" s="28">
        <f t="shared" si="131"/>
        <v>1</v>
      </c>
      <c r="C259" s="14">
        <v>0</v>
      </c>
      <c r="D259" s="15">
        <v>0</v>
      </c>
      <c r="E259" s="16">
        <f t="shared" si="129"/>
        <v>13333.36</v>
      </c>
      <c r="F259" s="2"/>
      <c r="G259" s="33">
        <f t="shared" si="138"/>
        <v>8.0399999999999991</v>
      </c>
      <c r="H259" s="34">
        <v>0</v>
      </c>
      <c r="I259" s="16">
        <f t="shared" si="132"/>
        <v>80.400000000000006</v>
      </c>
      <c r="K259" s="14">
        <v>0</v>
      </c>
      <c r="L259" s="15">
        <v>0</v>
      </c>
      <c r="M259" s="16">
        <f t="shared" si="130"/>
        <v>0</v>
      </c>
      <c r="O259" s="33">
        <f t="shared" si="133"/>
        <v>0</v>
      </c>
      <c r="P259" s="34">
        <v>0</v>
      </c>
      <c r="Q259" s="16">
        <f t="shared" si="134"/>
        <v>0</v>
      </c>
      <c r="S259" s="33">
        <v>0</v>
      </c>
      <c r="T259" s="34">
        <v>0</v>
      </c>
      <c r="U259" s="16">
        <f t="shared" si="135"/>
        <v>0</v>
      </c>
      <c r="W259" s="14">
        <f t="shared" si="139"/>
        <v>0</v>
      </c>
      <c r="X259" s="15">
        <v>0</v>
      </c>
      <c r="Y259" s="16">
        <f t="shared" si="136"/>
        <v>0</v>
      </c>
      <c r="Z259" s="70"/>
      <c r="AA259" s="14">
        <f t="shared" si="122"/>
        <v>1.64</v>
      </c>
      <c r="AB259" s="15">
        <v>0</v>
      </c>
      <c r="AC259" s="16">
        <f t="shared" si="123"/>
        <v>16.400000000000002</v>
      </c>
      <c r="AD259" s="70"/>
      <c r="AF259" s="19">
        <v>58</v>
      </c>
      <c r="AG259" s="30">
        <f t="shared" si="124"/>
        <v>46253</v>
      </c>
      <c r="AH259" s="31">
        <f t="shared" si="125"/>
        <v>13333.36</v>
      </c>
      <c r="AI259" s="31">
        <f t="shared" si="126"/>
        <v>0</v>
      </c>
      <c r="AJ259" s="34">
        <f t="shared" si="127"/>
        <v>0</v>
      </c>
      <c r="AK259" s="31">
        <f t="shared" si="128"/>
        <v>0</v>
      </c>
      <c r="AL259" s="32">
        <f t="shared" si="137"/>
        <v>0</v>
      </c>
    </row>
    <row r="260" spans="1:38" hidden="1" outlineLevel="1" x14ac:dyDescent="0.45">
      <c r="A260" s="27">
        <v>46254</v>
      </c>
      <c r="B260" s="28">
        <f t="shared" si="131"/>
        <v>1</v>
      </c>
      <c r="C260" s="14">
        <v>0</v>
      </c>
      <c r="D260" s="15">
        <v>0</v>
      </c>
      <c r="E260" s="16">
        <f t="shared" si="129"/>
        <v>13333.36</v>
      </c>
      <c r="F260" s="2"/>
      <c r="G260" s="33">
        <f t="shared" si="138"/>
        <v>8.0399999999999991</v>
      </c>
      <c r="H260" s="34">
        <v>0</v>
      </c>
      <c r="I260" s="16">
        <f t="shared" si="132"/>
        <v>88.44</v>
      </c>
      <c r="K260" s="14">
        <v>0</v>
      </c>
      <c r="L260" s="15">
        <v>0</v>
      </c>
      <c r="M260" s="16">
        <f t="shared" si="130"/>
        <v>0</v>
      </c>
      <c r="O260" s="33">
        <f t="shared" si="133"/>
        <v>0</v>
      </c>
      <c r="P260" s="34">
        <v>0</v>
      </c>
      <c r="Q260" s="16">
        <f t="shared" si="134"/>
        <v>0</v>
      </c>
      <c r="S260" s="33">
        <v>0</v>
      </c>
      <c r="T260" s="34">
        <v>0</v>
      </c>
      <c r="U260" s="16">
        <f t="shared" si="135"/>
        <v>0</v>
      </c>
      <c r="W260" s="14">
        <f t="shared" si="139"/>
        <v>0</v>
      </c>
      <c r="X260" s="15">
        <v>0</v>
      </c>
      <c r="Y260" s="16">
        <f t="shared" si="136"/>
        <v>0</v>
      </c>
      <c r="Z260" s="70"/>
      <c r="AA260" s="14">
        <f t="shared" si="122"/>
        <v>1.64</v>
      </c>
      <c r="AB260" s="15">
        <v>0</v>
      </c>
      <c r="AC260" s="16">
        <f t="shared" si="123"/>
        <v>18.040000000000003</v>
      </c>
      <c r="AD260" s="70"/>
      <c r="AF260" s="19">
        <v>59</v>
      </c>
      <c r="AG260" s="30">
        <f t="shared" si="124"/>
        <v>46254</v>
      </c>
      <c r="AH260" s="31">
        <f t="shared" si="125"/>
        <v>13333.36</v>
      </c>
      <c r="AI260" s="31">
        <f t="shared" si="126"/>
        <v>0</v>
      </c>
      <c r="AJ260" s="34">
        <f t="shared" si="127"/>
        <v>0</v>
      </c>
      <c r="AK260" s="31">
        <f t="shared" si="128"/>
        <v>0</v>
      </c>
      <c r="AL260" s="32">
        <f t="shared" si="137"/>
        <v>0</v>
      </c>
    </row>
    <row r="261" spans="1:38" hidden="1" outlineLevel="1" x14ac:dyDescent="0.45">
      <c r="A261" s="27">
        <v>46255</v>
      </c>
      <c r="B261" s="28">
        <f t="shared" si="131"/>
        <v>1</v>
      </c>
      <c r="C261" s="14">
        <v>0</v>
      </c>
      <c r="D261" s="15">
        <v>0</v>
      </c>
      <c r="E261" s="16">
        <f t="shared" si="129"/>
        <v>13333.36</v>
      </c>
      <c r="F261" s="2"/>
      <c r="G261" s="33">
        <f t="shared" si="138"/>
        <v>8.0399999999999991</v>
      </c>
      <c r="H261" s="34">
        <v>0</v>
      </c>
      <c r="I261" s="16">
        <f t="shared" si="132"/>
        <v>96.47999999999999</v>
      </c>
      <c r="K261" s="14">
        <v>0</v>
      </c>
      <c r="L261" s="15">
        <v>0</v>
      </c>
      <c r="M261" s="16">
        <f t="shared" si="130"/>
        <v>0</v>
      </c>
      <c r="O261" s="33">
        <f t="shared" si="133"/>
        <v>0</v>
      </c>
      <c r="P261" s="34">
        <v>0</v>
      </c>
      <c r="Q261" s="16">
        <f t="shared" si="134"/>
        <v>0</v>
      </c>
      <c r="S261" s="33">
        <v>0</v>
      </c>
      <c r="T261" s="34">
        <v>0</v>
      </c>
      <c r="U261" s="16">
        <f t="shared" si="135"/>
        <v>0</v>
      </c>
      <c r="W261" s="14">
        <f t="shared" si="139"/>
        <v>0</v>
      </c>
      <c r="X261" s="15">
        <v>0</v>
      </c>
      <c r="Y261" s="16">
        <f t="shared" si="136"/>
        <v>0</v>
      </c>
      <c r="Z261" s="70"/>
      <c r="AA261" s="14">
        <f t="shared" si="122"/>
        <v>1.64</v>
      </c>
      <c r="AB261" s="15">
        <v>0</v>
      </c>
      <c r="AC261" s="16">
        <f t="shared" si="123"/>
        <v>19.680000000000003</v>
      </c>
      <c r="AD261" s="70"/>
      <c r="AF261" s="19">
        <v>60</v>
      </c>
      <c r="AG261" s="30">
        <f t="shared" si="124"/>
        <v>46255</v>
      </c>
      <c r="AH261" s="31">
        <f t="shared" si="125"/>
        <v>13333.36</v>
      </c>
      <c r="AI261" s="31">
        <f t="shared" si="126"/>
        <v>0</v>
      </c>
      <c r="AJ261" s="34">
        <f t="shared" si="127"/>
        <v>0</v>
      </c>
      <c r="AK261" s="31">
        <f t="shared" si="128"/>
        <v>0</v>
      </c>
      <c r="AL261" s="32">
        <f t="shared" si="137"/>
        <v>0</v>
      </c>
    </row>
    <row r="262" spans="1:38" hidden="1" outlineLevel="1" x14ac:dyDescent="0.45">
      <c r="A262" s="27">
        <v>46256</v>
      </c>
      <c r="B262" s="28">
        <f t="shared" si="131"/>
        <v>1</v>
      </c>
      <c r="C262" s="14">
        <v>0</v>
      </c>
      <c r="D262" s="15">
        <v>0</v>
      </c>
      <c r="E262" s="16">
        <f t="shared" si="129"/>
        <v>13333.36</v>
      </c>
      <c r="F262" s="2"/>
      <c r="G262" s="33">
        <f t="shared" si="138"/>
        <v>8.0399999999999991</v>
      </c>
      <c r="H262" s="34">
        <v>0</v>
      </c>
      <c r="I262" s="16">
        <f t="shared" si="132"/>
        <v>104.51999999999998</v>
      </c>
      <c r="K262" s="14">
        <v>0</v>
      </c>
      <c r="L262" s="15">
        <v>0</v>
      </c>
      <c r="M262" s="16">
        <f t="shared" si="130"/>
        <v>0</v>
      </c>
      <c r="O262" s="33">
        <f t="shared" si="133"/>
        <v>0</v>
      </c>
      <c r="P262" s="34">
        <v>0</v>
      </c>
      <c r="Q262" s="16">
        <f t="shared" si="134"/>
        <v>0</v>
      </c>
      <c r="S262" s="33">
        <v>0</v>
      </c>
      <c r="T262" s="34">
        <v>0</v>
      </c>
      <c r="U262" s="16">
        <f t="shared" si="135"/>
        <v>0</v>
      </c>
      <c r="W262" s="14">
        <f t="shared" si="139"/>
        <v>0</v>
      </c>
      <c r="X262" s="15">
        <v>0</v>
      </c>
      <c r="Y262" s="16">
        <f t="shared" si="136"/>
        <v>0</v>
      </c>
      <c r="Z262" s="70"/>
      <c r="AA262" s="14">
        <f t="shared" si="122"/>
        <v>1.64</v>
      </c>
      <c r="AB262" s="15">
        <v>0</v>
      </c>
      <c r="AC262" s="16">
        <f t="shared" si="123"/>
        <v>21.320000000000004</v>
      </c>
      <c r="AD262" s="70"/>
      <c r="AF262" s="19">
        <v>61</v>
      </c>
      <c r="AG262" s="30">
        <f t="shared" si="124"/>
        <v>46256</v>
      </c>
      <c r="AH262" s="31">
        <f t="shared" si="125"/>
        <v>13333.36</v>
      </c>
      <c r="AI262" s="31">
        <f t="shared" si="126"/>
        <v>0</v>
      </c>
      <c r="AJ262" s="34">
        <f t="shared" si="127"/>
        <v>0</v>
      </c>
      <c r="AK262" s="31">
        <f t="shared" si="128"/>
        <v>0</v>
      </c>
      <c r="AL262" s="32">
        <f t="shared" si="137"/>
        <v>0</v>
      </c>
    </row>
    <row r="263" spans="1:38" hidden="1" outlineLevel="1" x14ac:dyDescent="0.45">
      <c r="A263" s="27">
        <v>46257</v>
      </c>
      <c r="B263" s="28">
        <f t="shared" si="131"/>
        <v>1</v>
      </c>
      <c r="C263" s="14">
        <v>0</v>
      </c>
      <c r="D263" s="15">
        <v>0</v>
      </c>
      <c r="E263" s="16">
        <f t="shared" si="129"/>
        <v>13333.36</v>
      </c>
      <c r="F263" s="2"/>
      <c r="G263" s="33">
        <f t="shared" si="138"/>
        <v>8.0399999999999991</v>
      </c>
      <c r="H263" s="34">
        <v>0</v>
      </c>
      <c r="I263" s="16">
        <f t="shared" si="132"/>
        <v>112.55999999999997</v>
      </c>
      <c r="K263" s="14">
        <v>0</v>
      </c>
      <c r="L263" s="15">
        <v>0</v>
      </c>
      <c r="M263" s="16">
        <f t="shared" si="130"/>
        <v>0</v>
      </c>
      <c r="O263" s="33">
        <f t="shared" si="133"/>
        <v>0</v>
      </c>
      <c r="P263" s="34">
        <v>0</v>
      </c>
      <c r="Q263" s="16">
        <f t="shared" si="134"/>
        <v>0</v>
      </c>
      <c r="S263" s="33">
        <v>0</v>
      </c>
      <c r="T263" s="34">
        <v>0</v>
      </c>
      <c r="U263" s="16">
        <f t="shared" si="135"/>
        <v>0</v>
      </c>
      <c r="W263" s="14">
        <f t="shared" si="139"/>
        <v>0</v>
      </c>
      <c r="X263" s="15">
        <v>0</v>
      </c>
      <c r="Y263" s="16">
        <f t="shared" si="136"/>
        <v>0</v>
      </c>
      <c r="Z263" s="70"/>
      <c r="AA263" s="14">
        <f t="shared" si="122"/>
        <v>1.64</v>
      </c>
      <c r="AB263" s="15">
        <v>0</v>
      </c>
      <c r="AC263" s="16">
        <f t="shared" si="123"/>
        <v>22.960000000000004</v>
      </c>
      <c r="AD263" s="70"/>
      <c r="AF263" s="19">
        <v>62</v>
      </c>
      <c r="AG263" s="30">
        <f t="shared" si="124"/>
        <v>46257</v>
      </c>
      <c r="AH263" s="31">
        <f t="shared" si="125"/>
        <v>13333.36</v>
      </c>
      <c r="AI263" s="31">
        <f t="shared" si="126"/>
        <v>0</v>
      </c>
      <c r="AJ263" s="34">
        <f t="shared" si="127"/>
        <v>0</v>
      </c>
      <c r="AK263" s="31">
        <f t="shared" si="128"/>
        <v>0</v>
      </c>
      <c r="AL263" s="32">
        <f t="shared" si="137"/>
        <v>0</v>
      </c>
    </row>
    <row r="264" spans="1:38" hidden="1" outlineLevel="1" x14ac:dyDescent="0.45">
      <c r="A264" s="27">
        <v>46258</v>
      </c>
      <c r="B264" s="28">
        <f t="shared" si="131"/>
        <v>1</v>
      </c>
      <c r="C264" s="14">
        <v>0</v>
      </c>
      <c r="D264" s="15">
        <v>0</v>
      </c>
      <c r="E264" s="16">
        <f t="shared" si="129"/>
        <v>13333.36</v>
      </c>
      <c r="F264" s="2"/>
      <c r="G264" s="33">
        <f t="shared" si="138"/>
        <v>8.0399999999999991</v>
      </c>
      <c r="H264" s="34">
        <v>0</v>
      </c>
      <c r="I264" s="16">
        <f t="shared" si="132"/>
        <v>120.59999999999997</v>
      </c>
      <c r="K264" s="14">
        <v>0</v>
      </c>
      <c r="L264" s="15">
        <v>0</v>
      </c>
      <c r="M264" s="16">
        <f t="shared" si="130"/>
        <v>0</v>
      </c>
      <c r="O264" s="33">
        <f t="shared" si="133"/>
        <v>0</v>
      </c>
      <c r="P264" s="34">
        <v>0</v>
      </c>
      <c r="Q264" s="16">
        <f t="shared" si="134"/>
        <v>0</v>
      </c>
      <c r="S264" s="33">
        <v>0</v>
      </c>
      <c r="T264" s="34">
        <v>0</v>
      </c>
      <c r="U264" s="16">
        <f t="shared" si="135"/>
        <v>0</v>
      </c>
      <c r="W264" s="14">
        <f t="shared" si="139"/>
        <v>0</v>
      </c>
      <c r="X264" s="15">
        <v>0</v>
      </c>
      <c r="Y264" s="16">
        <f t="shared" si="136"/>
        <v>0</v>
      </c>
      <c r="Z264" s="70"/>
      <c r="AA264" s="14">
        <f t="shared" ref="AA264:AA327" si="140">ROUND($C$5*$AA$5/365*B264,2)</f>
        <v>1.64</v>
      </c>
      <c r="AB264" s="15">
        <v>0</v>
      </c>
      <c r="AC264" s="16">
        <f t="shared" ref="AC264:AC327" si="141">AC263+AA264-AB264</f>
        <v>24.600000000000005</v>
      </c>
      <c r="AD264" s="70"/>
      <c r="AF264" s="19">
        <v>63</v>
      </c>
      <c r="AG264" s="30">
        <f t="shared" ref="AG264:AG327" si="142">A264</f>
        <v>46258</v>
      </c>
      <c r="AH264" s="31">
        <f t="shared" ref="AH264:AH327" si="143">E264</f>
        <v>13333.36</v>
      </c>
      <c r="AI264" s="31">
        <f t="shared" ref="AI264:AI327" si="144">D264</f>
        <v>0</v>
      </c>
      <c r="AJ264" s="34">
        <f t="shared" ref="AJ264:AJ327" si="145">H264</f>
        <v>0</v>
      </c>
      <c r="AK264" s="31">
        <f t="shared" ref="AK264:AK327" si="146">AB264</f>
        <v>0</v>
      </c>
      <c r="AL264" s="32">
        <f t="shared" si="137"/>
        <v>0</v>
      </c>
    </row>
    <row r="265" spans="1:38" hidden="1" outlineLevel="1" x14ac:dyDescent="0.45">
      <c r="A265" s="27">
        <v>46259</v>
      </c>
      <c r="B265" s="28">
        <f t="shared" si="131"/>
        <v>1</v>
      </c>
      <c r="C265" s="14">
        <v>0</v>
      </c>
      <c r="D265" s="15">
        <v>0</v>
      </c>
      <c r="E265" s="16">
        <f t="shared" ref="E265:E328" si="147">ROUND(E264+C265-D265,2)</f>
        <v>13333.36</v>
      </c>
      <c r="F265" s="2"/>
      <c r="G265" s="33">
        <f t="shared" si="138"/>
        <v>8.0399999999999991</v>
      </c>
      <c r="H265" s="34">
        <v>0</v>
      </c>
      <c r="I265" s="16">
        <f t="shared" si="132"/>
        <v>128.63999999999996</v>
      </c>
      <c r="K265" s="14">
        <v>0</v>
      </c>
      <c r="L265" s="15">
        <v>0</v>
      </c>
      <c r="M265" s="16">
        <f t="shared" ref="M265:M328" si="148">ROUND(M264+K265-L265,2)</f>
        <v>0</v>
      </c>
      <c r="O265" s="33">
        <f t="shared" si="133"/>
        <v>0</v>
      </c>
      <c r="P265" s="34">
        <v>0</v>
      </c>
      <c r="Q265" s="16">
        <f t="shared" si="134"/>
        <v>0</v>
      </c>
      <c r="S265" s="33">
        <v>0</v>
      </c>
      <c r="T265" s="34">
        <v>0</v>
      </c>
      <c r="U265" s="16">
        <f t="shared" si="135"/>
        <v>0</v>
      </c>
      <c r="W265" s="14">
        <f t="shared" si="139"/>
        <v>0</v>
      </c>
      <c r="X265" s="15">
        <v>0</v>
      </c>
      <c r="Y265" s="16">
        <f t="shared" si="136"/>
        <v>0</v>
      </c>
      <c r="Z265" s="70"/>
      <c r="AA265" s="14">
        <f t="shared" si="140"/>
        <v>1.64</v>
      </c>
      <c r="AB265" s="15">
        <v>0</v>
      </c>
      <c r="AC265" s="16">
        <f t="shared" si="141"/>
        <v>26.240000000000006</v>
      </c>
      <c r="AD265" s="70"/>
      <c r="AF265" s="19">
        <v>64</v>
      </c>
      <c r="AG265" s="30">
        <f t="shared" si="142"/>
        <v>46259</v>
      </c>
      <c r="AH265" s="31">
        <f t="shared" si="143"/>
        <v>13333.36</v>
      </c>
      <c r="AI265" s="31">
        <f t="shared" si="144"/>
        <v>0</v>
      </c>
      <c r="AJ265" s="34">
        <f t="shared" si="145"/>
        <v>0</v>
      </c>
      <c r="AK265" s="31">
        <f t="shared" si="146"/>
        <v>0</v>
      </c>
      <c r="AL265" s="32">
        <f t="shared" si="137"/>
        <v>0</v>
      </c>
    </row>
    <row r="266" spans="1:38" hidden="1" outlineLevel="1" x14ac:dyDescent="0.45">
      <c r="A266" s="27">
        <v>46260</v>
      </c>
      <c r="B266" s="28">
        <f t="shared" ref="B266:B329" si="149">A266-A265</f>
        <v>1</v>
      </c>
      <c r="C266" s="14">
        <v>0</v>
      </c>
      <c r="D266" s="15">
        <v>0</v>
      </c>
      <c r="E266" s="16">
        <f t="shared" si="147"/>
        <v>13333.36</v>
      </c>
      <c r="F266" s="2"/>
      <c r="G266" s="33">
        <f t="shared" si="138"/>
        <v>8.0399999999999991</v>
      </c>
      <c r="H266" s="34">
        <v>0</v>
      </c>
      <c r="I266" s="16">
        <f t="shared" ref="I266:I329" si="150">I265+G266-H266</f>
        <v>136.67999999999995</v>
      </c>
      <c r="K266" s="14">
        <v>0</v>
      </c>
      <c r="L266" s="15">
        <v>0</v>
      </c>
      <c r="M266" s="16">
        <f t="shared" si="148"/>
        <v>0</v>
      </c>
      <c r="O266" s="33">
        <f t="shared" ref="O266:O329" si="151">ROUND(M266*$O$5/$D$5*B266,2)</f>
        <v>0</v>
      </c>
      <c r="P266" s="34">
        <v>0</v>
      </c>
      <c r="Q266" s="16">
        <f t="shared" ref="Q266:Q329" si="152">Q265+O266-P266</f>
        <v>0</v>
      </c>
      <c r="S266" s="33">
        <v>0</v>
      </c>
      <c r="T266" s="34">
        <v>0</v>
      </c>
      <c r="U266" s="16">
        <f t="shared" ref="U266:U329" si="153">U265+S266-T266</f>
        <v>0</v>
      </c>
      <c r="W266" s="14">
        <f t="shared" si="139"/>
        <v>0</v>
      </c>
      <c r="X266" s="15">
        <v>0</v>
      </c>
      <c r="Y266" s="16">
        <f t="shared" ref="Y266:Y329" si="154">Y265+W266-X266</f>
        <v>0</v>
      </c>
      <c r="Z266" s="70"/>
      <c r="AA266" s="14">
        <f t="shared" si="140"/>
        <v>1.64</v>
      </c>
      <c r="AB266" s="15">
        <v>0</v>
      </c>
      <c r="AC266" s="16">
        <f t="shared" si="141"/>
        <v>27.880000000000006</v>
      </c>
      <c r="AD266" s="70"/>
      <c r="AF266" s="19">
        <v>65</v>
      </c>
      <c r="AG266" s="30">
        <f t="shared" si="142"/>
        <v>46260</v>
      </c>
      <c r="AH266" s="31">
        <f t="shared" si="143"/>
        <v>13333.36</v>
      </c>
      <c r="AI266" s="31">
        <f t="shared" si="144"/>
        <v>0</v>
      </c>
      <c r="AJ266" s="34">
        <f t="shared" si="145"/>
        <v>0</v>
      </c>
      <c r="AK266" s="31">
        <f t="shared" si="146"/>
        <v>0</v>
      </c>
      <c r="AL266" s="32">
        <f t="shared" ref="AL266:AL329" si="155">AI266+AJ266+AK266</f>
        <v>0</v>
      </c>
    </row>
    <row r="267" spans="1:38" hidden="1" outlineLevel="1" x14ac:dyDescent="0.45">
      <c r="A267" s="27">
        <v>46261</v>
      </c>
      <c r="B267" s="28">
        <f t="shared" si="149"/>
        <v>1</v>
      </c>
      <c r="C267" s="14">
        <v>0</v>
      </c>
      <c r="D267" s="15">
        <v>0</v>
      </c>
      <c r="E267" s="16">
        <f t="shared" si="147"/>
        <v>13333.36</v>
      </c>
      <c r="F267" s="2"/>
      <c r="G267" s="33">
        <f t="shared" si="138"/>
        <v>8.0399999999999991</v>
      </c>
      <c r="H267" s="34">
        <v>0</v>
      </c>
      <c r="I267" s="16">
        <f t="shared" si="150"/>
        <v>144.71999999999994</v>
      </c>
      <c r="K267" s="14">
        <v>0</v>
      </c>
      <c r="L267" s="15">
        <v>0</v>
      </c>
      <c r="M267" s="16">
        <f t="shared" si="148"/>
        <v>0</v>
      </c>
      <c r="O267" s="33">
        <f t="shared" si="151"/>
        <v>0</v>
      </c>
      <c r="P267" s="34">
        <v>0</v>
      </c>
      <c r="Q267" s="16">
        <f t="shared" si="152"/>
        <v>0</v>
      </c>
      <c r="S267" s="33">
        <v>0</v>
      </c>
      <c r="T267" s="34">
        <v>0</v>
      </c>
      <c r="U267" s="16">
        <f t="shared" si="153"/>
        <v>0</v>
      </c>
      <c r="W267" s="14">
        <f t="shared" si="139"/>
        <v>0</v>
      </c>
      <c r="X267" s="15">
        <v>0</v>
      </c>
      <c r="Y267" s="16">
        <f t="shared" si="154"/>
        <v>0</v>
      </c>
      <c r="Z267" s="70"/>
      <c r="AA267" s="14">
        <f t="shared" si="140"/>
        <v>1.64</v>
      </c>
      <c r="AB267" s="15">
        <v>0</v>
      </c>
      <c r="AC267" s="16">
        <f t="shared" si="141"/>
        <v>29.520000000000007</v>
      </c>
      <c r="AD267" s="70"/>
      <c r="AF267" s="19">
        <v>66</v>
      </c>
      <c r="AG267" s="30">
        <f t="shared" si="142"/>
        <v>46261</v>
      </c>
      <c r="AH267" s="31">
        <f t="shared" si="143"/>
        <v>13333.36</v>
      </c>
      <c r="AI267" s="31">
        <f t="shared" si="144"/>
        <v>0</v>
      </c>
      <c r="AJ267" s="34">
        <f t="shared" si="145"/>
        <v>0</v>
      </c>
      <c r="AK267" s="31">
        <f t="shared" si="146"/>
        <v>0</v>
      </c>
      <c r="AL267" s="32">
        <f t="shared" si="155"/>
        <v>0</v>
      </c>
    </row>
    <row r="268" spans="1:38" hidden="1" outlineLevel="1" x14ac:dyDescent="0.45">
      <c r="A268" s="27">
        <v>46262</v>
      </c>
      <c r="B268" s="28">
        <f t="shared" si="149"/>
        <v>1</v>
      </c>
      <c r="C268" s="14">
        <v>0</v>
      </c>
      <c r="D268" s="15">
        <v>0</v>
      </c>
      <c r="E268" s="16">
        <f t="shared" si="147"/>
        <v>13333.36</v>
      </c>
      <c r="F268" s="2"/>
      <c r="G268" s="33">
        <f t="shared" ref="G268:G331" si="156">ROUND(E268*$G$5/$D$5*B268,2)</f>
        <v>8.0399999999999991</v>
      </c>
      <c r="H268" s="34">
        <v>0</v>
      </c>
      <c r="I268" s="16">
        <f t="shared" si="150"/>
        <v>152.75999999999993</v>
      </c>
      <c r="K268" s="14">
        <v>0</v>
      </c>
      <c r="L268" s="15">
        <v>0</v>
      </c>
      <c r="M268" s="16">
        <f t="shared" si="148"/>
        <v>0</v>
      </c>
      <c r="O268" s="33">
        <f t="shared" si="151"/>
        <v>0</v>
      </c>
      <c r="P268" s="34">
        <v>0</v>
      </c>
      <c r="Q268" s="16">
        <f t="shared" si="152"/>
        <v>0</v>
      </c>
      <c r="S268" s="33">
        <v>0</v>
      </c>
      <c r="T268" s="34">
        <v>0</v>
      </c>
      <c r="U268" s="16">
        <f t="shared" si="153"/>
        <v>0</v>
      </c>
      <c r="W268" s="14">
        <f t="shared" si="139"/>
        <v>0</v>
      </c>
      <c r="X268" s="15">
        <v>0</v>
      </c>
      <c r="Y268" s="16">
        <f t="shared" si="154"/>
        <v>0</v>
      </c>
      <c r="Z268" s="70"/>
      <c r="AA268" s="14">
        <f t="shared" si="140"/>
        <v>1.64</v>
      </c>
      <c r="AB268" s="15">
        <v>0</v>
      </c>
      <c r="AC268" s="16">
        <f t="shared" si="141"/>
        <v>31.160000000000007</v>
      </c>
      <c r="AD268" s="70"/>
      <c r="AF268" s="19">
        <v>67</v>
      </c>
      <c r="AG268" s="30">
        <f t="shared" si="142"/>
        <v>46262</v>
      </c>
      <c r="AH268" s="31">
        <f t="shared" si="143"/>
        <v>13333.36</v>
      </c>
      <c r="AI268" s="31">
        <f t="shared" si="144"/>
        <v>0</v>
      </c>
      <c r="AJ268" s="34">
        <f t="shared" si="145"/>
        <v>0</v>
      </c>
      <c r="AK268" s="31">
        <f t="shared" si="146"/>
        <v>0</v>
      </c>
      <c r="AL268" s="32">
        <f t="shared" si="155"/>
        <v>0</v>
      </c>
    </row>
    <row r="269" spans="1:38" hidden="1" outlineLevel="1" x14ac:dyDescent="0.45">
      <c r="A269" s="27">
        <v>46263</v>
      </c>
      <c r="B269" s="28">
        <f t="shared" si="149"/>
        <v>1</v>
      </c>
      <c r="C269" s="14">
        <v>0</v>
      </c>
      <c r="D269" s="15">
        <v>0</v>
      </c>
      <c r="E269" s="16">
        <f t="shared" si="147"/>
        <v>13333.36</v>
      </c>
      <c r="F269" s="2"/>
      <c r="G269" s="33">
        <f t="shared" si="156"/>
        <v>8.0399999999999991</v>
      </c>
      <c r="H269" s="34">
        <v>0</v>
      </c>
      <c r="I269" s="16">
        <f t="shared" si="150"/>
        <v>160.79999999999993</v>
      </c>
      <c r="K269" s="14">
        <v>0</v>
      </c>
      <c r="L269" s="15">
        <v>0</v>
      </c>
      <c r="M269" s="16">
        <f t="shared" si="148"/>
        <v>0</v>
      </c>
      <c r="O269" s="33">
        <f t="shared" si="151"/>
        <v>0</v>
      </c>
      <c r="P269" s="34">
        <v>0</v>
      </c>
      <c r="Q269" s="16">
        <f t="shared" si="152"/>
        <v>0</v>
      </c>
      <c r="S269" s="33">
        <v>0</v>
      </c>
      <c r="T269" s="34">
        <v>0</v>
      </c>
      <c r="U269" s="16">
        <f t="shared" si="153"/>
        <v>0</v>
      </c>
      <c r="W269" s="14">
        <f t="shared" si="139"/>
        <v>0</v>
      </c>
      <c r="X269" s="15">
        <v>0</v>
      </c>
      <c r="Y269" s="16">
        <f t="shared" si="154"/>
        <v>0</v>
      </c>
      <c r="Z269" s="70"/>
      <c r="AA269" s="14">
        <f t="shared" si="140"/>
        <v>1.64</v>
      </c>
      <c r="AB269" s="15">
        <v>0</v>
      </c>
      <c r="AC269" s="16">
        <f t="shared" si="141"/>
        <v>32.800000000000004</v>
      </c>
      <c r="AD269" s="70"/>
      <c r="AF269" s="19">
        <v>68</v>
      </c>
      <c r="AG269" s="30">
        <f t="shared" si="142"/>
        <v>46263</v>
      </c>
      <c r="AH269" s="31">
        <f t="shared" si="143"/>
        <v>13333.36</v>
      </c>
      <c r="AI269" s="31">
        <f t="shared" si="144"/>
        <v>0</v>
      </c>
      <c r="AJ269" s="34">
        <f t="shared" si="145"/>
        <v>0</v>
      </c>
      <c r="AK269" s="31">
        <f t="shared" si="146"/>
        <v>0</v>
      </c>
      <c r="AL269" s="32">
        <f t="shared" si="155"/>
        <v>0</v>
      </c>
    </row>
    <row r="270" spans="1:38" hidden="1" outlineLevel="1" x14ac:dyDescent="0.45">
      <c r="A270" s="27">
        <v>46264</v>
      </c>
      <c r="B270" s="28">
        <f t="shared" si="149"/>
        <v>1</v>
      </c>
      <c r="C270" s="14">
        <v>0</v>
      </c>
      <c r="D270" s="15">
        <v>0</v>
      </c>
      <c r="E270" s="16">
        <f t="shared" si="147"/>
        <v>13333.36</v>
      </c>
      <c r="F270" s="2"/>
      <c r="G270" s="33">
        <f t="shared" si="156"/>
        <v>8.0399999999999991</v>
      </c>
      <c r="H270" s="34">
        <v>0</v>
      </c>
      <c r="I270" s="16">
        <f t="shared" si="150"/>
        <v>168.83999999999992</v>
      </c>
      <c r="K270" s="14">
        <v>0</v>
      </c>
      <c r="L270" s="15">
        <v>0</v>
      </c>
      <c r="M270" s="16">
        <f t="shared" si="148"/>
        <v>0</v>
      </c>
      <c r="O270" s="33">
        <f t="shared" si="151"/>
        <v>0</v>
      </c>
      <c r="P270" s="34">
        <v>0</v>
      </c>
      <c r="Q270" s="16">
        <f t="shared" si="152"/>
        <v>0</v>
      </c>
      <c r="S270" s="33">
        <v>0</v>
      </c>
      <c r="T270" s="34">
        <v>0</v>
      </c>
      <c r="U270" s="16">
        <f t="shared" si="153"/>
        <v>0</v>
      </c>
      <c r="W270" s="14">
        <f t="shared" si="139"/>
        <v>0</v>
      </c>
      <c r="X270" s="15">
        <v>0</v>
      </c>
      <c r="Y270" s="16">
        <f t="shared" si="154"/>
        <v>0</v>
      </c>
      <c r="Z270" s="70"/>
      <c r="AA270" s="14">
        <f t="shared" si="140"/>
        <v>1.64</v>
      </c>
      <c r="AB270" s="15">
        <v>0</v>
      </c>
      <c r="AC270" s="16">
        <f t="shared" si="141"/>
        <v>34.440000000000005</v>
      </c>
      <c r="AD270" s="70"/>
      <c r="AF270" s="19">
        <v>69</v>
      </c>
      <c r="AG270" s="30">
        <f t="shared" si="142"/>
        <v>46264</v>
      </c>
      <c r="AH270" s="31">
        <f t="shared" si="143"/>
        <v>13333.36</v>
      </c>
      <c r="AI270" s="31">
        <f t="shared" si="144"/>
        <v>0</v>
      </c>
      <c r="AJ270" s="34">
        <f t="shared" si="145"/>
        <v>0</v>
      </c>
      <c r="AK270" s="31">
        <f t="shared" si="146"/>
        <v>0</v>
      </c>
      <c r="AL270" s="32">
        <f t="shared" si="155"/>
        <v>0</v>
      </c>
    </row>
    <row r="271" spans="1:38" hidden="1" outlineLevel="1" x14ac:dyDescent="0.45">
      <c r="A271" s="27">
        <v>46265</v>
      </c>
      <c r="B271" s="28">
        <f t="shared" si="149"/>
        <v>1</v>
      </c>
      <c r="C271" s="14">
        <v>0</v>
      </c>
      <c r="D271" s="15">
        <v>0</v>
      </c>
      <c r="E271" s="16">
        <f t="shared" si="147"/>
        <v>13333.36</v>
      </c>
      <c r="F271" s="2"/>
      <c r="G271" s="33">
        <f t="shared" si="156"/>
        <v>8.0399999999999991</v>
      </c>
      <c r="H271" s="34">
        <v>0</v>
      </c>
      <c r="I271" s="16">
        <f t="shared" si="150"/>
        <v>176.87999999999991</v>
      </c>
      <c r="K271" s="14">
        <v>0</v>
      </c>
      <c r="L271" s="15">
        <v>0</v>
      </c>
      <c r="M271" s="16">
        <f t="shared" si="148"/>
        <v>0</v>
      </c>
      <c r="O271" s="33">
        <f t="shared" si="151"/>
        <v>0</v>
      </c>
      <c r="P271" s="34">
        <v>0</v>
      </c>
      <c r="Q271" s="16">
        <f t="shared" si="152"/>
        <v>0</v>
      </c>
      <c r="S271" s="33">
        <v>0</v>
      </c>
      <c r="T271" s="34">
        <v>0</v>
      </c>
      <c r="U271" s="16">
        <f t="shared" si="153"/>
        <v>0</v>
      </c>
      <c r="W271" s="14">
        <f t="shared" si="139"/>
        <v>0</v>
      </c>
      <c r="X271" s="15">
        <v>0</v>
      </c>
      <c r="Y271" s="16">
        <f t="shared" si="154"/>
        <v>0</v>
      </c>
      <c r="Z271" s="70"/>
      <c r="AA271" s="14">
        <f t="shared" si="140"/>
        <v>1.64</v>
      </c>
      <c r="AB271" s="15">
        <v>0</v>
      </c>
      <c r="AC271" s="16">
        <f t="shared" si="141"/>
        <v>36.080000000000005</v>
      </c>
      <c r="AD271" s="70"/>
      <c r="AF271" s="19">
        <v>70</v>
      </c>
      <c r="AG271" s="30">
        <f t="shared" si="142"/>
        <v>46265</v>
      </c>
      <c r="AH271" s="31">
        <f t="shared" si="143"/>
        <v>13333.36</v>
      </c>
      <c r="AI271" s="31">
        <f t="shared" si="144"/>
        <v>0</v>
      </c>
      <c r="AJ271" s="34">
        <f t="shared" si="145"/>
        <v>0</v>
      </c>
      <c r="AK271" s="31">
        <f t="shared" si="146"/>
        <v>0</v>
      </c>
      <c r="AL271" s="32">
        <f t="shared" si="155"/>
        <v>0</v>
      </c>
    </row>
    <row r="272" spans="1:38" hidden="1" outlineLevel="1" x14ac:dyDescent="0.45">
      <c r="A272" s="27">
        <v>46266</v>
      </c>
      <c r="B272" s="28">
        <f t="shared" si="149"/>
        <v>1</v>
      </c>
      <c r="C272" s="14">
        <v>0</v>
      </c>
      <c r="D272" s="15">
        <v>0</v>
      </c>
      <c r="E272" s="16">
        <f t="shared" si="147"/>
        <v>13333.36</v>
      </c>
      <c r="F272" s="2"/>
      <c r="G272" s="33">
        <f t="shared" si="156"/>
        <v>8.0399999999999991</v>
      </c>
      <c r="H272" s="34">
        <v>0</v>
      </c>
      <c r="I272" s="16">
        <f t="shared" si="150"/>
        <v>184.9199999999999</v>
      </c>
      <c r="K272" s="14">
        <v>0</v>
      </c>
      <c r="L272" s="15">
        <v>0</v>
      </c>
      <c r="M272" s="16">
        <f t="shared" si="148"/>
        <v>0</v>
      </c>
      <c r="O272" s="33">
        <f t="shared" si="151"/>
        <v>0</v>
      </c>
      <c r="P272" s="34">
        <v>0</v>
      </c>
      <c r="Q272" s="16">
        <f t="shared" si="152"/>
        <v>0</v>
      </c>
      <c r="S272" s="33">
        <v>0</v>
      </c>
      <c r="T272" s="34">
        <v>0</v>
      </c>
      <c r="U272" s="16">
        <f t="shared" si="153"/>
        <v>0</v>
      </c>
      <c r="W272" s="14">
        <f t="shared" si="139"/>
        <v>0</v>
      </c>
      <c r="X272" s="15">
        <v>0</v>
      </c>
      <c r="Y272" s="16">
        <f t="shared" si="154"/>
        <v>0</v>
      </c>
      <c r="Z272" s="70"/>
      <c r="AA272" s="14">
        <f t="shared" si="140"/>
        <v>1.64</v>
      </c>
      <c r="AB272" s="15">
        <v>0</v>
      </c>
      <c r="AC272" s="16">
        <f t="shared" si="141"/>
        <v>37.720000000000006</v>
      </c>
      <c r="AD272" s="70"/>
      <c r="AF272" s="19">
        <v>71</v>
      </c>
      <c r="AG272" s="30">
        <f t="shared" si="142"/>
        <v>46266</v>
      </c>
      <c r="AH272" s="31">
        <f t="shared" si="143"/>
        <v>13333.36</v>
      </c>
      <c r="AI272" s="31">
        <f t="shared" si="144"/>
        <v>0</v>
      </c>
      <c r="AJ272" s="34">
        <f t="shared" si="145"/>
        <v>0</v>
      </c>
      <c r="AK272" s="31">
        <f t="shared" si="146"/>
        <v>0</v>
      </c>
      <c r="AL272" s="32">
        <f t="shared" si="155"/>
        <v>0</v>
      </c>
    </row>
    <row r="273" spans="1:44" hidden="1" outlineLevel="1" x14ac:dyDescent="0.45">
      <c r="A273" s="27">
        <v>46267</v>
      </c>
      <c r="B273" s="28">
        <f t="shared" si="149"/>
        <v>1</v>
      </c>
      <c r="C273" s="14">
        <v>0</v>
      </c>
      <c r="D273" s="15">
        <v>0</v>
      </c>
      <c r="E273" s="16">
        <f t="shared" si="147"/>
        <v>13333.36</v>
      </c>
      <c r="F273" s="2"/>
      <c r="G273" s="33">
        <f t="shared" si="156"/>
        <v>8.0399999999999991</v>
      </c>
      <c r="H273" s="34">
        <v>0</v>
      </c>
      <c r="I273" s="16">
        <f t="shared" si="150"/>
        <v>192.95999999999989</v>
      </c>
      <c r="K273" s="14">
        <v>0</v>
      </c>
      <c r="L273" s="15">
        <v>0</v>
      </c>
      <c r="M273" s="16">
        <f t="shared" si="148"/>
        <v>0</v>
      </c>
      <c r="O273" s="33">
        <f t="shared" si="151"/>
        <v>0</v>
      </c>
      <c r="P273" s="34">
        <v>0</v>
      </c>
      <c r="Q273" s="16">
        <f t="shared" si="152"/>
        <v>0</v>
      </c>
      <c r="S273" s="33">
        <v>0</v>
      </c>
      <c r="T273" s="34">
        <v>0</v>
      </c>
      <c r="U273" s="16">
        <f t="shared" si="153"/>
        <v>0</v>
      </c>
      <c r="W273" s="14">
        <f t="shared" si="139"/>
        <v>0</v>
      </c>
      <c r="X273" s="15">
        <v>0</v>
      </c>
      <c r="Y273" s="16">
        <f t="shared" si="154"/>
        <v>0</v>
      </c>
      <c r="Z273" s="70"/>
      <c r="AA273" s="14">
        <f t="shared" si="140"/>
        <v>1.64</v>
      </c>
      <c r="AB273" s="15">
        <v>0</v>
      </c>
      <c r="AC273" s="16">
        <f t="shared" si="141"/>
        <v>39.360000000000007</v>
      </c>
      <c r="AD273" s="70"/>
      <c r="AF273" s="19">
        <v>72</v>
      </c>
      <c r="AG273" s="30">
        <f t="shared" si="142"/>
        <v>46267</v>
      </c>
      <c r="AH273" s="31">
        <f t="shared" si="143"/>
        <v>13333.36</v>
      </c>
      <c r="AI273" s="31">
        <f t="shared" si="144"/>
        <v>0</v>
      </c>
      <c r="AJ273" s="34">
        <f t="shared" si="145"/>
        <v>0</v>
      </c>
      <c r="AK273" s="31">
        <f t="shared" si="146"/>
        <v>0</v>
      </c>
      <c r="AL273" s="32">
        <f t="shared" si="155"/>
        <v>0</v>
      </c>
    </row>
    <row r="274" spans="1:44" hidden="1" outlineLevel="1" x14ac:dyDescent="0.45">
      <c r="A274" s="27">
        <v>46268</v>
      </c>
      <c r="B274" s="28">
        <f t="shared" si="149"/>
        <v>1</v>
      </c>
      <c r="C274" s="14">
        <v>0</v>
      </c>
      <c r="D274" s="15">
        <v>0</v>
      </c>
      <c r="E274" s="16">
        <f t="shared" si="147"/>
        <v>13333.36</v>
      </c>
      <c r="F274" s="2"/>
      <c r="G274" s="33">
        <f t="shared" si="156"/>
        <v>8.0399999999999991</v>
      </c>
      <c r="H274" s="34">
        <v>0</v>
      </c>
      <c r="I274" s="16">
        <f t="shared" si="150"/>
        <v>200.99999999999989</v>
      </c>
      <c r="K274" s="14">
        <v>0</v>
      </c>
      <c r="L274" s="15">
        <v>0</v>
      </c>
      <c r="M274" s="16">
        <f t="shared" si="148"/>
        <v>0</v>
      </c>
      <c r="O274" s="33">
        <f t="shared" si="151"/>
        <v>0</v>
      </c>
      <c r="P274" s="34">
        <v>0</v>
      </c>
      <c r="Q274" s="16">
        <f t="shared" si="152"/>
        <v>0</v>
      </c>
      <c r="S274" s="33">
        <v>0</v>
      </c>
      <c r="T274" s="34">
        <v>0</v>
      </c>
      <c r="U274" s="16">
        <f t="shared" si="153"/>
        <v>0</v>
      </c>
      <c r="W274" s="14">
        <f t="shared" si="139"/>
        <v>0</v>
      </c>
      <c r="X274" s="15">
        <v>0</v>
      </c>
      <c r="Y274" s="16">
        <f t="shared" si="154"/>
        <v>0</v>
      </c>
      <c r="Z274" s="70"/>
      <c r="AA274" s="14">
        <f t="shared" si="140"/>
        <v>1.64</v>
      </c>
      <c r="AB274" s="15">
        <v>0</v>
      </c>
      <c r="AC274" s="16">
        <f t="shared" si="141"/>
        <v>41.000000000000007</v>
      </c>
      <c r="AD274" s="70"/>
      <c r="AF274" s="19">
        <v>73</v>
      </c>
      <c r="AG274" s="30">
        <f t="shared" si="142"/>
        <v>46268</v>
      </c>
      <c r="AH274" s="31">
        <f t="shared" si="143"/>
        <v>13333.36</v>
      </c>
      <c r="AI274" s="31">
        <f t="shared" si="144"/>
        <v>0</v>
      </c>
      <c r="AJ274" s="34">
        <f t="shared" si="145"/>
        <v>0</v>
      </c>
      <c r="AK274" s="31">
        <f t="shared" si="146"/>
        <v>0</v>
      </c>
      <c r="AL274" s="32">
        <f t="shared" si="155"/>
        <v>0</v>
      </c>
    </row>
    <row r="275" spans="1:44" hidden="1" outlineLevel="1" x14ac:dyDescent="0.45">
      <c r="A275" s="27">
        <v>46269</v>
      </c>
      <c r="B275" s="28">
        <f t="shared" si="149"/>
        <v>1</v>
      </c>
      <c r="C275" s="14">
        <v>0</v>
      </c>
      <c r="D275" s="15">
        <v>0</v>
      </c>
      <c r="E275" s="16">
        <f t="shared" si="147"/>
        <v>13333.36</v>
      </c>
      <c r="F275" s="2"/>
      <c r="G275" s="33">
        <f t="shared" si="156"/>
        <v>8.0399999999999991</v>
      </c>
      <c r="H275" s="34">
        <v>0</v>
      </c>
      <c r="I275" s="16">
        <f t="shared" si="150"/>
        <v>209.03999999999988</v>
      </c>
      <c r="K275" s="14">
        <v>0</v>
      </c>
      <c r="L275" s="15">
        <v>0</v>
      </c>
      <c r="M275" s="16">
        <f t="shared" si="148"/>
        <v>0</v>
      </c>
      <c r="O275" s="33">
        <f t="shared" si="151"/>
        <v>0</v>
      </c>
      <c r="P275" s="34">
        <v>0</v>
      </c>
      <c r="Q275" s="16">
        <f t="shared" si="152"/>
        <v>0</v>
      </c>
      <c r="S275" s="33">
        <v>0</v>
      </c>
      <c r="T275" s="34">
        <v>0</v>
      </c>
      <c r="U275" s="16">
        <f t="shared" si="153"/>
        <v>0</v>
      </c>
      <c r="W275" s="14">
        <f t="shared" si="139"/>
        <v>0</v>
      </c>
      <c r="X275" s="15">
        <v>0</v>
      </c>
      <c r="Y275" s="16">
        <f t="shared" si="154"/>
        <v>0</v>
      </c>
      <c r="Z275" s="70"/>
      <c r="AA275" s="14">
        <f t="shared" si="140"/>
        <v>1.64</v>
      </c>
      <c r="AB275" s="15">
        <v>0</v>
      </c>
      <c r="AC275" s="16">
        <f t="shared" si="141"/>
        <v>42.640000000000008</v>
      </c>
      <c r="AD275" s="70"/>
      <c r="AF275" s="19">
        <v>74</v>
      </c>
      <c r="AG275" s="30">
        <f t="shared" si="142"/>
        <v>46269</v>
      </c>
      <c r="AH275" s="31">
        <f t="shared" si="143"/>
        <v>13333.36</v>
      </c>
      <c r="AI275" s="31">
        <f t="shared" si="144"/>
        <v>0</v>
      </c>
      <c r="AJ275" s="34">
        <f t="shared" si="145"/>
        <v>0</v>
      </c>
      <c r="AK275" s="31">
        <f t="shared" si="146"/>
        <v>0</v>
      </c>
      <c r="AL275" s="32">
        <f t="shared" si="155"/>
        <v>0</v>
      </c>
    </row>
    <row r="276" spans="1:44" hidden="1" outlineLevel="1" x14ac:dyDescent="0.45">
      <c r="A276" s="27">
        <v>46270</v>
      </c>
      <c r="B276" s="28">
        <f t="shared" si="149"/>
        <v>1</v>
      </c>
      <c r="C276" s="14">
        <v>0</v>
      </c>
      <c r="D276" s="15">
        <v>0</v>
      </c>
      <c r="E276" s="16">
        <f t="shared" si="147"/>
        <v>13333.36</v>
      </c>
      <c r="F276" s="2"/>
      <c r="G276" s="33">
        <f t="shared" si="156"/>
        <v>8.0399999999999991</v>
      </c>
      <c r="H276" s="34">
        <v>0</v>
      </c>
      <c r="I276" s="16">
        <f t="shared" si="150"/>
        <v>217.07999999999987</v>
      </c>
      <c r="K276" s="14">
        <v>0</v>
      </c>
      <c r="L276" s="15">
        <v>0</v>
      </c>
      <c r="M276" s="16">
        <f t="shared" si="148"/>
        <v>0</v>
      </c>
      <c r="O276" s="33">
        <f t="shared" si="151"/>
        <v>0</v>
      </c>
      <c r="P276" s="34">
        <v>0</v>
      </c>
      <c r="Q276" s="16">
        <f t="shared" si="152"/>
        <v>0</v>
      </c>
      <c r="S276" s="33">
        <v>0</v>
      </c>
      <c r="T276" s="34">
        <v>0</v>
      </c>
      <c r="U276" s="16">
        <f t="shared" si="153"/>
        <v>0</v>
      </c>
      <c r="W276" s="14">
        <f t="shared" si="139"/>
        <v>0</v>
      </c>
      <c r="X276" s="15">
        <v>0</v>
      </c>
      <c r="Y276" s="16">
        <f t="shared" si="154"/>
        <v>0</v>
      </c>
      <c r="Z276" s="70"/>
      <c r="AA276" s="14">
        <f t="shared" si="140"/>
        <v>1.64</v>
      </c>
      <c r="AB276" s="15">
        <v>0</v>
      </c>
      <c r="AC276" s="16">
        <f t="shared" si="141"/>
        <v>44.280000000000008</v>
      </c>
      <c r="AD276" s="70"/>
      <c r="AF276" s="19">
        <v>75</v>
      </c>
      <c r="AG276" s="30">
        <f t="shared" si="142"/>
        <v>46270</v>
      </c>
      <c r="AH276" s="31">
        <f t="shared" si="143"/>
        <v>13333.36</v>
      </c>
      <c r="AI276" s="31">
        <f t="shared" si="144"/>
        <v>0</v>
      </c>
      <c r="AJ276" s="34">
        <f t="shared" si="145"/>
        <v>0</v>
      </c>
      <c r="AK276" s="31">
        <f t="shared" si="146"/>
        <v>0</v>
      </c>
      <c r="AL276" s="32">
        <f t="shared" si="155"/>
        <v>0</v>
      </c>
    </row>
    <row r="277" spans="1:44" hidden="1" outlineLevel="1" x14ac:dyDescent="0.45">
      <c r="A277" s="27">
        <v>46271</v>
      </c>
      <c r="B277" s="28">
        <f t="shared" si="149"/>
        <v>1</v>
      </c>
      <c r="C277" s="14">
        <v>0</v>
      </c>
      <c r="D277" s="15">
        <v>0</v>
      </c>
      <c r="E277" s="16">
        <f t="shared" si="147"/>
        <v>13333.36</v>
      </c>
      <c r="F277" s="2"/>
      <c r="G277" s="33">
        <f t="shared" si="156"/>
        <v>8.0399999999999991</v>
      </c>
      <c r="H277" s="34">
        <v>0</v>
      </c>
      <c r="I277" s="16">
        <f t="shared" si="150"/>
        <v>225.11999999999986</v>
      </c>
      <c r="K277" s="14">
        <v>0</v>
      </c>
      <c r="L277" s="15">
        <v>0</v>
      </c>
      <c r="M277" s="16">
        <f t="shared" si="148"/>
        <v>0</v>
      </c>
      <c r="O277" s="33">
        <f t="shared" si="151"/>
        <v>0</v>
      </c>
      <c r="P277" s="34">
        <v>0</v>
      </c>
      <c r="Q277" s="16">
        <f t="shared" si="152"/>
        <v>0</v>
      </c>
      <c r="S277" s="33">
        <v>0</v>
      </c>
      <c r="T277" s="34">
        <v>0</v>
      </c>
      <c r="U277" s="16">
        <f t="shared" si="153"/>
        <v>0</v>
      </c>
      <c r="W277" s="14">
        <f t="shared" si="139"/>
        <v>0</v>
      </c>
      <c r="X277" s="15">
        <v>0</v>
      </c>
      <c r="Y277" s="16">
        <f t="shared" si="154"/>
        <v>0</v>
      </c>
      <c r="Z277" s="70"/>
      <c r="AA277" s="14">
        <f t="shared" si="140"/>
        <v>1.64</v>
      </c>
      <c r="AB277" s="15">
        <v>0</v>
      </c>
      <c r="AC277" s="16">
        <f t="shared" si="141"/>
        <v>45.920000000000009</v>
      </c>
      <c r="AD277" s="70"/>
      <c r="AF277" s="19">
        <v>76</v>
      </c>
      <c r="AG277" s="30">
        <f t="shared" si="142"/>
        <v>46271</v>
      </c>
      <c r="AH277" s="31">
        <f t="shared" si="143"/>
        <v>13333.36</v>
      </c>
      <c r="AI277" s="31">
        <f t="shared" si="144"/>
        <v>0</v>
      </c>
      <c r="AJ277" s="34">
        <f t="shared" si="145"/>
        <v>0</v>
      </c>
      <c r="AK277" s="31">
        <f t="shared" si="146"/>
        <v>0</v>
      </c>
      <c r="AL277" s="32">
        <f t="shared" si="155"/>
        <v>0</v>
      </c>
    </row>
    <row r="278" spans="1:44" hidden="1" outlineLevel="1" x14ac:dyDescent="0.45">
      <c r="A278" s="27">
        <v>46272</v>
      </c>
      <c r="B278" s="28">
        <f t="shared" si="149"/>
        <v>1</v>
      </c>
      <c r="C278" s="14">
        <v>0</v>
      </c>
      <c r="D278" s="15">
        <v>0</v>
      </c>
      <c r="E278" s="16">
        <f t="shared" si="147"/>
        <v>13333.36</v>
      </c>
      <c r="F278" s="2"/>
      <c r="G278" s="33">
        <f t="shared" si="156"/>
        <v>8.0399999999999991</v>
      </c>
      <c r="H278" s="34">
        <v>0</v>
      </c>
      <c r="I278" s="16">
        <f t="shared" si="150"/>
        <v>233.15999999999985</v>
      </c>
      <c r="K278" s="14">
        <v>0</v>
      </c>
      <c r="L278" s="15">
        <v>0</v>
      </c>
      <c r="M278" s="16">
        <f t="shared" si="148"/>
        <v>0</v>
      </c>
      <c r="O278" s="33">
        <f t="shared" si="151"/>
        <v>0</v>
      </c>
      <c r="P278" s="34">
        <v>0</v>
      </c>
      <c r="Q278" s="16">
        <f t="shared" si="152"/>
        <v>0</v>
      </c>
      <c r="S278" s="33">
        <v>0</v>
      </c>
      <c r="T278" s="34">
        <v>0</v>
      </c>
      <c r="U278" s="16">
        <f t="shared" si="153"/>
        <v>0</v>
      </c>
      <c r="W278" s="14">
        <f t="shared" si="139"/>
        <v>0</v>
      </c>
      <c r="X278" s="15">
        <v>0</v>
      </c>
      <c r="Y278" s="16">
        <f t="shared" si="154"/>
        <v>0</v>
      </c>
      <c r="Z278" s="70"/>
      <c r="AA278" s="14">
        <f t="shared" si="140"/>
        <v>1.64</v>
      </c>
      <c r="AB278" s="15">
        <v>0</v>
      </c>
      <c r="AC278" s="16">
        <f t="shared" si="141"/>
        <v>47.560000000000009</v>
      </c>
      <c r="AD278" s="70"/>
      <c r="AF278" s="19">
        <v>77</v>
      </c>
      <c r="AG278" s="30">
        <f t="shared" si="142"/>
        <v>46272</v>
      </c>
      <c r="AH278" s="31">
        <f t="shared" si="143"/>
        <v>13333.36</v>
      </c>
      <c r="AI278" s="31">
        <f t="shared" si="144"/>
        <v>0</v>
      </c>
      <c r="AJ278" s="34">
        <f t="shared" si="145"/>
        <v>0</v>
      </c>
      <c r="AK278" s="31">
        <f t="shared" si="146"/>
        <v>0</v>
      </c>
      <c r="AL278" s="32">
        <f t="shared" si="155"/>
        <v>0</v>
      </c>
    </row>
    <row r="279" spans="1:44" hidden="1" outlineLevel="1" x14ac:dyDescent="0.45">
      <c r="A279" s="27">
        <v>46273</v>
      </c>
      <c r="B279" s="28">
        <f t="shared" si="149"/>
        <v>1</v>
      </c>
      <c r="C279" s="14">
        <v>0</v>
      </c>
      <c r="D279" s="15">
        <v>0</v>
      </c>
      <c r="E279" s="16">
        <f t="shared" si="147"/>
        <v>13333.36</v>
      </c>
      <c r="F279" s="2"/>
      <c r="G279" s="33">
        <f t="shared" si="156"/>
        <v>8.0399999999999991</v>
      </c>
      <c r="H279" s="34">
        <v>0</v>
      </c>
      <c r="I279" s="16">
        <f t="shared" si="150"/>
        <v>241.19999999999985</v>
      </c>
      <c r="K279" s="14">
        <v>0</v>
      </c>
      <c r="L279" s="15">
        <v>0</v>
      </c>
      <c r="M279" s="16">
        <f t="shared" si="148"/>
        <v>0</v>
      </c>
      <c r="O279" s="33">
        <f t="shared" si="151"/>
        <v>0</v>
      </c>
      <c r="P279" s="34">
        <v>0</v>
      </c>
      <c r="Q279" s="16">
        <f t="shared" si="152"/>
        <v>0</v>
      </c>
      <c r="S279" s="33">
        <v>0</v>
      </c>
      <c r="T279" s="34">
        <v>0</v>
      </c>
      <c r="U279" s="16">
        <f t="shared" si="153"/>
        <v>0</v>
      </c>
      <c r="W279" s="14">
        <f t="shared" si="139"/>
        <v>0</v>
      </c>
      <c r="X279" s="15">
        <v>0</v>
      </c>
      <c r="Y279" s="16">
        <f t="shared" si="154"/>
        <v>0</v>
      </c>
      <c r="Z279" s="70"/>
      <c r="AA279" s="14">
        <f t="shared" si="140"/>
        <v>1.64</v>
      </c>
      <c r="AB279" s="15">
        <v>0</v>
      </c>
      <c r="AC279" s="16">
        <f t="shared" si="141"/>
        <v>49.20000000000001</v>
      </c>
      <c r="AD279" s="70"/>
      <c r="AF279" s="19">
        <v>78</v>
      </c>
      <c r="AG279" s="30">
        <f t="shared" si="142"/>
        <v>46273</v>
      </c>
      <c r="AH279" s="31">
        <f t="shared" si="143"/>
        <v>13333.36</v>
      </c>
      <c r="AI279" s="31">
        <f t="shared" si="144"/>
        <v>0</v>
      </c>
      <c r="AJ279" s="34">
        <f t="shared" si="145"/>
        <v>0</v>
      </c>
      <c r="AK279" s="31">
        <f t="shared" si="146"/>
        <v>0</v>
      </c>
      <c r="AL279" s="32">
        <f t="shared" si="155"/>
        <v>0</v>
      </c>
    </row>
    <row r="280" spans="1:44" s="39" customFormat="1" collapsed="1" x14ac:dyDescent="0.45">
      <c r="A280" s="27">
        <v>46274</v>
      </c>
      <c r="B280" s="35">
        <f t="shared" si="149"/>
        <v>1</v>
      </c>
      <c r="C280" s="36">
        <v>0</v>
      </c>
      <c r="D280" s="37">
        <v>833.33</v>
      </c>
      <c r="E280" s="38">
        <f t="shared" si="147"/>
        <v>12500.03</v>
      </c>
      <c r="G280" s="33">
        <f t="shared" si="156"/>
        <v>7.53</v>
      </c>
      <c r="H280" s="37">
        <f>I279</f>
        <v>241.19999999999985</v>
      </c>
      <c r="I280" s="38">
        <f t="shared" si="150"/>
        <v>7.5300000000000011</v>
      </c>
      <c r="K280" s="36">
        <v>0</v>
      </c>
      <c r="L280" s="37">
        <v>0</v>
      </c>
      <c r="M280" s="38">
        <f t="shared" si="148"/>
        <v>0</v>
      </c>
      <c r="O280" s="33">
        <f t="shared" si="151"/>
        <v>0</v>
      </c>
      <c r="P280" s="37">
        <f>Q279+O280</f>
        <v>0</v>
      </c>
      <c r="Q280" s="38">
        <f t="shared" si="152"/>
        <v>0</v>
      </c>
      <c r="S280" s="36">
        <v>0</v>
      </c>
      <c r="T280" s="37">
        <f>U279+S280</f>
        <v>0</v>
      </c>
      <c r="U280" s="38">
        <f t="shared" si="153"/>
        <v>0</v>
      </c>
      <c r="W280" s="14">
        <f t="shared" si="139"/>
        <v>0</v>
      </c>
      <c r="X280" s="15">
        <v>0</v>
      </c>
      <c r="Y280" s="38">
        <f t="shared" si="154"/>
        <v>0</v>
      </c>
      <c r="Z280" s="85"/>
      <c r="AA280" s="36">
        <f t="shared" si="140"/>
        <v>1.64</v>
      </c>
      <c r="AB280" s="37">
        <f>AC279</f>
        <v>49.20000000000001</v>
      </c>
      <c r="AC280" s="38">
        <f t="shared" si="141"/>
        <v>1.6400000000000006</v>
      </c>
      <c r="AD280" s="85"/>
      <c r="AF280" s="40">
        <v>30</v>
      </c>
      <c r="AG280" s="41">
        <f t="shared" si="142"/>
        <v>46274</v>
      </c>
      <c r="AH280" s="42">
        <f t="shared" si="143"/>
        <v>12500.03</v>
      </c>
      <c r="AI280" s="42">
        <f t="shared" si="144"/>
        <v>833.33</v>
      </c>
      <c r="AJ280" s="37">
        <f t="shared" si="145"/>
        <v>241.19999999999985</v>
      </c>
      <c r="AK280" s="42">
        <f>AC279</f>
        <v>49.20000000000001</v>
      </c>
      <c r="AL280" s="43">
        <f>AI280+AJ280+AK280</f>
        <v>1123.73</v>
      </c>
      <c r="AM280" s="44">
        <f>AL280</f>
        <v>1123.73</v>
      </c>
      <c r="AN280" s="44"/>
      <c r="AO280" s="5"/>
      <c r="AP280" s="46"/>
      <c r="AQ280" s="44"/>
      <c r="AR280" s="44"/>
    </row>
    <row r="281" spans="1:44" hidden="1" outlineLevel="1" x14ac:dyDescent="0.45">
      <c r="A281" s="27">
        <v>46275</v>
      </c>
      <c r="B281" s="28">
        <f t="shared" si="149"/>
        <v>1</v>
      </c>
      <c r="C281" s="14">
        <v>0</v>
      </c>
      <c r="D281" s="15">
        <v>0</v>
      </c>
      <c r="E281" s="16">
        <f t="shared" si="147"/>
        <v>12500.03</v>
      </c>
      <c r="F281" s="2"/>
      <c r="G281" s="33">
        <f t="shared" si="156"/>
        <v>7.53</v>
      </c>
      <c r="H281" s="34">
        <v>0</v>
      </c>
      <c r="I281" s="16">
        <f t="shared" si="150"/>
        <v>15.060000000000002</v>
      </c>
      <c r="K281" s="14">
        <v>0</v>
      </c>
      <c r="L281" s="15">
        <v>0</v>
      </c>
      <c r="M281" s="16">
        <f t="shared" si="148"/>
        <v>0</v>
      </c>
      <c r="O281" s="33">
        <f t="shared" si="151"/>
        <v>0</v>
      </c>
      <c r="P281" s="34">
        <v>0</v>
      </c>
      <c r="Q281" s="16">
        <f t="shared" si="152"/>
        <v>0</v>
      </c>
      <c r="S281" s="33">
        <v>0</v>
      </c>
      <c r="T281" s="34">
        <v>0</v>
      </c>
      <c r="U281" s="16">
        <f t="shared" si="153"/>
        <v>0</v>
      </c>
      <c r="W281" s="14">
        <f t="shared" si="139"/>
        <v>0</v>
      </c>
      <c r="X281" s="15">
        <v>0</v>
      </c>
      <c r="Y281" s="16">
        <f t="shared" si="154"/>
        <v>0</v>
      </c>
      <c r="Z281" s="70"/>
      <c r="AA281" s="14">
        <f t="shared" si="140"/>
        <v>1.64</v>
      </c>
      <c r="AB281" s="15">
        <v>0</v>
      </c>
      <c r="AC281" s="16">
        <f t="shared" si="141"/>
        <v>3.2800000000000002</v>
      </c>
      <c r="AD281" s="70"/>
      <c r="AF281" s="19">
        <v>50</v>
      </c>
      <c r="AG281" s="30">
        <f t="shared" si="142"/>
        <v>46275</v>
      </c>
      <c r="AH281" s="31">
        <f t="shared" si="143"/>
        <v>12500.03</v>
      </c>
      <c r="AI281" s="31">
        <f t="shared" si="144"/>
        <v>0</v>
      </c>
      <c r="AJ281" s="34">
        <f t="shared" si="145"/>
        <v>0</v>
      </c>
      <c r="AK281" s="31">
        <f t="shared" si="146"/>
        <v>0</v>
      </c>
      <c r="AL281" s="32">
        <f t="shared" si="155"/>
        <v>0</v>
      </c>
    </row>
    <row r="282" spans="1:44" hidden="1" outlineLevel="1" x14ac:dyDescent="0.45">
      <c r="A282" s="27">
        <v>46276</v>
      </c>
      <c r="B282" s="28">
        <f t="shared" si="149"/>
        <v>1</v>
      </c>
      <c r="C282" s="14">
        <v>0</v>
      </c>
      <c r="D282" s="15">
        <v>0</v>
      </c>
      <c r="E282" s="16">
        <f t="shared" si="147"/>
        <v>12500.03</v>
      </c>
      <c r="F282" s="2"/>
      <c r="G282" s="33">
        <f t="shared" si="156"/>
        <v>7.53</v>
      </c>
      <c r="H282" s="34">
        <v>0</v>
      </c>
      <c r="I282" s="16">
        <f t="shared" si="150"/>
        <v>22.590000000000003</v>
      </c>
      <c r="K282" s="14">
        <v>0</v>
      </c>
      <c r="L282" s="15">
        <v>0</v>
      </c>
      <c r="M282" s="16">
        <f t="shared" si="148"/>
        <v>0</v>
      </c>
      <c r="O282" s="33">
        <f t="shared" si="151"/>
        <v>0</v>
      </c>
      <c r="P282" s="34">
        <v>0</v>
      </c>
      <c r="Q282" s="16">
        <f t="shared" si="152"/>
        <v>0</v>
      </c>
      <c r="S282" s="33">
        <v>0</v>
      </c>
      <c r="T282" s="34">
        <v>0</v>
      </c>
      <c r="U282" s="16">
        <f t="shared" si="153"/>
        <v>0</v>
      </c>
      <c r="W282" s="14">
        <f t="shared" si="139"/>
        <v>0</v>
      </c>
      <c r="X282" s="15">
        <v>0</v>
      </c>
      <c r="Y282" s="16">
        <f t="shared" si="154"/>
        <v>0</v>
      </c>
      <c r="Z282" s="70"/>
      <c r="AA282" s="14">
        <f t="shared" si="140"/>
        <v>1.64</v>
      </c>
      <c r="AB282" s="15">
        <v>0</v>
      </c>
      <c r="AC282" s="16">
        <f t="shared" si="141"/>
        <v>4.92</v>
      </c>
      <c r="AD282" s="70"/>
      <c r="AF282" s="19">
        <v>51</v>
      </c>
      <c r="AG282" s="30">
        <f t="shared" si="142"/>
        <v>46276</v>
      </c>
      <c r="AH282" s="31">
        <f t="shared" si="143"/>
        <v>12500.03</v>
      </c>
      <c r="AI282" s="31">
        <f t="shared" si="144"/>
        <v>0</v>
      </c>
      <c r="AJ282" s="34">
        <f t="shared" si="145"/>
        <v>0</v>
      </c>
      <c r="AK282" s="31">
        <f t="shared" si="146"/>
        <v>0</v>
      </c>
      <c r="AL282" s="32">
        <f t="shared" si="155"/>
        <v>0</v>
      </c>
    </row>
    <row r="283" spans="1:44" hidden="1" outlineLevel="1" x14ac:dyDescent="0.45">
      <c r="A283" s="27">
        <v>46277</v>
      </c>
      <c r="B283" s="28">
        <f t="shared" si="149"/>
        <v>1</v>
      </c>
      <c r="C283" s="14">
        <v>0</v>
      </c>
      <c r="D283" s="15">
        <v>0</v>
      </c>
      <c r="E283" s="16">
        <f t="shared" si="147"/>
        <v>12500.03</v>
      </c>
      <c r="F283" s="2"/>
      <c r="G283" s="33">
        <f t="shared" si="156"/>
        <v>7.53</v>
      </c>
      <c r="H283" s="34">
        <v>0</v>
      </c>
      <c r="I283" s="16">
        <f t="shared" si="150"/>
        <v>30.120000000000005</v>
      </c>
      <c r="K283" s="14">
        <v>0</v>
      </c>
      <c r="L283" s="15">
        <v>0</v>
      </c>
      <c r="M283" s="16">
        <f t="shared" si="148"/>
        <v>0</v>
      </c>
      <c r="O283" s="33">
        <f t="shared" si="151"/>
        <v>0</v>
      </c>
      <c r="P283" s="34">
        <v>0</v>
      </c>
      <c r="Q283" s="16">
        <f t="shared" si="152"/>
        <v>0</v>
      </c>
      <c r="S283" s="33">
        <v>0</v>
      </c>
      <c r="T283" s="34">
        <v>0</v>
      </c>
      <c r="U283" s="16">
        <f t="shared" si="153"/>
        <v>0</v>
      </c>
      <c r="W283" s="14">
        <f t="shared" si="139"/>
        <v>0</v>
      </c>
      <c r="X283" s="15">
        <v>0</v>
      </c>
      <c r="Y283" s="16">
        <f t="shared" si="154"/>
        <v>0</v>
      </c>
      <c r="Z283" s="70"/>
      <c r="AA283" s="14">
        <f t="shared" si="140"/>
        <v>1.64</v>
      </c>
      <c r="AB283" s="15">
        <v>0</v>
      </c>
      <c r="AC283" s="16">
        <f t="shared" si="141"/>
        <v>6.56</v>
      </c>
      <c r="AD283" s="70"/>
      <c r="AF283" s="19">
        <v>52</v>
      </c>
      <c r="AG283" s="30">
        <f t="shared" si="142"/>
        <v>46277</v>
      </c>
      <c r="AH283" s="31">
        <f t="shared" si="143"/>
        <v>12500.03</v>
      </c>
      <c r="AI283" s="31">
        <f t="shared" si="144"/>
        <v>0</v>
      </c>
      <c r="AJ283" s="34">
        <f t="shared" si="145"/>
        <v>0</v>
      </c>
      <c r="AK283" s="31">
        <f t="shared" si="146"/>
        <v>0</v>
      </c>
      <c r="AL283" s="32">
        <f t="shared" si="155"/>
        <v>0</v>
      </c>
    </row>
    <row r="284" spans="1:44" hidden="1" outlineLevel="1" x14ac:dyDescent="0.45">
      <c r="A284" s="27">
        <v>46278</v>
      </c>
      <c r="B284" s="28">
        <f t="shared" si="149"/>
        <v>1</v>
      </c>
      <c r="C284" s="14">
        <v>0</v>
      </c>
      <c r="D284" s="15">
        <v>0</v>
      </c>
      <c r="E284" s="16">
        <f t="shared" si="147"/>
        <v>12500.03</v>
      </c>
      <c r="F284" s="2"/>
      <c r="G284" s="33">
        <f t="shared" si="156"/>
        <v>7.53</v>
      </c>
      <c r="H284" s="34">
        <v>0</v>
      </c>
      <c r="I284" s="16">
        <f t="shared" si="150"/>
        <v>37.650000000000006</v>
      </c>
      <c r="K284" s="14">
        <v>0</v>
      </c>
      <c r="L284" s="15">
        <v>0</v>
      </c>
      <c r="M284" s="16">
        <f t="shared" si="148"/>
        <v>0</v>
      </c>
      <c r="O284" s="33">
        <f t="shared" si="151"/>
        <v>0</v>
      </c>
      <c r="P284" s="34">
        <v>0</v>
      </c>
      <c r="Q284" s="16">
        <f t="shared" si="152"/>
        <v>0</v>
      </c>
      <c r="S284" s="33">
        <v>0</v>
      </c>
      <c r="T284" s="34">
        <v>0</v>
      </c>
      <c r="U284" s="16">
        <f t="shared" si="153"/>
        <v>0</v>
      </c>
      <c r="W284" s="14">
        <f t="shared" si="139"/>
        <v>0</v>
      </c>
      <c r="X284" s="15">
        <v>0</v>
      </c>
      <c r="Y284" s="16">
        <f t="shared" si="154"/>
        <v>0</v>
      </c>
      <c r="Z284" s="70"/>
      <c r="AA284" s="14">
        <f t="shared" si="140"/>
        <v>1.64</v>
      </c>
      <c r="AB284" s="15">
        <v>0</v>
      </c>
      <c r="AC284" s="16">
        <f t="shared" si="141"/>
        <v>8.1999999999999993</v>
      </c>
      <c r="AD284" s="70"/>
      <c r="AF284" s="19">
        <v>53</v>
      </c>
      <c r="AG284" s="30">
        <f t="shared" si="142"/>
        <v>46278</v>
      </c>
      <c r="AH284" s="31">
        <f t="shared" si="143"/>
        <v>12500.03</v>
      </c>
      <c r="AI284" s="31">
        <f t="shared" si="144"/>
        <v>0</v>
      </c>
      <c r="AJ284" s="34">
        <f t="shared" si="145"/>
        <v>0</v>
      </c>
      <c r="AK284" s="31">
        <f t="shared" si="146"/>
        <v>0</v>
      </c>
      <c r="AL284" s="32">
        <f t="shared" si="155"/>
        <v>0</v>
      </c>
    </row>
    <row r="285" spans="1:44" hidden="1" outlineLevel="1" x14ac:dyDescent="0.45">
      <c r="A285" s="27">
        <v>46279</v>
      </c>
      <c r="B285" s="28">
        <f t="shared" si="149"/>
        <v>1</v>
      </c>
      <c r="C285" s="14">
        <v>0</v>
      </c>
      <c r="D285" s="15">
        <v>0</v>
      </c>
      <c r="E285" s="16">
        <f t="shared" si="147"/>
        <v>12500.03</v>
      </c>
      <c r="F285" s="2"/>
      <c r="G285" s="33">
        <f t="shared" si="156"/>
        <v>7.53</v>
      </c>
      <c r="H285" s="34">
        <v>0</v>
      </c>
      <c r="I285" s="16">
        <f t="shared" si="150"/>
        <v>45.180000000000007</v>
      </c>
      <c r="K285" s="14">
        <v>0</v>
      </c>
      <c r="L285" s="15">
        <v>0</v>
      </c>
      <c r="M285" s="16">
        <f t="shared" si="148"/>
        <v>0</v>
      </c>
      <c r="O285" s="33">
        <f t="shared" si="151"/>
        <v>0</v>
      </c>
      <c r="P285" s="34">
        <v>0</v>
      </c>
      <c r="Q285" s="16">
        <f t="shared" si="152"/>
        <v>0</v>
      </c>
      <c r="S285" s="33">
        <v>0</v>
      </c>
      <c r="T285" s="34">
        <v>0</v>
      </c>
      <c r="U285" s="16">
        <f t="shared" si="153"/>
        <v>0</v>
      </c>
      <c r="W285" s="14">
        <f t="shared" si="139"/>
        <v>0</v>
      </c>
      <c r="X285" s="15">
        <v>0</v>
      </c>
      <c r="Y285" s="16">
        <f t="shared" si="154"/>
        <v>0</v>
      </c>
      <c r="Z285" s="70"/>
      <c r="AA285" s="14">
        <f t="shared" si="140"/>
        <v>1.64</v>
      </c>
      <c r="AB285" s="15">
        <v>0</v>
      </c>
      <c r="AC285" s="16">
        <f t="shared" si="141"/>
        <v>9.84</v>
      </c>
      <c r="AD285" s="70"/>
      <c r="AF285" s="19">
        <v>54</v>
      </c>
      <c r="AG285" s="30">
        <f t="shared" si="142"/>
        <v>46279</v>
      </c>
      <c r="AH285" s="31">
        <f t="shared" si="143"/>
        <v>12500.03</v>
      </c>
      <c r="AI285" s="31">
        <f t="shared" si="144"/>
        <v>0</v>
      </c>
      <c r="AJ285" s="34">
        <f t="shared" si="145"/>
        <v>0</v>
      </c>
      <c r="AK285" s="31">
        <f t="shared" si="146"/>
        <v>0</v>
      </c>
      <c r="AL285" s="32">
        <f t="shared" si="155"/>
        <v>0</v>
      </c>
    </row>
    <row r="286" spans="1:44" hidden="1" outlineLevel="1" x14ac:dyDescent="0.45">
      <c r="A286" s="27">
        <v>46280</v>
      </c>
      <c r="B286" s="28">
        <f t="shared" si="149"/>
        <v>1</v>
      </c>
      <c r="C286" s="14">
        <v>0</v>
      </c>
      <c r="D286" s="15">
        <v>0</v>
      </c>
      <c r="E286" s="16">
        <f t="shared" si="147"/>
        <v>12500.03</v>
      </c>
      <c r="F286" s="2"/>
      <c r="G286" s="33">
        <f t="shared" si="156"/>
        <v>7.53</v>
      </c>
      <c r="H286" s="34">
        <v>0</v>
      </c>
      <c r="I286" s="16">
        <f t="shared" si="150"/>
        <v>52.710000000000008</v>
      </c>
      <c r="K286" s="14">
        <v>0</v>
      </c>
      <c r="L286" s="15">
        <v>0</v>
      </c>
      <c r="M286" s="16">
        <f t="shared" si="148"/>
        <v>0</v>
      </c>
      <c r="O286" s="33">
        <f t="shared" si="151"/>
        <v>0</v>
      </c>
      <c r="P286" s="34">
        <v>0</v>
      </c>
      <c r="Q286" s="16">
        <f t="shared" si="152"/>
        <v>0</v>
      </c>
      <c r="S286" s="33">
        <v>0</v>
      </c>
      <c r="T286" s="34">
        <v>0</v>
      </c>
      <c r="U286" s="16">
        <f t="shared" si="153"/>
        <v>0</v>
      </c>
      <c r="W286" s="14">
        <f t="shared" si="139"/>
        <v>0</v>
      </c>
      <c r="X286" s="15">
        <v>0</v>
      </c>
      <c r="Y286" s="16">
        <f t="shared" si="154"/>
        <v>0</v>
      </c>
      <c r="Z286" s="70"/>
      <c r="AA286" s="14">
        <f t="shared" si="140"/>
        <v>1.64</v>
      </c>
      <c r="AB286" s="15">
        <v>0</v>
      </c>
      <c r="AC286" s="16">
        <f t="shared" si="141"/>
        <v>11.48</v>
      </c>
      <c r="AD286" s="70"/>
      <c r="AF286" s="19">
        <v>55</v>
      </c>
      <c r="AG286" s="30">
        <f t="shared" si="142"/>
        <v>46280</v>
      </c>
      <c r="AH286" s="31">
        <f t="shared" si="143"/>
        <v>12500.03</v>
      </c>
      <c r="AI286" s="31">
        <f t="shared" si="144"/>
        <v>0</v>
      </c>
      <c r="AJ286" s="34">
        <f t="shared" si="145"/>
        <v>0</v>
      </c>
      <c r="AK286" s="31">
        <f t="shared" si="146"/>
        <v>0</v>
      </c>
      <c r="AL286" s="32">
        <f t="shared" si="155"/>
        <v>0</v>
      </c>
    </row>
    <row r="287" spans="1:44" hidden="1" outlineLevel="1" x14ac:dyDescent="0.45">
      <c r="A287" s="27">
        <v>46281</v>
      </c>
      <c r="B287" s="28">
        <f t="shared" si="149"/>
        <v>1</v>
      </c>
      <c r="C287" s="14">
        <v>0</v>
      </c>
      <c r="D287" s="15">
        <v>0</v>
      </c>
      <c r="E287" s="16">
        <f t="shared" si="147"/>
        <v>12500.03</v>
      </c>
      <c r="F287" s="2"/>
      <c r="G287" s="33">
        <f t="shared" si="156"/>
        <v>7.53</v>
      </c>
      <c r="H287" s="34">
        <v>0</v>
      </c>
      <c r="I287" s="16">
        <f t="shared" si="150"/>
        <v>60.240000000000009</v>
      </c>
      <c r="K287" s="14">
        <v>0</v>
      </c>
      <c r="L287" s="15">
        <v>0</v>
      </c>
      <c r="M287" s="16">
        <f t="shared" si="148"/>
        <v>0</v>
      </c>
      <c r="O287" s="33">
        <f t="shared" si="151"/>
        <v>0</v>
      </c>
      <c r="P287" s="34">
        <v>0</v>
      </c>
      <c r="Q287" s="16">
        <f t="shared" si="152"/>
        <v>0</v>
      </c>
      <c r="S287" s="33">
        <v>0</v>
      </c>
      <c r="T287" s="34">
        <v>0</v>
      </c>
      <c r="U287" s="16">
        <f t="shared" si="153"/>
        <v>0</v>
      </c>
      <c r="W287" s="14">
        <f t="shared" si="139"/>
        <v>0</v>
      </c>
      <c r="X287" s="15">
        <v>0</v>
      </c>
      <c r="Y287" s="16">
        <f t="shared" si="154"/>
        <v>0</v>
      </c>
      <c r="Z287" s="70"/>
      <c r="AA287" s="14">
        <f t="shared" si="140"/>
        <v>1.64</v>
      </c>
      <c r="AB287" s="15">
        <v>0</v>
      </c>
      <c r="AC287" s="16">
        <f t="shared" si="141"/>
        <v>13.120000000000001</v>
      </c>
      <c r="AD287" s="70"/>
      <c r="AF287" s="19">
        <v>56</v>
      </c>
      <c r="AG287" s="30">
        <f t="shared" si="142"/>
        <v>46281</v>
      </c>
      <c r="AH287" s="31">
        <f t="shared" si="143"/>
        <v>12500.03</v>
      </c>
      <c r="AI287" s="31">
        <f t="shared" si="144"/>
        <v>0</v>
      </c>
      <c r="AJ287" s="34">
        <f t="shared" si="145"/>
        <v>0</v>
      </c>
      <c r="AK287" s="31">
        <f t="shared" si="146"/>
        <v>0</v>
      </c>
      <c r="AL287" s="32">
        <f t="shared" si="155"/>
        <v>0</v>
      </c>
    </row>
    <row r="288" spans="1:44" hidden="1" outlineLevel="1" x14ac:dyDescent="0.45">
      <c r="A288" s="27">
        <v>46282</v>
      </c>
      <c r="B288" s="28">
        <f t="shared" si="149"/>
        <v>1</v>
      </c>
      <c r="C288" s="14">
        <v>0</v>
      </c>
      <c r="D288" s="15">
        <v>0</v>
      </c>
      <c r="E288" s="16">
        <f t="shared" si="147"/>
        <v>12500.03</v>
      </c>
      <c r="F288" s="2"/>
      <c r="G288" s="33">
        <f t="shared" si="156"/>
        <v>7.53</v>
      </c>
      <c r="H288" s="34">
        <v>0</v>
      </c>
      <c r="I288" s="16">
        <f t="shared" si="150"/>
        <v>67.77000000000001</v>
      </c>
      <c r="K288" s="14">
        <v>0</v>
      </c>
      <c r="L288" s="15">
        <v>0</v>
      </c>
      <c r="M288" s="16">
        <f t="shared" si="148"/>
        <v>0</v>
      </c>
      <c r="O288" s="33">
        <f t="shared" si="151"/>
        <v>0</v>
      </c>
      <c r="P288" s="34">
        <v>0</v>
      </c>
      <c r="Q288" s="16">
        <f t="shared" si="152"/>
        <v>0</v>
      </c>
      <c r="S288" s="33">
        <v>0</v>
      </c>
      <c r="T288" s="34">
        <v>0</v>
      </c>
      <c r="U288" s="16">
        <f t="shared" si="153"/>
        <v>0</v>
      </c>
      <c r="W288" s="14">
        <f t="shared" si="139"/>
        <v>0</v>
      </c>
      <c r="X288" s="15">
        <v>0</v>
      </c>
      <c r="Y288" s="16">
        <f t="shared" si="154"/>
        <v>0</v>
      </c>
      <c r="Z288" s="70"/>
      <c r="AA288" s="14">
        <f t="shared" si="140"/>
        <v>1.64</v>
      </c>
      <c r="AB288" s="15">
        <v>0</v>
      </c>
      <c r="AC288" s="16">
        <f t="shared" si="141"/>
        <v>14.760000000000002</v>
      </c>
      <c r="AD288" s="70"/>
      <c r="AF288" s="19">
        <v>57</v>
      </c>
      <c r="AG288" s="30">
        <f t="shared" si="142"/>
        <v>46282</v>
      </c>
      <c r="AH288" s="31">
        <f t="shared" si="143"/>
        <v>12500.03</v>
      </c>
      <c r="AI288" s="31">
        <f t="shared" si="144"/>
        <v>0</v>
      </c>
      <c r="AJ288" s="34">
        <f t="shared" si="145"/>
        <v>0</v>
      </c>
      <c r="AK288" s="31">
        <f t="shared" si="146"/>
        <v>0</v>
      </c>
      <c r="AL288" s="32">
        <f t="shared" si="155"/>
        <v>0</v>
      </c>
    </row>
    <row r="289" spans="1:38" hidden="1" outlineLevel="1" x14ac:dyDescent="0.45">
      <c r="A289" s="27">
        <v>46283</v>
      </c>
      <c r="B289" s="28">
        <f t="shared" si="149"/>
        <v>1</v>
      </c>
      <c r="C289" s="14">
        <v>0</v>
      </c>
      <c r="D289" s="15">
        <v>0</v>
      </c>
      <c r="E289" s="16">
        <f t="shared" si="147"/>
        <v>12500.03</v>
      </c>
      <c r="F289" s="2"/>
      <c r="G289" s="33">
        <f t="shared" si="156"/>
        <v>7.53</v>
      </c>
      <c r="H289" s="34">
        <v>0</v>
      </c>
      <c r="I289" s="16">
        <f t="shared" si="150"/>
        <v>75.300000000000011</v>
      </c>
      <c r="K289" s="14">
        <v>0</v>
      </c>
      <c r="L289" s="15">
        <v>0</v>
      </c>
      <c r="M289" s="16">
        <f t="shared" si="148"/>
        <v>0</v>
      </c>
      <c r="O289" s="33">
        <f t="shared" si="151"/>
        <v>0</v>
      </c>
      <c r="P289" s="34">
        <v>0</v>
      </c>
      <c r="Q289" s="16">
        <f t="shared" si="152"/>
        <v>0</v>
      </c>
      <c r="S289" s="33">
        <v>0</v>
      </c>
      <c r="T289" s="34">
        <v>0</v>
      </c>
      <c r="U289" s="16">
        <f t="shared" si="153"/>
        <v>0</v>
      </c>
      <c r="W289" s="14">
        <f t="shared" si="139"/>
        <v>0</v>
      </c>
      <c r="X289" s="15">
        <v>0</v>
      </c>
      <c r="Y289" s="16">
        <f t="shared" si="154"/>
        <v>0</v>
      </c>
      <c r="Z289" s="70"/>
      <c r="AA289" s="14">
        <f t="shared" si="140"/>
        <v>1.64</v>
      </c>
      <c r="AB289" s="15">
        <v>0</v>
      </c>
      <c r="AC289" s="16">
        <f t="shared" si="141"/>
        <v>16.400000000000002</v>
      </c>
      <c r="AD289" s="70"/>
      <c r="AF289" s="19">
        <v>58</v>
      </c>
      <c r="AG289" s="30">
        <f t="shared" si="142"/>
        <v>46283</v>
      </c>
      <c r="AH289" s="31">
        <f t="shared" si="143"/>
        <v>12500.03</v>
      </c>
      <c r="AI289" s="31">
        <f t="shared" si="144"/>
        <v>0</v>
      </c>
      <c r="AJ289" s="34">
        <f t="shared" si="145"/>
        <v>0</v>
      </c>
      <c r="AK289" s="31">
        <f t="shared" si="146"/>
        <v>0</v>
      </c>
      <c r="AL289" s="32">
        <f t="shared" si="155"/>
        <v>0</v>
      </c>
    </row>
    <row r="290" spans="1:38" hidden="1" outlineLevel="1" x14ac:dyDescent="0.45">
      <c r="A290" s="27">
        <v>46284</v>
      </c>
      <c r="B290" s="28">
        <f t="shared" si="149"/>
        <v>1</v>
      </c>
      <c r="C290" s="14">
        <v>0</v>
      </c>
      <c r="D290" s="15">
        <v>0</v>
      </c>
      <c r="E290" s="16">
        <f t="shared" si="147"/>
        <v>12500.03</v>
      </c>
      <c r="F290" s="2"/>
      <c r="G290" s="33">
        <f t="shared" si="156"/>
        <v>7.53</v>
      </c>
      <c r="H290" s="34">
        <v>0</v>
      </c>
      <c r="I290" s="16">
        <f t="shared" si="150"/>
        <v>82.830000000000013</v>
      </c>
      <c r="K290" s="14">
        <v>0</v>
      </c>
      <c r="L290" s="15">
        <v>0</v>
      </c>
      <c r="M290" s="16">
        <f t="shared" si="148"/>
        <v>0</v>
      </c>
      <c r="O290" s="33">
        <f t="shared" si="151"/>
        <v>0</v>
      </c>
      <c r="P290" s="34">
        <v>0</v>
      </c>
      <c r="Q290" s="16">
        <f t="shared" si="152"/>
        <v>0</v>
      </c>
      <c r="S290" s="33">
        <v>0</v>
      </c>
      <c r="T290" s="34">
        <v>0</v>
      </c>
      <c r="U290" s="16">
        <f t="shared" si="153"/>
        <v>0</v>
      </c>
      <c r="W290" s="14">
        <f t="shared" si="139"/>
        <v>0</v>
      </c>
      <c r="X290" s="15">
        <v>0</v>
      </c>
      <c r="Y290" s="16">
        <f t="shared" si="154"/>
        <v>0</v>
      </c>
      <c r="Z290" s="70"/>
      <c r="AA290" s="14">
        <f t="shared" si="140"/>
        <v>1.64</v>
      </c>
      <c r="AB290" s="15">
        <v>0</v>
      </c>
      <c r="AC290" s="16">
        <f t="shared" si="141"/>
        <v>18.040000000000003</v>
      </c>
      <c r="AD290" s="70"/>
      <c r="AF290" s="19">
        <v>59</v>
      </c>
      <c r="AG290" s="30">
        <f t="shared" si="142"/>
        <v>46284</v>
      </c>
      <c r="AH290" s="31">
        <f t="shared" si="143"/>
        <v>12500.03</v>
      </c>
      <c r="AI290" s="31">
        <f t="shared" si="144"/>
        <v>0</v>
      </c>
      <c r="AJ290" s="34">
        <f t="shared" si="145"/>
        <v>0</v>
      </c>
      <c r="AK290" s="31">
        <f t="shared" si="146"/>
        <v>0</v>
      </c>
      <c r="AL290" s="32">
        <f t="shared" si="155"/>
        <v>0</v>
      </c>
    </row>
    <row r="291" spans="1:38" hidden="1" outlineLevel="1" x14ac:dyDescent="0.45">
      <c r="A291" s="27">
        <v>46285</v>
      </c>
      <c r="B291" s="28">
        <f t="shared" si="149"/>
        <v>1</v>
      </c>
      <c r="C291" s="14">
        <v>0</v>
      </c>
      <c r="D291" s="15">
        <v>0</v>
      </c>
      <c r="E291" s="16">
        <f t="shared" si="147"/>
        <v>12500.03</v>
      </c>
      <c r="F291" s="2"/>
      <c r="G291" s="33">
        <f t="shared" si="156"/>
        <v>7.53</v>
      </c>
      <c r="H291" s="34">
        <v>0</v>
      </c>
      <c r="I291" s="16">
        <f t="shared" si="150"/>
        <v>90.360000000000014</v>
      </c>
      <c r="K291" s="14">
        <v>0</v>
      </c>
      <c r="L291" s="15">
        <v>0</v>
      </c>
      <c r="M291" s="16">
        <f t="shared" si="148"/>
        <v>0</v>
      </c>
      <c r="O291" s="33">
        <f t="shared" si="151"/>
        <v>0</v>
      </c>
      <c r="P291" s="34">
        <v>0</v>
      </c>
      <c r="Q291" s="16">
        <f t="shared" si="152"/>
        <v>0</v>
      </c>
      <c r="S291" s="33">
        <v>0</v>
      </c>
      <c r="T291" s="34">
        <v>0</v>
      </c>
      <c r="U291" s="16">
        <f t="shared" si="153"/>
        <v>0</v>
      </c>
      <c r="W291" s="14">
        <f t="shared" ref="W291:W354" si="157">ROUND(M290*$W$5*B291,2)</f>
        <v>0</v>
      </c>
      <c r="X291" s="15">
        <v>0</v>
      </c>
      <c r="Y291" s="16">
        <f t="shared" si="154"/>
        <v>0</v>
      </c>
      <c r="Z291" s="70"/>
      <c r="AA291" s="14">
        <f t="shared" si="140"/>
        <v>1.64</v>
      </c>
      <c r="AB291" s="15">
        <v>0</v>
      </c>
      <c r="AC291" s="16">
        <f t="shared" si="141"/>
        <v>19.680000000000003</v>
      </c>
      <c r="AD291" s="70"/>
      <c r="AF291" s="19">
        <v>60</v>
      </c>
      <c r="AG291" s="30">
        <f t="shared" si="142"/>
        <v>46285</v>
      </c>
      <c r="AH291" s="31">
        <f t="shared" si="143"/>
        <v>12500.03</v>
      </c>
      <c r="AI291" s="31">
        <f t="shared" si="144"/>
        <v>0</v>
      </c>
      <c r="AJ291" s="34">
        <f t="shared" si="145"/>
        <v>0</v>
      </c>
      <c r="AK291" s="31">
        <f t="shared" si="146"/>
        <v>0</v>
      </c>
      <c r="AL291" s="32">
        <f t="shared" si="155"/>
        <v>0</v>
      </c>
    </row>
    <row r="292" spans="1:38" hidden="1" outlineLevel="1" x14ac:dyDescent="0.45">
      <c r="A292" s="27">
        <v>46286</v>
      </c>
      <c r="B292" s="28">
        <f t="shared" si="149"/>
        <v>1</v>
      </c>
      <c r="C292" s="14">
        <v>0</v>
      </c>
      <c r="D292" s="15">
        <v>0</v>
      </c>
      <c r="E292" s="16">
        <f t="shared" si="147"/>
        <v>12500.03</v>
      </c>
      <c r="F292" s="2"/>
      <c r="G292" s="33">
        <f t="shared" si="156"/>
        <v>7.53</v>
      </c>
      <c r="H292" s="34">
        <v>0</v>
      </c>
      <c r="I292" s="16">
        <f t="shared" si="150"/>
        <v>97.890000000000015</v>
      </c>
      <c r="K292" s="14">
        <v>0</v>
      </c>
      <c r="L292" s="15">
        <v>0</v>
      </c>
      <c r="M292" s="16">
        <f t="shared" si="148"/>
        <v>0</v>
      </c>
      <c r="O292" s="33">
        <f t="shared" si="151"/>
        <v>0</v>
      </c>
      <c r="P292" s="34">
        <v>0</v>
      </c>
      <c r="Q292" s="16">
        <f t="shared" si="152"/>
        <v>0</v>
      </c>
      <c r="S292" s="33">
        <v>0</v>
      </c>
      <c r="T292" s="34">
        <v>0</v>
      </c>
      <c r="U292" s="16">
        <f t="shared" si="153"/>
        <v>0</v>
      </c>
      <c r="W292" s="14">
        <f t="shared" si="157"/>
        <v>0</v>
      </c>
      <c r="X292" s="15">
        <v>0</v>
      </c>
      <c r="Y292" s="16">
        <f t="shared" si="154"/>
        <v>0</v>
      </c>
      <c r="Z292" s="70"/>
      <c r="AA292" s="14">
        <f t="shared" si="140"/>
        <v>1.64</v>
      </c>
      <c r="AB292" s="15">
        <v>0</v>
      </c>
      <c r="AC292" s="16">
        <f t="shared" si="141"/>
        <v>21.320000000000004</v>
      </c>
      <c r="AD292" s="70"/>
      <c r="AF292" s="19">
        <v>61</v>
      </c>
      <c r="AG292" s="30">
        <f t="shared" si="142"/>
        <v>46286</v>
      </c>
      <c r="AH292" s="31">
        <f t="shared" si="143"/>
        <v>12500.03</v>
      </c>
      <c r="AI292" s="31">
        <f t="shared" si="144"/>
        <v>0</v>
      </c>
      <c r="AJ292" s="34">
        <f t="shared" si="145"/>
        <v>0</v>
      </c>
      <c r="AK292" s="31">
        <f t="shared" si="146"/>
        <v>0</v>
      </c>
      <c r="AL292" s="32">
        <f t="shared" si="155"/>
        <v>0</v>
      </c>
    </row>
    <row r="293" spans="1:38" hidden="1" outlineLevel="1" x14ac:dyDescent="0.45">
      <c r="A293" s="27">
        <v>46287</v>
      </c>
      <c r="B293" s="28">
        <f t="shared" si="149"/>
        <v>1</v>
      </c>
      <c r="C293" s="14">
        <v>0</v>
      </c>
      <c r="D293" s="15">
        <v>0</v>
      </c>
      <c r="E293" s="16">
        <f t="shared" si="147"/>
        <v>12500.03</v>
      </c>
      <c r="F293" s="2"/>
      <c r="G293" s="33">
        <f t="shared" si="156"/>
        <v>7.53</v>
      </c>
      <c r="H293" s="34">
        <v>0</v>
      </c>
      <c r="I293" s="16">
        <f t="shared" si="150"/>
        <v>105.42000000000002</v>
      </c>
      <c r="K293" s="14">
        <v>0</v>
      </c>
      <c r="L293" s="15">
        <v>0</v>
      </c>
      <c r="M293" s="16">
        <f t="shared" si="148"/>
        <v>0</v>
      </c>
      <c r="O293" s="33">
        <f t="shared" si="151"/>
        <v>0</v>
      </c>
      <c r="P293" s="34">
        <v>0</v>
      </c>
      <c r="Q293" s="16">
        <f t="shared" si="152"/>
        <v>0</v>
      </c>
      <c r="S293" s="33">
        <v>0</v>
      </c>
      <c r="T293" s="34">
        <v>0</v>
      </c>
      <c r="U293" s="16">
        <f t="shared" si="153"/>
        <v>0</v>
      </c>
      <c r="W293" s="14">
        <f t="shared" si="157"/>
        <v>0</v>
      </c>
      <c r="X293" s="15">
        <v>0</v>
      </c>
      <c r="Y293" s="16">
        <f t="shared" si="154"/>
        <v>0</v>
      </c>
      <c r="Z293" s="70"/>
      <c r="AA293" s="14">
        <f t="shared" si="140"/>
        <v>1.64</v>
      </c>
      <c r="AB293" s="15">
        <v>0</v>
      </c>
      <c r="AC293" s="16">
        <f t="shared" si="141"/>
        <v>22.960000000000004</v>
      </c>
      <c r="AD293" s="70"/>
      <c r="AF293" s="19">
        <v>62</v>
      </c>
      <c r="AG293" s="30">
        <f t="shared" si="142"/>
        <v>46287</v>
      </c>
      <c r="AH293" s="31">
        <f t="shared" si="143"/>
        <v>12500.03</v>
      </c>
      <c r="AI293" s="31">
        <f t="shared" si="144"/>
        <v>0</v>
      </c>
      <c r="AJ293" s="34">
        <f t="shared" si="145"/>
        <v>0</v>
      </c>
      <c r="AK293" s="31">
        <f t="shared" si="146"/>
        <v>0</v>
      </c>
      <c r="AL293" s="32">
        <f t="shared" si="155"/>
        <v>0</v>
      </c>
    </row>
    <row r="294" spans="1:38" hidden="1" outlineLevel="1" x14ac:dyDescent="0.45">
      <c r="A294" s="27">
        <v>46288</v>
      </c>
      <c r="B294" s="28">
        <f t="shared" si="149"/>
        <v>1</v>
      </c>
      <c r="C294" s="14">
        <v>0</v>
      </c>
      <c r="D294" s="15">
        <v>0</v>
      </c>
      <c r="E294" s="16">
        <f t="shared" si="147"/>
        <v>12500.03</v>
      </c>
      <c r="F294" s="2"/>
      <c r="G294" s="33">
        <f t="shared" si="156"/>
        <v>7.53</v>
      </c>
      <c r="H294" s="34">
        <v>0</v>
      </c>
      <c r="I294" s="16">
        <f t="shared" si="150"/>
        <v>112.95000000000002</v>
      </c>
      <c r="K294" s="14">
        <v>0</v>
      </c>
      <c r="L294" s="15">
        <v>0</v>
      </c>
      <c r="M294" s="16">
        <f t="shared" si="148"/>
        <v>0</v>
      </c>
      <c r="O294" s="33">
        <f t="shared" si="151"/>
        <v>0</v>
      </c>
      <c r="P294" s="34">
        <v>0</v>
      </c>
      <c r="Q294" s="16">
        <f t="shared" si="152"/>
        <v>0</v>
      </c>
      <c r="S294" s="33">
        <v>0</v>
      </c>
      <c r="T294" s="34">
        <v>0</v>
      </c>
      <c r="U294" s="16">
        <f t="shared" si="153"/>
        <v>0</v>
      </c>
      <c r="W294" s="14">
        <f t="shared" si="157"/>
        <v>0</v>
      </c>
      <c r="X294" s="15">
        <v>0</v>
      </c>
      <c r="Y294" s="16">
        <f t="shared" si="154"/>
        <v>0</v>
      </c>
      <c r="Z294" s="70"/>
      <c r="AA294" s="14">
        <f t="shared" si="140"/>
        <v>1.64</v>
      </c>
      <c r="AB294" s="15">
        <v>0</v>
      </c>
      <c r="AC294" s="16">
        <f t="shared" si="141"/>
        <v>24.600000000000005</v>
      </c>
      <c r="AD294" s="70"/>
      <c r="AF294" s="19">
        <v>63</v>
      </c>
      <c r="AG294" s="30">
        <f t="shared" si="142"/>
        <v>46288</v>
      </c>
      <c r="AH294" s="31">
        <f t="shared" si="143"/>
        <v>12500.03</v>
      </c>
      <c r="AI294" s="31">
        <f t="shared" si="144"/>
        <v>0</v>
      </c>
      <c r="AJ294" s="34">
        <f t="shared" si="145"/>
        <v>0</v>
      </c>
      <c r="AK294" s="31">
        <f t="shared" si="146"/>
        <v>0</v>
      </c>
      <c r="AL294" s="32">
        <f t="shared" si="155"/>
        <v>0</v>
      </c>
    </row>
    <row r="295" spans="1:38" hidden="1" outlineLevel="1" x14ac:dyDescent="0.45">
      <c r="A295" s="27">
        <v>46289</v>
      </c>
      <c r="B295" s="28">
        <f t="shared" si="149"/>
        <v>1</v>
      </c>
      <c r="C295" s="14">
        <v>0</v>
      </c>
      <c r="D295" s="15">
        <v>0</v>
      </c>
      <c r="E295" s="16">
        <f t="shared" si="147"/>
        <v>12500.03</v>
      </c>
      <c r="F295" s="2"/>
      <c r="G295" s="33">
        <f t="shared" si="156"/>
        <v>7.53</v>
      </c>
      <c r="H295" s="34">
        <v>0</v>
      </c>
      <c r="I295" s="16">
        <f t="shared" si="150"/>
        <v>120.48000000000002</v>
      </c>
      <c r="K295" s="14">
        <v>0</v>
      </c>
      <c r="L295" s="15">
        <v>0</v>
      </c>
      <c r="M295" s="16">
        <f t="shared" si="148"/>
        <v>0</v>
      </c>
      <c r="O295" s="33">
        <f t="shared" si="151"/>
        <v>0</v>
      </c>
      <c r="P295" s="34">
        <v>0</v>
      </c>
      <c r="Q295" s="16">
        <f t="shared" si="152"/>
        <v>0</v>
      </c>
      <c r="S295" s="33">
        <v>0</v>
      </c>
      <c r="T295" s="34">
        <v>0</v>
      </c>
      <c r="U295" s="16">
        <f t="shared" si="153"/>
        <v>0</v>
      </c>
      <c r="W295" s="14">
        <f t="shared" si="157"/>
        <v>0</v>
      </c>
      <c r="X295" s="15">
        <v>0</v>
      </c>
      <c r="Y295" s="16">
        <f t="shared" si="154"/>
        <v>0</v>
      </c>
      <c r="Z295" s="70"/>
      <c r="AA295" s="14">
        <f t="shared" si="140"/>
        <v>1.64</v>
      </c>
      <c r="AB295" s="15">
        <v>0</v>
      </c>
      <c r="AC295" s="16">
        <f t="shared" si="141"/>
        <v>26.240000000000006</v>
      </c>
      <c r="AD295" s="70"/>
      <c r="AF295" s="19">
        <v>64</v>
      </c>
      <c r="AG295" s="30">
        <f t="shared" si="142"/>
        <v>46289</v>
      </c>
      <c r="AH295" s="31">
        <f t="shared" si="143"/>
        <v>12500.03</v>
      </c>
      <c r="AI295" s="31">
        <f t="shared" si="144"/>
        <v>0</v>
      </c>
      <c r="AJ295" s="34">
        <f t="shared" si="145"/>
        <v>0</v>
      </c>
      <c r="AK295" s="31">
        <f t="shared" si="146"/>
        <v>0</v>
      </c>
      <c r="AL295" s="32">
        <f t="shared" si="155"/>
        <v>0</v>
      </c>
    </row>
    <row r="296" spans="1:38" hidden="1" outlineLevel="1" x14ac:dyDescent="0.45">
      <c r="A296" s="27">
        <v>46290</v>
      </c>
      <c r="B296" s="28">
        <f t="shared" si="149"/>
        <v>1</v>
      </c>
      <c r="C296" s="14">
        <v>0</v>
      </c>
      <c r="D296" s="15">
        <v>0</v>
      </c>
      <c r="E296" s="16">
        <f t="shared" si="147"/>
        <v>12500.03</v>
      </c>
      <c r="F296" s="2"/>
      <c r="G296" s="33">
        <f t="shared" si="156"/>
        <v>7.53</v>
      </c>
      <c r="H296" s="34">
        <v>0</v>
      </c>
      <c r="I296" s="16">
        <f t="shared" si="150"/>
        <v>128.01000000000002</v>
      </c>
      <c r="K296" s="14">
        <v>0</v>
      </c>
      <c r="L296" s="15">
        <v>0</v>
      </c>
      <c r="M296" s="16">
        <f t="shared" si="148"/>
        <v>0</v>
      </c>
      <c r="O296" s="33">
        <f t="shared" si="151"/>
        <v>0</v>
      </c>
      <c r="P296" s="34">
        <v>0</v>
      </c>
      <c r="Q296" s="16">
        <f t="shared" si="152"/>
        <v>0</v>
      </c>
      <c r="S296" s="33">
        <v>0</v>
      </c>
      <c r="T296" s="34">
        <v>0</v>
      </c>
      <c r="U296" s="16">
        <f t="shared" si="153"/>
        <v>0</v>
      </c>
      <c r="W296" s="14">
        <f t="shared" si="157"/>
        <v>0</v>
      </c>
      <c r="X296" s="15">
        <v>0</v>
      </c>
      <c r="Y296" s="16">
        <f t="shared" si="154"/>
        <v>0</v>
      </c>
      <c r="Z296" s="70"/>
      <c r="AA296" s="14">
        <f t="shared" si="140"/>
        <v>1.64</v>
      </c>
      <c r="AB296" s="15">
        <v>0</v>
      </c>
      <c r="AC296" s="16">
        <f t="shared" si="141"/>
        <v>27.880000000000006</v>
      </c>
      <c r="AD296" s="70"/>
      <c r="AF296" s="19">
        <v>65</v>
      </c>
      <c r="AG296" s="30">
        <f t="shared" si="142"/>
        <v>46290</v>
      </c>
      <c r="AH296" s="31">
        <f t="shared" si="143"/>
        <v>12500.03</v>
      </c>
      <c r="AI296" s="31">
        <f t="shared" si="144"/>
        <v>0</v>
      </c>
      <c r="AJ296" s="34">
        <f t="shared" si="145"/>
        <v>0</v>
      </c>
      <c r="AK296" s="31">
        <f t="shared" si="146"/>
        <v>0</v>
      </c>
      <c r="AL296" s="32">
        <f t="shared" si="155"/>
        <v>0</v>
      </c>
    </row>
    <row r="297" spans="1:38" hidden="1" outlineLevel="1" x14ac:dyDescent="0.45">
      <c r="A297" s="27">
        <v>46291</v>
      </c>
      <c r="B297" s="28">
        <f t="shared" si="149"/>
        <v>1</v>
      </c>
      <c r="C297" s="14">
        <v>0</v>
      </c>
      <c r="D297" s="15">
        <v>0</v>
      </c>
      <c r="E297" s="16">
        <f t="shared" si="147"/>
        <v>12500.03</v>
      </c>
      <c r="F297" s="2"/>
      <c r="G297" s="33">
        <f t="shared" si="156"/>
        <v>7.53</v>
      </c>
      <c r="H297" s="34">
        <v>0</v>
      </c>
      <c r="I297" s="16">
        <f t="shared" si="150"/>
        <v>135.54000000000002</v>
      </c>
      <c r="K297" s="14">
        <v>0</v>
      </c>
      <c r="L297" s="15">
        <v>0</v>
      </c>
      <c r="M297" s="16">
        <f t="shared" si="148"/>
        <v>0</v>
      </c>
      <c r="O297" s="33">
        <f t="shared" si="151"/>
        <v>0</v>
      </c>
      <c r="P297" s="34">
        <v>0</v>
      </c>
      <c r="Q297" s="16">
        <f t="shared" si="152"/>
        <v>0</v>
      </c>
      <c r="S297" s="33">
        <v>0</v>
      </c>
      <c r="T297" s="34">
        <v>0</v>
      </c>
      <c r="U297" s="16">
        <f t="shared" si="153"/>
        <v>0</v>
      </c>
      <c r="W297" s="14">
        <f t="shared" si="157"/>
        <v>0</v>
      </c>
      <c r="X297" s="15">
        <v>0</v>
      </c>
      <c r="Y297" s="16">
        <f t="shared" si="154"/>
        <v>0</v>
      </c>
      <c r="Z297" s="70"/>
      <c r="AA297" s="14">
        <f t="shared" si="140"/>
        <v>1.64</v>
      </c>
      <c r="AB297" s="15">
        <v>0</v>
      </c>
      <c r="AC297" s="16">
        <f t="shared" si="141"/>
        <v>29.520000000000007</v>
      </c>
      <c r="AD297" s="70"/>
      <c r="AF297" s="19">
        <v>66</v>
      </c>
      <c r="AG297" s="30">
        <f t="shared" si="142"/>
        <v>46291</v>
      </c>
      <c r="AH297" s="31">
        <f t="shared" si="143"/>
        <v>12500.03</v>
      </c>
      <c r="AI297" s="31">
        <f t="shared" si="144"/>
        <v>0</v>
      </c>
      <c r="AJ297" s="34">
        <f t="shared" si="145"/>
        <v>0</v>
      </c>
      <c r="AK297" s="31">
        <f t="shared" si="146"/>
        <v>0</v>
      </c>
      <c r="AL297" s="32">
        <f t="shared" si="155"/>
        <v>0</v>
      </c>
    </row>
    <row r="298" spans="1:38" hidden="1" outlineLevel="1" x14ac:dyDescent="0.45">
      <c r="A298" s="27">
        <v>46292</v>
      </c>
      <c r="B298" s="28">
        <f t="shared" si="149"/>
        <v>1</v>
      </c>
      <c r="C298" s="14">
        <v>0</v>
      </c>
      <c r="D298" s="15">
        <v>0</v>
      </c>
      <c r="E298" s="16">
        <f t="shared" si="147"/>
        <v>12500.03</v>
      </c>
      <c r="F298" s="2"/>
      <c r="G298" s="33">
        <f t="shared" si="156"/>
        <v>7.53</v>
      </c>
      <c r="H298" s="34">
        <v>0</v>
      </c>
      <c r="I298" s="16">
        <f t="shared" si="150"/>
        <v>143.07000000000002</v>
      </c>
      <c r="K298" s="14">
        <v>0</v>
      </c>
      <c r="L298" s="15">
        <v>0</v>
      </c>
      <c r="M298" s="16">
        <f t="shared" si="148"/>
        <v>0</v>
      </c>
      <c r="O298" s="33">
        <f t="shared" si="151"/>
        <v>0</v>
      </c>
      <c r="P298" s="34">
        <v>0</v>
      </c>
      <c r="Q298" s="16">
        <f t="shared" si="152"/>
        <v>0</v>
      </c>
      <c r="S298" s="33">
        <v>0</v>
      </c>
      <c r="T298" s="34">
        <v>0</v>
      </c>
      <c r="U298" s="16">
        <f t="shared" si="153"/>
        <v>0</v>
      </c>
      <c r="W298" s="14">
        <f t="shared" si="157"/>
        <v>0</v>
      </c>
      <c r="X298" s="15">
        <v>0</v>
      </c>
      <c r="Y298" s="16">
        <f t="shared" si="154"/>
        <v>0</v>
      </c>
      <c r="Z298" s="70"/>
      <c r="AA298" s="14">
        <f t="shared" si="140"/>
        <v>1.64</v>
      </c>
      <c r="AB298" s="15">
        <v>0</v>
      </c>
      <c r="AC298" s="16">
        <f t="shared" si="141"/>
        <v>31.160000000000007</v>
      </c>
      <c r="AD298" s="70"/>
      <c r="AF298" s="19">
        <v>67</v>
      </c>
      <c r="AG298" s="30">
        <f t="shared" si="142"/>
        <v>46292</v>
      </c>
      <c r="AH298" s="31">
        <f t="shared" si="143"/>
        <v>12500.03</v>
      </c>
      <c r="AI298" s="31">
        <f t="shared" si="144"/>
        <v>0</v>
      </c>
      <c r="AJ298" s="34">
        <f t="shared" si="145"/>
        <v>0</v>
      </c>
      <c r="AK298" s="31">
        <f t="shared" si="146"/>
        <v>0</v>
      </c>
      <c r="AL298" s="32">
        <f t="shared" si="155"/>
        <v>0</v>
      </c>
    </row>
    <row r="299" spans="1:38" hidden="1" outlineLevel="1" x14ac:dyDescent="0.45">
      <c r="A299" s="27">
        <v>46293</v>
      </c>
      <c r="B299" s="28">
        <f t="shared" si="149"/>
        <v>1</v>
      </c>
      <c r="C299" s="14">
        <v>0</v>
      </c>
      <c r="D299" s="15">
        <v>0</v>
      </c>
      <c r="E299" s="16">
        <f t="shared" si="147"/>
        <v>12500.03</v>
      </c>
      <c r="F299" s="2"/>
      <c r="G299" s="33">
        <f t="shared" si="156"/>
        <v>7.53</v>
      </c>
      <c r="H299" s="34">
        <v>0</v>
      </c>
      <c r="I299" s="16">
        <f t="shared" si="150"/>
        <v>150.60000000000002</v>
      </c>
      <c r="K299" s="14">
        <v>0</v>
      </c>
      <c r="L299" s="15">
        <v>0</v>
      </c>
      <c r="M299" s="16">
        <f t="shared" si="148"/>
        <v>0</v>
      </c>
      <c r="O299" s="33">
        <f t="shared" si="151"/>
        <v>0</v>
      </c>
      <c r="P299" s="34">
        <v>0</v>
      </c>
      <c r="Q299" s="16">
        <f t="shared" si="152"/>
        <v>0</v>
      </c>
      <c r="S299" s="33">
        <v>0</v>
      </c>
      <c r="T299" s="34">
        <v>0</v>
      </c>
      <c r="U299" s="16">
        <f t="shared" si="153"/>
        <v>0</v>
      </c>
      <c r="W299" s="14">
        <f t="shared" si="157"/>
        <v>0</v>
      </c>
      <c r="X299" s="15">
        <v>0</v>
      </c>
      <c r="Y299" s="16">
        <f t="shared" si="154"/>
        <v>0</v>
      </c>
      <c r="Z299" s="70"/>
      <c r="AA299" s="14">
        <f t="shared" si="140"/>
        <v>1.64</v>
      </c>
      <c r="AB299" s="15">
        <v>0</v>
      </c>
      <c r="AC299" s="16">
        <f t="shared" si="141"/>
        <v>32.800000000000004</v>
      </c>
      <c r="AD299" s="70"/>
      <c r="AF299" s="19">
        <v>68</v>
      </c>
      <c r="AG299" s="30">
        <f t="shared" si="142"/>
        <v>46293</v>
      </c>
      <c r="AH299" s="31">
        <f t="shared" si="143"/>
        <v>12500.03</v>
      </c>
      <c r="AI299" s="31">
        <f t="shared" si="144"/>
        <v>0</v>
      </c>
      <c r="AJ299" s="34">
        <f t="shared" si="145"/>
        <v>0</v>
      </c>
      <c r="AK299" s="31">
        <f t="shared" si="146"/>
        <v>0</v>
      </c>
      <c r="AL299" s="32">
        <f t="shared" si="155"/>
        <v>0</v>
      </c>
    </row>
    <row r="300" spans="1:38" hidden="1" outlineLevel="1" x14ac:dyDescent="0.45">
      <c r="A300" s="27">
        <v>46294</v>
      </c>
      <c r="B300" s="28">
        <f t="shared" si="149"/>
        <v>1</v>
      </c>
      <c r="C300" s="14">
        <v>0</v>
      </c>
      <c r="D300" s="15">
        <v>0</v>
      </c>
      <c r="E300" s="16">
        <f t="shared" si="147"/>
        <v>12500.03</v>
      </c>
      <c r="F300" s="2"/>
      <c r="G300" s="33">
        <f t="shared" si="156"/>
        <v>7.53</v>
      </c>
      <c r="H300" s="34">
        <v>0</v>
      </c>
      <c r="I300" s="16">
        <f t="shared" si="150"/>
        <v>158.13000000000002</v>
      </c>
      <c r="K300" s="14">
        <v>0</v>
      </c>
      <c r="L300" s="15">
        <v>0</v>
      </c>
      <c r="M300" s="16">
        <f t="shared" si="148"/>
        <v>0</v>
      </c>
      <c r="O300" s="33">
        <f t="shared" si="151"/>
        <v>0</v>
      </c>
      <c r="P300" s="34">
        <v>0</v>
      </c>
      <c r="Q300" s="16">
        <f t="shared" si="152"/>
        <v>0</v>
      </c>
      <c r="S300" s="33">
        <v>0</v>
      </c>
      <c r="T300" s="34">
        <v>0</v>
      </c>
      <c r="U300" s="16">
        <f t="shared" si="153"/>
        <v>0</v>
      </c>
      <c r="W300" s="14">
        <f t="shared" si="157"/>
        <v>0</v>
      </c>
      <c r="X300" s="15">
        <v>0</v>
      </c>
      <c r="Y300" s="16">
        <f t="shared" si="154"/>
        <v>0</v>
      </c>
      <c r="Z300" s="70"/>
      <c r="AA300" s="14">
        <f t="shared" si="140"/>
        <v>1.64</v>
      </c>
      <c r="AB300" s="15">
        <v>0</v>
      </c>
      <c r="AC300" s="16">
        <f t="shared" si="141"/>
        <v>34.440000000000005</v>
      </c>
      <c r="AD300" s="70"/>
      <c r="AF300" s="19">
        <v>69</v>
      </c>
      <c r="AG300" s="30">
        <f t="shared" si="142"/>
        <v>46294</v>
      </c>
      <c r="AH300" s="31">
        <f t="shared" si="143"/>
        <v>12500.03</v>
      </c>
      <c r="AI300" s="31">
        <f t="shared" si="144"/>
        <v>0</v>
      </c>
      <c r="AJ300" s="34">
        <f t="shared" si="145"/>
        <v>0</v>
      </c>
      <c r="AK300" s="31">
        <f t="shared" si="146"/>
        <v>0</v>
      </c>
      <c r="AL300" s="32">
        <f t="shared" si="155"/>
        <v>0</v>
      </c>
    </row>
    <row r="301" spans="1:38" hidden="1" outlineLevel="1" x14ac:dyDescent="0.45">
      <c r="A301" s="27">
        <v>46295</v>
      </c>
      <c r="B301" s="28">
        <f t="shared" si="149"/>
        <v>1</v>
      </c>
      <c r="C301" s="14">
        <v>0</v>
      </c>
      <c r="D301" s="15">
        <v>0</v>
      </c>
      <c r="E301" s="16">
        <f t="shared" si="147"/>
        <v>12500.03</v>
      </c>
      <c r="F301" s="2"/>
      <c r="G301" s="33">
        <f t="shared" si="156"/>
        <v>7.53</v>
      </c>
      <c r="H301" s="34">
        <v>0</v>
      </c>
      <c r="I301" s="16">
        <f t="shared" si="150"/>
        <v>165.66000000000003</v>
      </c>
      <c r="K301" s="14">
        <v>0</v>
      </c>
      <c r="L301" s="15">
        <v>0</v>
      </c>
      <c r="M301" s="16">
        <f t="shared" si="148"/>
        <v>0</v>
      </c>
      <c r="O301" s="33">
        <f t="shared" si="151"/>
        <v>0</v>
      </c>
      <c r="P301" s="34">
        <v>0</v>
      </c>
      <c r="Q301" s="16">
        <f t="shared" si="152"/>
        <v>0</v>
      </c>
      <c r="S301" s="33">
        <v>0</v>
      </c>
      <c r="T301" s="34">
        <v>0</v>
      </c>
      <c r="U301" s="16">
        <f t="shared" si="153"/>
        <v>0</v>
      </c>
      <c r="W301" s="14">
        <f t="shared" si="157"/>
        <v>0</v>
      </c>
      <c r="X301" s="15">
        <v>0</v>
      </c>
      <c r="Y301" s="16">
        <f t="shared" si="154"/>
        <v>0</v>
      </c>
      <c r="Z301" s="70"/>
      <c r="AA301" s="14">
        <f t="shared" si="140"/>
        <v>1.64</v>
      </c>
      <c r="AB301" s="15">
        <v>0</v>
      </c>
      <c r="AC301" s="16">
        <f t="shared" si="141"/>
        <v>36.080000000000005</v>
      </c>
      <c r="AD301" s="70"/>
      <c r="AF301" s="19">
        <v>70</v>
      </c>
      <c r="AG301" s="30">
        <f t="shared" si="142"/>
        <v>46295</v>
      </c>
      <c r="AH301" s="31">
        <f t="shared" si="143"/>
        <v>12500.03</v>
      </c>
      <c r="AI301" s="31">
        <f t="shared" si="144"/>
        <v>0</v>
      </c>
      <c r="AJ301" s="34">
        <f t="shared" si="145"/>
        <v>0</v>
      </c>
      <c r="AK301" s="31">
        <f t="shared" si="146"/>
        <v>0</v>
      </c>
      <c r="AL301" s="32">
        <f t="shared" si="155"/>
        <v>0</v>
      </c>
    </row>
    <row r="302" spans="1:38" hidden="1" outlineLevel="1" x14ac:dyDescent="0.45">
      <c r="A302" s="27">
        <v>46296</v>
      </c>
      <c r="B302" s="28">
        <f t="shared" si="149"/>
        <v>1</v>
      </c>
      <c r="C302" s="14">
        <v>0</v>
      </c>
      <c r="D302" s="15">
        <v>0</v>
      </c>
      <c r="E302" s="16">
        <f t="shared" si="147"/>
        <v>12500.03</v>
      </c>
      <c r="F302" s="2"/>
      <c r="G302" s="33">
        <f t="shared" si="156"/>
        <v>7.53</v>
      </c>
      <c r="H302" s="34">
        <v>0</v>
      </c>
      <c r="I302" s="16">
        <f t="shared" si="150"/>
        <v>173.19000000000003</v>
      </c>
      <c r="K302" s="14">
        <v>0</v>
      </c>
      <c r="L302" s="15">
        <v>0</v>
      </c>
      <c r="M302" s="16">
        <f t="shared" si="148"/>
        <v>0</v>
      </c>
      <c r="O302" s="33">
        <f t="shared" si="151"/>
        <v>0</v>
      </c>
      <c r="P302" s="34">
        <v>0</v>
      </c>
      <c r="Q302" s="16">
        <f t="shared" si="152"/>
        <v>0</v>
      </c>
      <c r="S302" s="33">
        <v>0</v>
      </c>
      <c r="T302" s="34">
        <v>0</v>
      </c>
      <c r="U302" s="16">
        <f t="shared" si="153"/>
        <v>0</v>
      </c>
      <c r="W302" s="14">
        <f t="shared" si="157"/>
        <v>0</v>
      </c>
      <c r="X302" s="15">
        <v>0</v>
      </c>
      <c r="Y302" s="16">
        <f t="shared" si="154"/>
        <v>0</v>
      </c>
      <c r="Z302" s="70"/>
      <c r="AA302" s="14">
        <f t="shared" si="140"/>
        <v>1.64</v>
      </c>
      <c r="AB302" s="15">
        <v>0</v>
      </c>
      <c r="AC302" s="16">
        <f t="shared" si="141"/>
        <v>37.720000000000006</v>
      </c>
      <c r="AD302" s="70"/>
      <c r="AF302" s="19">
        <v>71</v>
      </c>
      <c r="AG302" s="30">
        <f t="shared" si="142"/>
        <v>46296</v>
      </c>
      <c r="AH302" s="31">
        <f t="shared" si="143"/>
        <v>12500.03</v>
      </c>
      <c r="AI302" s="31">
        <f t="shared" si="144"/>
        <v>0</v>
      </c>
      <c r="AJ302" s="34">
        <f t="shared" si="145"/>
        <v>0</v>
      </c>
      <c r="AK302" s="31">
        <f t="shared" si="146"/>
        <v>0</v>
      </c>
      <c r="AL302" s="32">
        <f t="shared" si="155"/>
        <v>0</v>
      </c>
    </row>
    <row r="303" spans="1:38" hidden="1" outlineLevel="1" x14ac:dyDescent="0.45">
      <c r="A303" s="27">
        <v>46297</v>
      </c>
      <c r="B303" s="28">
        <f t="shared" si="149"/>
        <v>1</v>
      </c>
      <c r="C303" s="14">
        <v>0</v>
      </c>
      <c r="D303" s="15">
        <v>0</v>
      </c>
      <c r="E303" s="16">
        <f t="shared" si="147"/>
        <v>12500.03</v>
      </c>
      <c r="F303" s="2"/>
      <c r="G303" s="33">
        <f t="shared" si="156"/>
        <v>7.53</v>
      </c>
      <c r="H303" s="34">
        <v>0</v>
      </c>
      <c r="I303" s="16">
        <f t="shared" si="150"/>
        <v>180.72000000000003</v>
      </c>
      <c r="K303" s="14">
        <v>0</v>
      </c>
      <c r="L303" s="15">
        <v>0</v>
      </c>
      <c r="M303" s="16">
        <f t="shared" si="148"/>
        <v>0</v>
      </c>
      <c r="O303" s="33">
        <f t="shared" si="151"/>
        <v>0</v>
      </c>
      <c r="P303" s="34">
        <v>0</v>
      </c>
      <c r="Q303" s="16">
        <f t="shared" si="152"/>
        <v>0</v>
      </c>
      <c r="S303" s="33">
        <v>0</v>
      </c>
      <c r="T303" s="34">
        <v>0</v>
      </c>
      <c r="U303" s="16">
        <f t="shared" si="153"/>
        <v>0</v>
      </c>
      <c r="W303" s="14">
        <f t="shared" si="157"/>
        <v>0</v>
      </c>
      <c r="X303" s="15">
        <v>0</v>
      </c>
      <c r="Y303" s="16">
        <f t="shared" si="154"/>
        <v>0</v>
      </c>
      <c r="Z303" s="70"/>
      <c r="AA303" s="14">
        <f t="shared" si="140"/>
        <v>1.64</v>
      </c>
      <c r="AB303" s="15">
        <v>0</v>
      </c>
      <c r="AC303" s="16">
        <f t="shared" si="141"/>
        <v>39.360000000000007</v>
      </c>
      <c r="AD303" s="70"/>
      <c r="AF303" s="19">
        <v>72</v>
      </c>
      <c r="AG303" s="30">
        <f t="shared" si="142"/>
        <v>46297</v>
      </c>
      <c r="AH303" s="31">
        <f t="shared" si="143"/>
        <v>12500.03</v>
      </c>
      <c r="AI303" s="31">
        <f t="shared" si="144"/>
        <v>0</v>
      </c>
      <c r="AJ303" s="34">
        <f t="shared" si="145"/>
        <v>0</v>
      </c>
      <c r="AK303" s="31">
        <f t="shared" si="146"/>
        <v>0</v>
      </c>
      <c r="AL303" s="32">
        <f t="shared" si="155"/>
        <v>0</v>
      </c>
    </row>
    <row r="304" spans="1:38" hidden="1" outlineLevel="1" x14ac:dyDescent="0.45">
      <c r="A304" s="27">
        <v>46298</v>
      </c>
      <c r="B304" s="28">
        <f t="shared" si="149"/>
        <v>1</v>
      </c>
      <c r="C304" s="14">
        <v>0</v>
      </c>
      <c r="D304" s="15">
        <v>0</v>
      </c>
      <c r="E304" s="16">
        <f t="shared" si="147"/>
        <v>12500.03</v>
      </c>
      <c r="F304" s="2"/>
      <c r="G304" s="33">
        <f t="shared" si="156"/>
        <v>7.53</v>
      </c>
      <c r="H304" s="34">
        <v>0</v>
      </c>
      <c r="I304" s="16">
        <f t="shared" si="150"/>
        <v>188.25000000000003</v>
      </c>
      <c r="K304" s="14">
        <v>0</v>
      </c>
      <c r="L304" s="15">
        <v>0</v>
      </c>
      <c r="M304" s="16">
        <f t="shared" si="148"/>
        <v>0</v>
      </c>
      <c r="O304" s="33">
        <f t="shared" si="151"/>
        <v>0</v>
      </c>
      <c r="P304" s="34">
        <v>0</v>
      </c>
      <c r="Q304" s="16">
        <f t="shared" si="152"/>
        <v>0</v>
      </c>
      <c r="S304" s="33">
        <v>0</v>
      </c>
      <c r="T304" s="34">
        <v>0</v>
      </c>
      <c r="U304" s="16">
        <f t="shared" si="153"/>
        <v>0</v>
      </c>
      <c r="W304" s="14">
        <f t="shared" si="157"/>
        <v>0</v>
      </c>
      <c r="X304" s="15">
        <v>0</v>
      </c>
      <c r="Y304" s="16">
        <f t="shared" si="154"/>
        <v>0</v>
      </c>
      <c r="Z304" s="70"/>
      <c r="AA304" s="14">
        <f t="shared" si="140"/>
        <v>1.64</v>
      </c>
      <c r="AB304" s="15">
        <v>0</v>
      </c>
      <c r="AC304" s="16">
        <f t="shared" si="141"/>
        <v>41.000000000000007</v>
      </c>
      <c r="AD304" s="70"/>
      <c r="AF304" s="19">
        <v>73</v>
      </c>
      <c r="AG304" s="30">
        <f t="shared" si="142"/>
        <v>46298</v>
      </c>
      <c r="AH304" s="31">
        <f t="shared" si="143"/>
        <v>12500.03</v>
      </c>
      <c r="AI304" s="31">
        <f t="shared" si="144"/>
        <v>0</v>
      </c>
      <c r="AJ304" s="34">
        <f t="shared" si="145"/>
        <v>0</v>
      </c>
      <c r="AK304" s="31">
        <f t="shared" si="146"/>
        <v>0</v>
      </c>
      <c r="AL304" s="32">
        <f t="shared" si="155"/>
        <v>0</v>
      </c>
    </row>
    <row r="305" spans="1:44" hidden="1" outlineLevel="1" x14ac:dyDescent="0.45">
      <c r="A305" s="27">
        <v>46299</v>
      </c>
      <c r="B305" s="28">
        <f t="shared" si="149"/>
        <v>1</v>
      </c>
      <c r="C305" s="14">
        <v>0</v>
      </c>
      <c r="D305" s="15">
        <v>0</v>
      </c>
      <c r="E305" s="16">
        <f t="shared" si="147"/>
        <v>12500.03</v>
      </c>
      <c r="F305" s="2"/>
      <c r="G305" s="33">
        <f t="shared" si="156"/>
        <v>7.53</v>
      </c>
      <c r="H305" s="34">
        <v>0</v>
      </c>
      <c r="I305" s="16">
        <f t="shared" si="150"/>
        <v>195.78000000000003</v>
      </c>
      <c r="K305" s="14">
        <v>0</v>
      </c>
      <c r="L305" s="15">
        <v>0</v>
      </c>
      <c r="M305" s="16">
        <f t="shared" si="148"/>
        <v>0</v>
      </c>
      <c r="O305" s="33">
        <f t="shared" si="151"/>
        <v>0</v>
      </c>
      <c r="P305" s="34">
        <v>0</v>
      </c>
      <c r="Q305" s="16">
        <f t="shared" si="152"/>
        <v>0</v>
      </c>
      <c r="S305" s="33">
        <v>0</v>
      </c>
      <c r="T305" s="34">
        <v>0</v>
      </c>
      <c r="U305" s="16">
        <f t="shared" si="153"/>
        <v>0</v>
      </c>
      <c r="W305" s="14">
        <f t="shared" si="157"/>
        <v>0</v>
      </c>
      <c r="X305" s="15">
        <v>0</v>
      </c>
      <c r="Y305" s="16">
        <f t="shared" si="154"/>
        <v>0</v>
      </c>
      <c r="Z305" s="70"/>
      <c r="AA305" s="14">
        <f t="shared" si="140"/>
        <v>1.64</v>
      </c>
      <c r="AB305" s="15">
        <v>0</v>
      </c>
      <c r="AC305" s="16">
        <f t="shared" si="141"/>
        <v>42.640000000000008</v>
      </c>
      <c r="AD305" s="70"/>
      <c r="AF305" s="19">
        <v>74</v>
      </c>
      <c r="AG305" s="30">
        <f t="shared" si="142"/>
        <v>46299</v>
      </c>
      <c r="AH305" s="31">
        <f t="shared" si="143"/>
        <v>12500.03</v>
      </c>
      <c r="AI305" s="31">
        <f t="shared" si="144"/>
        <v>0</v>
      </c>
      <c r="AJ305" s="34">
        <f t="shared" si="145"/>
        <v>0</v>
      </c>
      <c r="AK305" s="31">
        <f t="shared" si="146"/>
        <v>0</v>
      </c>
      <c r="AL305" s="32">
        <f t="shared" si="155"/>
        <v>0</v>
      </c>
    </row>
    <row r="306" spans="1:44" hidden="1" outlineLevel="1" x14ac:dyDescent="0.45">
      <c r="A306" s="27">
        <v>46300</v>
      </c>
      <c r="B306" s="28">
        <f t="shared" si="149"/>
        <v>1</v>
      </c>
      <c r="C306" s="14">
        <v>0</v>
      </c>
      <c r="D306" s="15">
        <v>0</v>
      </c>
      <c r="E306" s="16">
        <f t="shared" si="147"/>
        <v>12500.03</v>
      </c>
      <c r="F306" s="2"/>
      <c r="G306" s="33">
        <f t="shared" si="156"/>
        <v>7.53</v>
      </c>
      <c r="H306" s="34">
        <v>0</v>
      </c>
      <c r="I306" s="16">
        <f t="shared" si="150"/>
        <v>203.31000000000003</v>
      </c>
      <c r="K306" s="14">
        <v>0</v>
      </c>
      <c r="L306" s="15">
        <v>0</v>
      </c>
      <c r="M306" s="16">
        <f t="shared" si="148"/>
        <v>0</v>
      </c>
      <c r="O306" s="33">
        <f t="shared" si="151"/>
        <v>0</v>
      </c>
      <c r="P306" s="34">
        <v>0</v>
      </c>
      <c r="Q306" s="16">
        <f t="shared" si="152"/>
        <v>0</v>
      </c>
      <c r="S306" s="33">
        <v>0</v>
      </c>
      <c r="T306" s="34">
        <v>0</v>
      </c>
      <c r="U306" s="16">
        <f t="shared" si="153"/>
        <v>0</v>
      </c>
      <c r="W306" s="14">
        <f t="shared" si="157"/>
        <v>0</v>
      </c>
      <c r="X306" s="15">
        <v>0</v>
      </c>
      <c r="Y306" s="16">
        <f t="shared" si="154"/>
        <v>0</v>
      </c>
      <c r="Z306" s="70"/>
      <c r="AA306" s="14">
        <f t="shared" si="140"/>
        <v>1.64</v>
      </c>
      <c r="AB306" s="15">
        <v>0</v>
      </c>
      <c r="AC306" s="16">
        <f t="shared" si="141"/>
        <v>44.280000000000008</v>
      </c>
      <c r="AD306" s="70"/>
      <c r="AF306" s="19">
        <v>75</v>
      </c>
      <c r="AG306" s="30">
        <f t="shared" si="142"/>
        <v>46300</v>
      </c>
      <c r="AH306" s="31">
        <f t="shared" si="143"/>
        <v>12500.03</v>
      </c>
      <c r="AI306" s="31">
        <f t="shared" si="144"/>
        <v>0</v>
      </c>
      <c r="AJ306" s="34">
        <f t="shared" si="145"/>
        <v>0</v>
      </c>
      <c r="AK306" s="31">
        <f t="shared" si="146"/>
        <v>0</v>
      </c>
      <c r="AL306" s="32">
        <f t="shared" si="155"/>
        <v>0</v>
      </c>
    </row>
    <row r="307" spans="1:44" hidden="1" outlineLevel="1" x14ac:dyDescent="0.45">
      <c r="A307" s="27">
        <v>46301</v>
      </c>
      <c r="B307" s="28">
        <f t="shared" si="149"/>
        <v>1</v>
      </c>
      <c r="C307" s="14">
        <v>0</v>
      </c>
      <c r="D307" s="15">
        <v>0</v>
      </c>
      <c r="E307" s="16">
        <f t="shared" si="147"/>
        <v>12500.03</v>
      </c>
      <c r="F307" s="2"/>
      <c r="G307" s="33">
        <f t="shared" si="156"/>
        <v>7.53</v>
      </c>
      <c r="H307" s="34">
        <v>0</v>
      </c>
      <c r="I307" s="16">
        <f t="shared" si="150"/>
        <v>210.84000000000003</v>
      </c>
      <c r="K307" s="14">
        <v>0</v>
      </c>
      <c r="L307" s="15">
        <v>0</v>
      </c>
      <c r="M307" s="16">
        <f t="shared" si="148"/>
        <v>0</v>
      </c>
      <c r="O307" s="33">
        <f t="shared" si="151"/>
        <v>0</v>
      </c>
      <c r="P307" s="34">
        <v>0</v>
      </c>
      <c r="Q307" s="16">
        <f t="shared" si="152"/>
        <v>0</v>
      </c>
      <c r="S307" s="33">
        <v>0</v>
      </c>
      <c r="T307" s="34">
        <v>0</v>
      </c>
      <c r="U307" s="16">
        <f t="shared" si="153"/>
        <v>0</v>
      </c>
      <c r="W307" s="14">
        <f t="shared" si="157"/>
        <v>0</v>
      </c>
      <c r="X307" s="15">
        <v>0</v>
      </c>
      <c r="Y307" s="16">
        <f t="shared" si="154"/>
        <v>0</v>
      </c>
      <c r="Z307" s="70"/>
      <c r="AA307" s="14">
        <f t="shared" si="140"/>
        <v>1.64</v>
      </c>
      <c r="AB307" s="15">
        <v>0</v>
      </c>
      <c r="AC307" s="16">
        <f t="shared" si="141"/>
        <v>45.920000000000009</v>
      </c>
      <c r="AD307" s="70"/>
      <c r="AF307" s="19">
        <v>76</v>
      </c>
      <c r="AG307" s="30">
        <f t="shared" si="142"/>
        <v>46301</v>
      </c>
      <c r="AH307" s="31">
        <f t="shared" si="143"/>
        <v>12500.03</v>
      </c>
      <c r="AI307" s="31">
        <f t="shared" si="144"/>
        <v>0</v>
      </c>
      <c r="AJ307" s="34">
        <f t="shared" si="145"/>
        <v>0</v>
      </c>
      <c r="AK307" s="31">
        <f t="shared" si="146"/>
        <v>0</v>
      </c>
      <c r="AL307" s="32">
        <f t="shared" si="155"/>
        <v>0</v>
      </c>
    </row>
    <row r="308" spans="1:44" hidden="1" outlineLevel="1" x14ac:dyDescent="0.45">
      <c r="A308" s="27">
        <v>46302</v>
      </c>
      <c r="B308" s="28">
        <f t="shared" si="149"/>
        <v>1</v>
      </c>
      <c r="C308" s="14">
        <v>0</v>
      </c>
      <c r="D308" s="15">
        <v>0</v>
      </c>
      <c r="E308" s="16">
        <f t="shared" si="147"/>
        <v>12500.03</v>
      </c>
      <c r="F308" s="2"/>
      <c r="G308" s="33">
        <f t="shared" si="156"/>
        <v>7.53</v>
      </c>
      <c r="H308" s="34">
        <v>0</v>
      </c>
      <c r="I308" s="16">
        <f t="shared" si="150"/>
        <v>218.37000000000003</v>
      </c>
      <c r="K308" s="14">
        <v>0</v>
      </c>
      <c r="L308" s="15">
        <v>0</v>
      </c>
      <c r="M308" s="16">
        <f t="shared" si="148"/>
        <v>0</v>
      </c>
      <c r="O308" s="33">
        <f t="shared" si="151"/>
        <v>0</v>
      </c>
      <c r="P308" s="34">
        <v>0</v>
      </c>
      <c r="Q308" s="16">
        <f t="shared" si="152"/>
        <v>0</v>
      </c>
      <c r="S308" s="33">
        <v>0</v>
      </c>
      <c r="T308" s="34">
        <v>0</v>
      </c>
      <c r="U308" s="16">
        <f t="shared" si="153"/>
        <v>0</v>
      </c>
      <c r="W308" s="14">
        <f t="shared" si="157"/>
        <v>0</v>
      </c>
      <c r="X308" s="15">
        <v>0</v>
      </c>
      <c r="Y308" s="16">
        <f t="shared" si="154"/>
        <v>0</v>
      </c>
      <c r="Z308" s="70"/>
      <c r="AA308" s="14">
        <f t="shared" si="140"/>
        <v>1.64</v>
      </c>
      <c r="AB308" s="15">
        <v>0</v>
      </c>
      <c r="AC308" s="16">
        <f t="shared" si="141"/>
        <v>47.560000000000009</v>
      </c>
      <c r="AD308" s="70"/>
      <c r="AF308" s="19">
        <v>77</v>
      </c>
      <c r="AG308" s="30">
        <f t="shared" si="142"/>
        <v>46302</v>
      </c>
      <c r="AH308" s="31">
        <f t="shared" si="143"/>
        <v>12500.03</v>
      </c>
      <c r="AI308" s="31">
        <f t="shared" si="144"/>
        <v>0</v>
      </c>
      <c r="AJ308" s="34">
        <f t="shared" si="145"/>
        <v>0</v>
      </c>
      <c r="AK308" s="31">
        <f t="shared" si="146"/>
        <v>0</v>
      </c>
      <c r="AL308" s="32">
        <f t="shared" si="155"/>
        <v>0</v>
      </c>
    </row>
    <row r="309" spans="1:44" hidden="1" outlineLevel="1" x14ac:dyDescent="0.45">
      <c r="A309" s="27">
        <v>46303</v>
      </c>
      <c r="B309" s="28">
        <f t="shared" si="149"/>
        <v>1</v>
      </c>
      <c r="C309" s="14">
        <v>0</v>
      </c>
      <c r="D309" s="15">
        <v>0</v>
      </c>
      <c r="E309" s="16">
        <f t="shared" si="147"/>
        <v>12500.03</v>
      </c>
      <c r="F309" s="2"/>
      <c r="G309" s="33">
        <f t="shared" si="156"/>
        <v>7.53</v>
      </c>
      <c r="H309" s="34">
        <v>0</v>
      </c>
      <c r="I309" s="16">
        <f t="shared" si="150"/>
        <v>225.90000000000003</v>
      </c>
      <c r="K309" s="14">
        <v>0</v>
      </c>
      <c r="L309" s="15">
        <v>0</v>
      </c>
      <c r="M309" s="16">
        <f t="shared" si="148"/>
        <v>0</v>
      </c>
      <c r="O309" s="33">
        <f t="shared" si="151"/>
        <v>0</v>
      </c>
      <c r="P309" s="34">
        <v>0</v>
      </c>
      <c r="Q309" s="16">
        <f t="shared" si="152"/>
        <v>0</v>
      </c>
      <c r="S309" s="33">
        <v>0</v>
      </c>
      <c r="T309" s="34">
        <v>0</v>
      </c>
      <c r="U309" s="16">
        <f t="shared" si="153"/>
        <v>0</v>
      </c>
      <c r="W309" s="14">
        <f t="shared" si="157"/>
        <v>0</v>
      </c>
      <c r="X309" s="15">
        <v>0</v>
      </c>
      <c r="Y309" s="16">
        <f t="shared" si="154"/>
        <v>0</v>
      </c>
      <c r="Z309" s="70"/>
      <c r="AA309" s="14">
        <f t="shared" si="140"/>
        <v>1.64</v>
      </c>
      <c r="AB309" s="15">
        <v>0</v>
      </c>
      <c r="AC309" s="16">
        <f t="shared" si="141"/>
        <v>49.20000000000001</v>
      </c>
      <c r="AD309" s="70"/>
      <c r="AF309" s="19">
        <v>78</v>
      </c>
      <c r="AG309" s="30">
        <f t="shared" si="142"/>
        <v>46303</v>
      </c>
      <c r="AH309" s="31">
        <f t="shared" si="143"/>
        <v>12500.03</v>
      </c>
      <c r="AI309" s="31">
        <f t="shared" si="144"/>
        <v>0</v>
      </c>
      <c r="AJ309" s="34">
        <f t="shared" si="145"/>
        <v>0</v>
      </c>
      <c r="AK309" s="31">
        <f t="shared" si="146"/>
        <v>0</v>
      </c>
      <c r="AL309" s="32">
        <f t="shared" si="155"/>
        <v>0</v>
      </c>
    </row>
    <row r="310" spans="1:44" hidden="1" outlineLevel="1" x14ac:dyDescent="0.45">
      <c r="A310" s="27">
        <v>46304</v>
      </c>
      <c r="B310" s="28">
        <f t="shared" si="149"/>
        <v>1</v>
      </c>
      <c r="C310" s="14">
        <v>0</v>
      </c>
      <c r="D310" s="15">
        <v>0</v>
      </c>
      <c r="E310" s="16">
        <f t="shared" si="147"/>
        <v>12500.03</v>
      </c>
      <c r="F310" s="2"/>
      <c r="G310" s="33">
        <f t="shared" si="156"/>
        <v>7.53</v>
      </c>
      <c r="H310" s="34">
        <v>0</v>
      </c>
      <c r="I310" s="16">
        <f t="shared" si="150"/>
        <v>233.43000000000004</v>
      </c>
      <c r="K310" s="14">
        <v>0</v>
      </c>
      <c r="L310" s="15">
        <v>0</v>
      </c>
      <c r="M310" s="16">
        <f t="shared" si="148"/>
        <v>0</v>
      </c>
      <c r="O310" s="33">
        <f t="shared" si="151"/>
        <v>0</v>
      </c>
      <c r="P310" s="34">
        <v>0</v>
      </c>
      <c r="Q310" s="16">
        <f t="shared" si="152"/>
        <v>0</v>
      </c>
      <c r="S310" s="33">
        <v>0</v>
      </c>
      <c r="T310" s="34">
        <v>0</v>
      </c>
      <c r="U310" s="16">
        <f t="shared" si="153"/>
        <v>0</v>
      </c>
      <c r="W310" s="14">
        <f t="shared" si="157"/>
        <v>0</v>
      </c>
      <c r="X310" s="15">
        <v>0</v>
      </c>
      <c r="Y310" s="16">
        <f t="shared" si="154"/>
        <v>0</v>
      </c>
      <c r="Z310" s="70"/>
      <c r="AA310" s="14">
        <f t="shared" si="140"/>
        <v>1.64</v>
      </c>
      <c r="AB310" s="15">
        <v>0</v>
      </c>
      <c r="AC310" s="16">
        <f t="shared" si="141"/>
        <v>50.840000000000011</v>
      </c>
      <c r="AD310" s="70"/>
      <c r="AF310" s="19">
        <v>79</v>
      </c>
      <c r="AG310" s="30">
        <f t="shared" si="142"/>
        <v>46304</v>
      </c>
      <c r="AH310" s="31">
        <f t="shared" si="143"/>
        <v>12500.03</v>
      </c>
      <c r="AI310" s="31">
        <f t="shared" si="144"/>
        <v>0</v>
      </c>
      <c r="AJ310" s="34">
        <f t="shared" si="145"/>
        <v>0</v>
      </c>
      <c r="AK310" s="31">
        <f t="shared" si="146"/>
        <v>0</v>
      </c>
      <c r="AL310" s="32">
        <f t="shared" si="155"/>
        <v>0</v>
      </c>
    </row>
    <row r="311" spans="1:44" s="39" customFormat="1" collapsed="1" x14ac:dyDescent="0.45">
      <c r="A311" s="27">
        <v>46305</v>
      </c>
      <c r="B311" s="35">
        <f t="shared" si="149"/>
        <v>1</v>
      </c>
      <c r="C311" s="36">
        <v>0</v>
      </c>
      <c r="D311" s="37">
        <v>833.33</v>
      </c>
      <c r="E311" s="38">
        <f t="shared" si="147"/>
        <v>11666.7</v>
      </c>
      <c r="G311" s="33">
        <f t="shared" si="156"/>
        <v>7.03</v>
      </c>
      <c r="H311" s="37">
        <f>I310</f>
        <v>233.43000000000004</v>
      </c>
      <c r="I311" s="38">
        <f t="shared" si="150"/>
        <v>7.0300000000000011</v>
      </c>
      <c r="K311" s="36">
        <v>0</v>
      </c>
      <c r="L311" s="37">
        <v>0</v>
      </c>
      <c r="M311" s="38">
        <f t="shared" si="148"/>
        <v>0</v>
      </c>
      <c r="O311" s="33">
        <f t="shared" si="151"/>
        <v>0</v>
      </c>
      <c r="P311" s="37">
        <f>Q310+O311</f>
        <v>0</v>
      </c>
      <c r="Q311" s="38">
        <f t="shared" si="152"/>
        <v>0</v>
      </c>
      <c r="S311" s="36">
        <v>0</v>
      </c>
      <c r="T311" s="37">
        <f>U310+S311</f>
        <v>0</v>
      </c>
      <c r="U311" s="38">
        <f t="shared" si="153"/>
        <v>0</v>
      </c>
      <c r="W311" s="14">
        <f t="shared" si="157"/>
        <v>0</v>
      </c>
      <c r="X311" s="15">
        <v>0</v>
      </c>
      <c r="Y311" s="38">
        <f t="shared" si="154"/>
        <v>0</v>
      </c>
      <c r="Z311" s="85"/>
      <c r="AA311" s="36">
        <f t="shared" si="140"/>
        <v>1.64</v>
      </c>
      <c r="AB311" s="37">
        <f>AC310</f>
        <v>50.840000000000011</v>
      </c>
      <c r="AC311" s="38">
        <f t="shared" si="141"/>
        <v>1.6400000000000006</v>
      </c>
      <c r="AD311" s="85"/>
      <c r="AF311" s="40">
        <v>30</v>
      </c>
      <c r="AG311" s="41">
        <f t="shared" si="142"/>
        <v>46305</v>
      </c>
      <c r="AH311" s="42">
        <f t="shared" si="143"/>
        <v>11666.7</v>
      </c>
      <c r="AI311" s="42">
        <f t="shared" si="144"/>
        <v>833.33</v>
      </c>
      <c r="AJ311" s="37">
        <f t="shared" si="145"/>
        <v>233.43000000000004</v>
      </c>
      <c r="AK311" s="42">
        <f>AC310</f>
        <v>50.840000000000011</v>
      </c>
      <c r="AL311" s="43">
        <f>AI311+AJ311+AK311</f>
        <v>1117.5999999999999</v>
      </c>
      <c r="AM311" s="44">
        <f>AL311</f>
        <v>1117.5999999999999</v>
      </c>
      <c r="AN311" s="44"/>
      <c r="AO311" s="5"/>
      <c r="AP311" s="46"/>
      <c r="AQ311" s="44"/>
      <c r="AR311" s="44"/>
    </row>
    <row r="312" spans="1:44" hidden="1" outlineLevel="1" x14ac:dyDescent="0.45">
      <c r="A312" s="27">
        <v>46306</v>
      </c>
      <c r="B312" s="28">
        <f t="shared" si="149"/>
        <v>1</v>
      </c>
      <c r="C312" s="14">
        <v>0</v>
      </c>
      <c r="D312" s="15">
        <v>0</v>
      </c>
      <c r="E312" s="16">
        <f t="shared" si="147"/>
        <v>11666.7</v>
      </c>
      <c r="F312" s="2"/>
      <c r="G312" s="33">
        <f t="shared" si="156"/>
        <v>7.03</v>
      </c>
      <c r="H312" s="34">
        <v>0</v>
      </c>
      <c r="I312" s="16">
        <f t="shared" si="150"/>
        <v>14.060000000000002</v>
      </c>
      <c r="K312" s="14">
        <v>0</v>
      </c>
      <c r="L312" s="15">
        <v>0</v>
      </c>
      <c r="M312" s="16">
        <f t="shared" si="148"/>
        <v>0</v>
      </c>
      <c r="O312" s="33">
        <f t="shared" si="151"/>
        <v>0</v>
      </c>
      <c r="P312" s="34">
        <v>0</v>
      </c>
      <c r="Q312" s="16">
        <f t="shared" si="152"/>
        <v>0</v>
      </c>
      <c r="S312" s="33">
        <v>0</v>
      </c>
      <c r="T312" s="34">
        <v>0</v>
      </c>
      <c r="U312" s="16">
        <f t="shared" si="153"/>
        <v>0</v>
      </c>
      <c r="W312" s="14">
        <f t="shared" si="157"/>
        <v>0</v>
      </c>
      <c r="X312" s="15">
        <v>0</v>
      </c>
      <c r="Y312" s="16">
        <f t="shared" si="154"/>
        <v>0</v>
      </c>
      <c r="Z312" s="70"/>
      <c r="AA312" s="14">
        <f t="shared" si="140"/>
        <v>1.64</v>
      </c>
      <c r="AB312" s="15">
        <v>0</v>
      </c>
      <c r="AC312" s="16">
        <f t="shared" si="141"/>
        <v>3.2800000000000002</v>
      </c>
      <c r="AD312" s="70"/>
      <c r="AF312" s="19">
        <v>50</v>
      </c>
      <c r="AG312" s="30">
        <f t="shared" si="142"/>
        <v>46306</v>
      </c>
      <c r="AH312" s="31">
        <f t="shared" si="143"/>
        <v>11666.7</v>
      </c>
      <c r="AI312" s="31">
        <f t="shared" si="144"/>
        <v>0</v>
      </c>
      <c r="AJ312" s="34">
        <f t="shared" si="145"/>
        <v>0</v>
      </c>
      <c r="AK312" s="31">
        <f t="shared" si="146"/>
        <v>0</v>
      </c>
      <c r="AL312" s="32">
        <f t="shared" si="155"/>
        <v>0</v>
      </c>
    </row>
    <row r="313" spans="1:44" hidden="1" outlineLevel="1" x14ac:dyDescent="0.45">
      <c r="A313" s="27">
        <v>46307</v>
      </c>
      <c r="B313" s="28">
        <f t="shared" si="149"/>
        <v>1</v>
      </c>
      <c r="C313" s="14">
        <v>0</v>
      </c>
      <c r="D313" s="15">
        <v>0</v>
      </c>
      <c r="E313" s="16">
        <f t="shared" si="147"/>
        <v>11666.7</v>
      </c>
      <c r="F313" s="2"/>
      <c r="G313" s="33">
        <f t="shared" si="156"/>
        <v>7.03</v>
      </c>
      <c r="H313" s="34">
        <v>0</v>
      </c>
      <c r="I313" s="16">
        <f t="shared" si="150"/>
        <v>21.090000000000003</v>
      </c>
      <c r="K313" s="14">
        <v>0</v>
      </c>
      <c r="L313" s="15">
        <v>0</v>
      </c>
      <c r="M313" s="16">
        <f t="shared" si="148"/>
        <v>0</v>
      </c>
      <c r="O313" s="33">
        <f t="shared" si="151"/>
        <v>0</v>
      </c>
      <c r="P313" s="34">
        <v>0</v>
      </c>
      <c r="Q313" s="16">
        <f t="shared" si="152"/>
        <v>0</v>
      </c>
      <c r="S313" s="33">
        <v>0</v>
      </c>
      <c r="T313" s="34">
        <v>0</v>
      </c>
      <c r="U313" s="16">
        <f t="shared" si="153"/>
        <v>0</v>
      </c>
      <c r="W313" s="14">
        <f t="shared" si="157"/>
        <v>0</v>
      </c>
      <c r="X313" s="15">
        <v>0</v>
      </c>
      <c r="Y313" s="16">
        <f t="shared" si="154"/>
        <v>0</v>
      </c>
      <c r="Z313" s="70"/>
      <c r="AA313" s="14">
        <f t="shared" si="140"/>
        <v>1.64</v>
      </c>
      <c r="AB313" s="15">
        <v>0</v>
      </c>
      <c r="AC313" s="16">
        <f t="shared" si="141"/>
        <v>4.92</v>
      </c>
      <c r="AD313" s="70"/>
      <c r="AF313" s="19">
        <v>51</v>
      </c>
      <c r="AG313" s="30">
        <f t="shared" si="142"/>
        <v>46307</v>
      </c>
      <c r="AH313" s="31">
        <f t="shared" si="143"/>
        <v>11666.7</v>
      </c>
      <c r="AI313" s="31">
        <f t="shared" si="144"/>
        <v>0</v>
      </c>
      <c r="AJ313" s="34">
        <f t="shared" si="145"/>
        <v>0</v>
      </c>
      <c r="AK313" s="31">
        <f t="shared" si="146"/>
        <v>0</v>
      </c>
      <c r="AL313" s="32">
        <f t="shared" si="155"/>
        <v>0</v>
      </c>
    </row>
    <row r="314" spans="1:44" hidden="1" outlineLevel="1" x14ac:dyDescent="0.45">
      <c r="A314" s="27">
        <v>46308</v>
      </c>
      <c r="B314" s="28">
        <f t="shared" si="149"/>
        <v>1</v>
      </c>
      <c r="C314" s="14">
        <v>0</v>
      </c>
      <c r="D314" s="15">
        <v>0</v>
      </c>
      <c r="E314" s="16">
        <f t="shared" si="147"/>
        <v>11666.7</v>
      </c>
      <c r="F314" s="2"/>
      <c r="G314" s="33">
        <f t="shared" si="156"/>
        <v>7.03</v>
      </c>
      <c r="H314" s="34">
        <v>0</v>
      </c>
      <c r="I314" s="16">
        <f t="shared" si="150"/>
        <v>28.120000000000005</v>
      </c>
      <c r="K314" s="14">
        <v>0</v>
      </c>
      <c r="L314" s="15">
        <v>0</v>
      </c>
      <c r="M314" s="16">
        <f t="shared" si="148"/>
        <v>0</v>
      </c>
      <c r="O314" s="33">
        <f t="shared" si="151"/>
        <v>0</v>
      </c>
      <c r="P314" s="34">
        <v>0</v>
      </c>
      <c r="Q314" s="16">
        <f t="shared" si="152"/>
        <v>0</v>
      </c>
      <c r="S314" s="33">
        <v>0</v>
      </c>
      <c r="T314" s="34">
        <v>0</v>
      </c>
      <c r="U314" s="16">
        <f t="shared" si="153"/>
        <v>0</v>
      </c>
      <c r="W314" s="14">
        <f t="shared" si="157"/>
        <v>0</v>
      </c>
      <c r="X314" s="15">
        <v>0</v>
      </c>
      <c r="Y314" s="16">
        <f t="shared" si="154"/>
        <v>0</v>
      </c>
      <c r="Z314" s="70"/>
      <c r="AA314" s="14">
        <f t="shared" si="140"/>
        <v>1.64</v>
      </c>
      <c r="AB314" s="15">
        <v>0</v>
      </c>
      <c r="AC314" s="16">
        <f t="shared" si="141"/>
        <v>6.56</v>
      </c>
      <c r="AD314" s="70"/>
      <c r="AF314" s="19">
        <v>52</v>
      </c>
      <c r="AG314" s="30">
        <f t="shared" si="142"/>
        <v>46308</v>
      </c>
      <c r="AH314" s="31">
        <f t="shared" si="143"/>
        <v>11666.7</v>
      </c>
      <c r="AI314" s="31">
        <f t="shared" si="144"/>
        <v>0</v>
      </c>
      <c r="AJ314" s="34">
        <f t="shared" si="145"/>
        <v>0</v>
      </c>
      <c r="AK314" s="31">
        <f t="shared" si="146"/>
        <v>0</v>
      </c>
      <c r="AL314" s="32">
        <f t="shared" si="155"/>
        <v>0</v>
      </c>
    </row>
    <row r="315" spans="1:44" hidden="1" outlineLevel="1" x14ac:dyDescent="0.45">
      <c r="A315" s="27">
        <v>46309</v>
      </c>
      <c r="B315" s="28">
        <f t="shared" si="149"/>
        <v>1</v>
      </c>
      <c r="C315" s="14">
        <v>0</v>
      </c>
      <c r="D315" s="15">
        <v>0</v>
      </c>
      <c r="E315" s="16">
        <f t="shared" si="147"/>
        <v>11666.7</v>
      </c>
      <c r="F315" s="2"/>
      <c r="G315" s="33">
        <f t="shared" si="156"/>
        <v>7.03</v>
      </c>
      <c r="H315" s="34">
        <v>0</v>
      </c>
      <c r="I315" s="16">
        <f t="shared" si="150"/>
        <v>35.150000000000006</v>
      </c>
      <c r="K315" s="14">
        <v>0</v>
      </c>
      <c r="L315" s="15">
        <v>0</v>
      </c>
      <c r="M315" s="16">
        <f t="shared" si="148"/>
        <v>0</v>
      </c>
      <c r="O315" s="33">
        <f t="shared" si="151"/>
        <v>0</v>
      </c>
      <c r="P315" s="34">
        <v>0</v>
      </c>
      <c r="Q315" s="16">
        <f t="shared" si="152"/>
        <v>0</v>
      </c>
      <c r="S315" s="33">
        <v>0</v>
      </c>
      <c r="T315" s="34">
        <v>0</v>
      </c>
      <c r="U315" s="16">
        <f t="shared" si="153"/>
        <v>0</v>
      </c>
      <c r="W315" s="14">
        <f t="shared" si="157"/>
        <v>0</v>
      </c>
      <c r="X315" s="15">
        <v>0</v>
      </c>
      <c r="Y315" s="16">
        <f t="shared" si="154"/>
        <v>0</v>
      </c>
      <c r="Z315" s="70"/>
      <c r="AA315" s="14">
        <f t="shared" si="140"/>
        <v>1.64</v>
      </c>
      <c r="AB315" s="15">
        <v>0</v>
      </c>
      <c r="AC315" s="16">
        <f t="shared" si="141"/>
        <v>8.1999999999999993</v>
      </c>
      <c r="AD315" s="70"/>
      <c r="AF315" s="19">
        <v>53</v>
      </c>
      <c r="AG315" s="30">
        <f t="shared" si="142"/>
        <v>46309</v>
      </c>
      <c r="AH315" s="31">
        <f t="shared" si="143"/>
        <v>11666.7</v>
      </c>
      <c r="AI315" s="31">
        <f t="shared" si="144"/>
        <v>0</v>
      </c>
      <c r="AJ315" s="34">
        <f t="shared" si="145"/>
        <v>0</v>
      </c>
      <c r="AK315" s="31">
        <f t="shared" si="146"/>
        <v>0</v>
      </c>
      <c r="AL315" s="32">
        <f t="shared" si="155"/>
        <v>0</v>
      </c>
    </row>
    <row r="316" spans="1:44" hidden="1" outlineLevel="1" x14ac:dyDescent="0.45">
      <c r="A316" s="27">
        <v>46310</v>
      </c>
      <c r="B316" s="28">
        <f t="shared" si="149"/>
        <v>1</v>
      </c>
      <c r="C316" s="14">
        <v>0</v>
      </c>
      <c r="D316" s="15">
        <v>0</v>
      </c>
      <c r="E316" s="16">
        <f t="shared" si="147"/>
        <v>11666.7</v>
      </c>
      <c r="F316" s="2"/>
      <c r="G316" s="33">
        <f t="shared" si="156"/>
        <v>7.03</v>
      </c>
      <c r="H316" s="34">
        <v>0</v>
      </c>
      <c r="I316" s="16">
        <f t="shared" si="150"/>
        <v>42.180000000000007</v>
      </c>
      <c r="K316" s="14">
        <v>0</v>
      </c>
      <c r="L316" s="15">
        <v>0</v>
      </c>
      <c r="M316" s="16">
        <f t="shared" si="148"/>
        <v>0</v>
      </c>
      <c r="O316" s="33">
        <f t="shared" si="151"/>
        <v>0</v>
      </c>
      <c r="P316" s="34">
        <v>0</v>
      </c>
      <c r="Q316" s="16">
        <f t="shared" si="152"/>
        <v>0</v>
      </c>
      <c r="S316" s="33">
        <v>0</v>
      </c>
      <c r="T316" s="34">
        <v>0</v>
      </c>
      <c r="U316" s="16">
        <f t="shared" si="153"/>
        <v>0</v>
      </c>
      <c r="W316" s="14">
        <f t="shared" si="157"/>
        <v>0</v>
      </c>
      <c r="X316" s="15">
        <v>0</v>
      </c>
      <c r="Y316" s="16">
        <f t="shared" si="154"/>
        <v>0</v>
      </c>
      <c r="Z316" s="70"/>
      <c r="AA316" s="14">
        <f t="shared" si="140"/>
        <v>1.64</v>
      </c>
      <c r="AB316" s="15">
        <v>0</v>
      </c>
      <c r="AC316" s="16">
        <f t="shared" si="141"/>
        <v>9.84</v>
      </c>
      <c r="AD316" s="70"/>
      <c r="AF316" s="19">
        <v>54</v>
      </c>
      <c r="AG316" s="30">
        <f t="shared" si="142"/>
        <v>46310</v>
      </c>
      <c r="AH316" s="31">
        <f t="shared" si="143"/>
        <v>11666.7</v>
      </c>
      <c r="AI316" s="31">
        <f t="shared" si="144"/>
        <v>0</v>
      </c>
      <c r="AJ316" s="34">
        <f t="shared" si="145"/>
        <v>0</v>
      </c>
      <c r="AK316" s="31">
        <f t="shared" si="146"/>
        <v>0</v>
      </c>
      <c r="AL316" s="32">
        <f t="shared" si="155"/>
        <v>0</v>
      </c>
    </row>
    <row r="317" spans="1:44" hidden="1" outlineLevel="1" x14ac:dyDescent="0.45">
      <c r="A317" s="27">
        <v>46311</v>
      </c>
      <c r="B317" s="28">
        <f t="shared" si="149"/>
        <v>1</v>
      </c>
      <c r="C317" s="14">
        <v>0</v>
      </c>
      <c r="D317" s="15">
        <v>0</v>
      </c>
      <c r="E317" s="16">
        <f t="shared" si="147"/>
        <v>11666.7</v>
      </c>
      <c r="F317" s="2"/>
      <c r="G317" s="33">
        <f t="shared" si="156"/>
        <v>7.03</v>
      </c>
      <c r="H317" s="34">
        <v>0</v>
      </c>
      <c r="I317" s="16">
        <f t="shared" si="150"/>
        <v>49.210000000000008</v>
      </c>
      <c r="K317" s="14">
        <v>0</v>
      </c>
      <c r="L317" s="15">
        <v>0</v>
      </c>
      <c r="M317" s="16">
        <f t="shared" si="148"/>
        <v>0</v>
      </c>
      <c r="O317" s="33">
        <f t="shared" si="151"/>
        <v>0</v>
      </c>
      <c r="P317" s="34">
        <v>0</v>
      </c>
      <c r="Q317" s="16">
        <f t="shared" si="152"/>
        <v>0</v>
      </c>
      <c r="S317" s="33">
        <v>0</v>
      </c>
      <c r="T317" s="34">
        <v>0</v>
      </c>
      <c r="U317" s="16">
        <f t="shared" si="153"/>
        <v>0</v>
      </c>
      <c r="W317" s="14">
        <f t="shared" si="157"/>
        <v>0</v>
      </c>
      <c r="X317" s="15">
        <v>0</v>
      </c>
      <c r="Y317" s="16">
        <f t="shared" si="154"/>
        <v>0</v>
      </c>
      <c r="Z317" s="70"/>
      <c r="AA317" s="14">
        <f t="shared" si="140"/>
        <v>1.64</v>
      </c>
      <c r="AB317" s="15">
        <v>0</v>
      </c>
      <c r="AC317" s="16">
        <f t="shared" si="141"/>
        <v>11.48</v>
      </c>
      <c r="AD317" s="70"/>
      <c r="AF317" s="19">
        <v>55</v>
      </c>
      <c r="AG317" s="30">
        <f t="shared" si="142"/>
        <v>46311</v>
      </c>
      <c r="AH317" s="31">
        <f t="shared" si="143"/>
        <v>11666.7</v>
      </c>
      <c r="AI317" s="31">
        <f t="shared" si="144"/>
        <v>0</v>
      </c>
      <c r="AJ317" s="34">
        <f t="shared" si="145"/>
        <v>0</v>
      </c>
      <c r="AK317" s="31">
        <f t="shared" si="146"/>
        <v>0</v>
      </c>
      <c r="AL317" s="32">
        <f t="shared" si="155"/>
        <v>0</v>
      </c>
    </row>
    <row r="318" spans="1:44" hidden="1" outlineLevel="1" x14ac:dyDescent="0.45">
      <c r="A318" s="27">
        <v>46312</v>
      </c>
      <c r="B318" s="28">
        <f t="shared" si="149"/>
        <v>1</v>
      </c>
      <c r="C318" s="14">
        <v>0</v>
      </c>
      <c r="D318" s="15">
        <v>0</v>
      </c>
      <c r="E318" s="16">
        <f t="shared" si="147"/>
        <v>11666.7</v>
      </c>
      <c r="F318" s="2"/>
      <c r="G318" s="33">
        <f t="shared" si="156"/>
        <v>7.03</v>
      </c>
      <c r="H318" s="34">
        <v>0</v>
      </c>
      <c r="I318" s="16">
        <f t="shared" si="150"/>
        <v>56.240000000000009</v>
      </c>
      <c r="K318" s="14">
        <v>0</v>
      </c>
      <c r="L318" s="15">
        <v>0</v>
      </c>
      <c r="M318" s="16">
        <f t="shared" si="148"/>
        <v>0</v>
      </c>
      <c r="O318" s="33">
        <f t="shared" si="151"/>
        <v>0</v>
      </c>
      <c r="P318" s="34">
        <v>0</v>
      </c>
      <c r="Q318" s="16">
        <f t="shared" si="152"/>
        <v>0</v>
      </c>
      <c r="S318" s="33">
        <v>0</v>
      </c>
      <c r="T318" s="34">
        <v>0</v>
      </c>
      <c r="U318" s="16">
        <f t="shared" si="153"/>
        <v>0</v>
      </c>
      <c r="W318" s="14">
        <f t="shared" si="157"/>
        <v>0</v>
      </c>
      <c r="X318" s="15">
        <v>0</v>
      </c>
      <c r="Y318" s="16">
        <f t="shared" si="154"/>
        <v>0</v>
      </c>
      <c r="Z318" s="70"/>
      <c r="AA318" s="14">
        <f t="shared" si="140"/>
        <v>1.64</v>
      </c>
      <c r="AB318" s="15">
        <v>0</v>
      </c>
      <c r="AC318" s="16">
        <f t="shared" si="141"/>
        <v>13.120000000000001</v>
      </c>
      <c r="AD318" s="70"/>
      <c r="AF318" s="19">
        <v>56</v>
      </c>
      <c r="AG318" s="30">
        <f t="shared" si="142"/>
        <v>46312</v>
      </c>
      <c r="AH318" s="31">
        <f t="shared" si="143"/>
        <v>11666.7</v>
      </c>
      <c r="AI318" s="31">
        <f t="shared" si="144"/>
        <v>0</v>
      </c>
      <c r="AJ318" s="34">
        <f t="shared" si="145"/>
        <v>0</v>
      </c>
      <c r="AK318" s="31">
        <f t="shared" si="146"/>
        <v>0</v>
      </c>
      <c r="AL318" s="32">
        <f t="shared" si="155"/>
        <v>0</v>
      </c>
    </row>
    <row r="319" spans="1:44" hidden="1" outlineLevel="1" x14ac:dyDescent="0.45">
      <c r="A319" s="27">
        <v>46313</v>
      </c>
      <c r="B319" s="28">
        <f t="shared" si="149"/>
        <v>1</v>
      </c>
      <c r="C319" s="14">
        <v>0</v>
      </c>
      <c r="D319" s="15">
        <v>0</v>
      </c>
      <c r="E319" s="16">
        <f t="shared" si="147"/>
        <v>11666.7</v>
      </c>
      <c r="F319" s="2"/>
      <c r="G319" s="33">
        <f t="shared" si="156"/>
        <v>7.03</v>
      </c>
      <c r="H319" s="34">
        <v>0</v>
      </c>
      <c r="I319" s="16">
        <f t="shared" si="150"/>
        <v>63.27000000000001</v>
      </c>
      <c r="K319" s="14">
        <v>0</v>
      </c>
      <c r="L319" s="15">
        <v>0</v>
      </c>
      <c r="M319" s="16">
        <f t="shared" si="148"/>
        <v>0</v>
      </c>
      <c r="O319" s="33">
        <f t="shared" si="151"/>
        <v>0</v>
      </c>
      <c r="P319" s="34">
        <v>0</v>
      </c>
      <c r="Q319" s="16">
        <f t="shared" si="152"/>
        <v>0</v>
      </c>
      <c r="S319" s="33">
        <v>0</v>
      </c>
      <c r="T319" s="34">
        <v>0</v>
      </c>
      <c r="U319" s="16">
        <f t="shared" si="153"/>
        <v>0</v>
      </c>
      <c r="W319" s="14">
        <f t="shared" si="157"/>
        <v>0</v>
      </c>
      <c r="X319" s="15">
        <v>0</v>
      </c>
      <c r="Y319" s="16">
        <f t="shared" si="154"/>
        <v>0</v>
      </c>
      <c r="Z319" s="70"/>
      <c r="AA319" s="14">
        <f t="shared" si="140"/>
        <v>1.64</v>
      </c>
      <c r="AB319" s="15">
        <v>0</v>
      </c>
      <c r="AC319" s="16">
        <f t="shared" si="141"/>
        <v>14.760000000000002</v>
      </c>
      <c r="AD319" s="70"/>
      <c r="AF319" s="19">
        <v>57</v>
      </c>
      <c r="AG319" s="30">
        <f t="shared" si="142"/>
        <v>46313</v>
      </c>
      <c r="AH319" s="31">
        <f t="shared" si="143"/>
        <v>11666.7</v>
      </c>
      <c r="AI319" s="31">
        <f t="shared" si="144"/>
        <v>0</v>
      </c>
      <c r="AJ319" s="34">
        <f t="shared" si="145"/>
        <v>0</v>
      </c>
      <c r="AK319" s="31">
        <f t="shared" si="146"/>
        <v>0</v>
      </c>
      <c r="AL319" s="32">
        <f t="shared" si="155"/>
        <v>0</v>
      </c>
    </row>
    <row r="320" spans="1:44" hidden="1" outlineLevel="1" x14ac:dyDescent="0.45">
      <c r="A320" s="27">
        <v>46314</v>
      </c>
      <c r="B320" s="28">
        <f t="shared" si="149"/>
        <v>1</v>
      </c>
      <c r="C320" s="14">
        <v>0</v>
      </c>
      <c r="D320" s="15">
        <v>0</v>
      </c>
      <c r="E320" s="16">
        <f t="shared" si="147"/>
        <v>11666.7</v>
      </c>
      <c r="F320" s="2"/>
      <c r="G320" s="33">
        <f t="shared" si="156"/>
        <v>7.03</v>
      </c>
      <c r="H320" s="34">
        <v>0</v>
      </c>
      <c r="I320" s="16">
        <f t="shared" si="150"/>
        <v>70.300000000000011</v>
      </c>
      <c r="K320" s="14">
        <v>0</v>
      </c>
      <c r="L320" s="15">
        <v>0</v>
      </c>
      <c r="M320" s="16">
        <f t="shared" si="148"/>
        <v>0</v>
      </c>
      <c r="O320" s="33">
        <f t="shared" si="151"/>
        <v>0</v>
      </c>
      <c r="P320" s="34">
        <v>0</v>
      </c>
      <c r="Q320" s="16">
        <f t="shared" si="152"/>
        <v>0</v>
      </c>
      <c r="S320" s="33">
        <v>0</v>
      </c>
      <c r="T320" s="34">
        <v>0</v>
      </c>
      <c r="U320" s="16">
        <f t="shared" si="153"/>
        <v>0</v>
      </c>
      <c r="W320" s="14">
        <f t="shared" si="157"/>
        <v>0</v>
      </c>
      <c r="X320" s="15">
        <v>0</v>
      </c>
      <c r="Y320" s="16">
        <f t="shared" si="154"/>
        <v>0</v>
      </c>
      <c r="Z320" s="70"/>
      <c r="AA320" s="14">
        <f t="shared" si="140"/>
        <v>1.64</v>
      </c>
      <c r="AB320" s="15">
        <v>0</v>
      </c>
      <c r="AC320" s="16">
        <f t="shared" si="141"/>
        <v>16.400000000000002</v>
      </c>
      <c r="AD320" s="70"/>
      <c r="AF320" s="19">
        <v>58</v>
      </c>
      <c r="AG320" s="30">
        <f t="shared" si="142"/>
        <v>46314</v>
      </c>
      <c r="AH320" s="31">
        <f t="shared" si="143"/>
        <v>11666.7</v>
      </c>
      <c r="AI320" s="31">
        <f t="shared" si="144"/>
        <v>0</v>
      </c>
      <c r="AJ320" s="34">
        <f t="shared" si="145"/>
        <v>0</v>
      </c>
      <c r="AK320" s="31">
        <f t="shared" si="146"/>
        <v>0</v>
      </c>
      <c r="AL320" s="32">
        <f t="shared" si="155"/>
        <v>0</v>
      </c>
    </row>
    <row r="321" spans="1:38" hidden="1" outlineLevel="1" x14ac:dyDescent="0.45">
      <c r="A321" s="27">
        <v>46315</v>
      </c>
      <c r="B321" s="28">
        <f t="shared" si="149"/>
        <v>1</v>
      </c>
      <c r="C321" s="14">
        <v>0</v>
      </c>
      <c r="D321" s="15">
        <v>0</v>
      </c>
      <c r="E321" s="16">
        <f t="shared" si="147"/>
        <v>11666.7</v>
      </c>
      <c r="F321" s="2"/>
      <c r="G321" s="33">
        <f t="shared" si="156"/>
        <v>7.03</v>
      </c>
      <c r="H321" s="34">
        <v>0</v>
      </c>
      <c r="I321" s="16">
        <f t="shared" si="150"/>
        <v>77.330000000000013</v>
      </c>
      <c r="K321" s="14">
        <v>0</v>
      </c>
      <c r="L321" s="15">
        <v>0</v>
      </c>
      <c r="M321" s="16">
        <f t="shared" si="148"/>
        <v>0</v>
      </c>
      <c r="O321" s="33">
        <f t="shared" si="151"/>
        <v>0</v>
      </c>
      <c r="P321" s="34">
        <v>0</v>
      </c>
      <c r="Q321" s="16">
        <f t="shared" si="152"/>
        <v>0</v>
      </c>
      <c r="S321" s="33">
        <v>0</v>
      </c>
      <c r="T321" s="34">
        <v>0</v>
      </c>
      <c r="U321" s="16">
        <f t="shared" si="153"/>
        <v>0</v>
      </c>
      <c r="W321" s="14">
        <f t="shared" si="157"/>
        <v>0</v>
      </c>
      <c r="X321" s="15">
        <v>0</v>
      </c>
      <c r="Y321" s="16">
        <f t="shared" si="154"/>
        <v>0</v>
      </c>
      <c r="Z321" s="70"/>
      <c r="AA321" s="14">
        <f t="shared" si="140"/>
        <v>1.64</v>
      </c>
      <c r="AB321" s="15">
        <v>0</v>
      </c>
      <c r="AC321" s="16">
        <f t="shared" si="141"/>
        <v>18.040000000000003</v>
      </c>
      <c r="AD321" s="70"/>
      <c r="AF321" s="19">
        <v>59</v>
      </c>
      <c r="AG321" s="30">
        <f t="shared" si="142"/>
        <v>46315</v>
      </c>
      <c r="AH321" s="31">
        <f t="shared" si="143"/>
        <v>11666.7</v>
      </c>
      <c r="AI321" s="31">
        <f t="shared" si="144"/>
        <v>0</v>
      </c>
      <c r="AJ321" s="34">
        <f t="shared" si="145"/>
        <v>0</v>
      </c>
      <c r="AK321" s="31">
        <f t="shared" si="146"/>
        <v>0</v>
      </c>
      <c r="AL321" s="32">
        <f t="shared" si="155"/>
        <v>0</v>
      </c>
    </row>
    <row r="322" spans="1:38" hidden="1" outlineLevel="1" x14ac:dyDescent="0.45">
      <c r="A322" s="27">
        <v>46316</v>
      </c>
      <c r="B322" s="28">
        <f t="shared" si="149"/>
        <v>1</v>
      </c>
      <c r="C322" s="14">
        <v>0</v>
      </c>
      <c r="D322" s="15">
        <v>0</v>
      </c>
      <c r="E322" s="16">
        <f t="shared" si="147"/>
        <v>11666.7</v>
      </c>
      <c r="F322" s="2"/>
      <c r="G322" s="33">
        <f t="shared" si="156"/>
        <v>7.03</v>
      </c>
      <c r="H322" s="34">
        <v>0</v>
      </c>
      <c r="I322" s="16">
        <f t="shared" si="150"/>
        <v>84.360000000000014</v>
      </c>
      <c r="K322" s="14">
        <v>0</v>
      </c>
      <c r="L322" s="15">
        <v>0</v>
      </c>
      <c r="M322" s="16">
        <f t="shared" si="148"/>
        <v>0</v>
      </c>
      <c r="O322" s="33">
        <f t="shared" si="151"/>
        <v>0</v>
      </c>
      <c r="P322" s="34">
        <v>0</v>
      </c>
      <c r="Q322" s="16">
        <f t="shared" si="152"/>
        <v>0</v>
      </c>
      <c r="S322" s="33">
        <v>0</v>
      </c>
      <c r="T322" s="34">
        <v>0</v>
      </c>
      <c r="U322" s="16">
        <f t="shared" si="153"/>
        <v>0</v>
      </c>
      <c r="W322" s="14">
        <f t="shared" si="157"/>
        <v>0</v>
      </c>
      <c r="X322" s="15">
        <v>0</v>
      </c>
      <c r="Y322" s="16">
        <f t="shared" si="154"/>
        <v>0</v>
      </c>
      <c r="Z322" s="70"/>
      <c r="AA322" s="14">
        <f t="shared" si="140"/>
        <v>1.64</v>
      </c>
      <c r="AB322" s="15">
        <v>0</v>
      </c>
      <c r="AC322" s="16">
        <f t="shared" si="141"/>
        <v>19.680000000000003</v>
      </c>
      <c r="AD322" s="70"/>
      <c r="AF322" s="19">
        <v>60</v>
      </c>
      <c r="AG322" s="30">
        <f t="shared" si="142"/>
        <v>46316</v>
      </c>
      <c r="AH322" s="31">
        <f t="shared" si="143"/>
        <v>11666.7</v>
      </c>
      <c r="AI322" s="31">
        <f t="shared" si="144"/>
        <v>0</v>
      </c>
      <c r="AJ322" s="34">
        <f t="shared" si="145"/>
        <v>0</v>
      </c>
      <c r="AK322" s="31">
        <f t="shared" si="146"/>
        <v>0</v>
      </c>
      <c r="AL322" s="32">
        <f t="shared" si="155"/>
        <v>0</v>
      </c>
    </row>
    <row r="323" spans="1:38" hidden="1" outlineLevel="1" x14ac:dyDescent="0.45">
      <c r="A323" s="27">
        <v>46317</v>
      </c>
      <c r="B323" s="28">
        <f t="shared" si="149"/>
        <v>1</v>
      </c>
      <c r="C323" s="14">
        <v>0</v>
      </c>
      <c r="D323" s="15">
        <v>0</v>
      </c>
      <c r="E323" s="16">
        <f t="shared" si="147"/>
        <v>11666.7</v>
      </c>
      <c r="F323" s="2"/>
      <c r="G323" s="33">
        <f t="shared" si="156"/>
        <v>7.03</v>
      </c>
      <c r="H323" s="34">
        <v>0</v>
      </c>
      <c r="I323" s="16">
        <f t="shared" si="150"/>
        <v>91.390000000000015</v>
      </c>
      <c r="K323" s="14">
        <v>0</v>
      </c>
      <c r="L323" s="15">
        <v>0</v>
      </c>
      <c r="M323" s="16">
        <f t="shared" si="148"/>
        <v>0</v>
      </c>
      <c r="O323" s="33">
        <f t="shared" si="151"/>
        <v>0</v>
      </c>
      <c r="P323" s="34">
        <v>0</v>
      </c>
      <c r="Q323" s="16">
        <f t="shared" si="152"/>
        <v>0</v>
      </c>
      <c r="S323" s="33">
        <v>0</v>
      </c>
      <c r="T323" s="34">
        <v>0</v>
      </c>
      <c r="U323" s="16">
        <f t="shared" si="153"/>
        <v>0</v>
      </c>
      <c r="W323" s="14">
        <f t="shared" si="157"/>
        <v>0</v>
      </c>
      <c r="X323" s="15">
        <v>0</v>
      </c>
      <c r="Y323" s="16">
        <f t="shared" si="154"/>
        <v>0</v>
      </c>
      <c r="Z323" s="70"/>
      <c r="AA323" s="14">
        <f t="shared" si="140"/>
        <v>1.64</v>
      </c>
      <c r="AB323" s="15">
        <v>0</v>
      </c>
      <c r="AC323" s="16">
        <f t="shared" si="141"/>
        <v>21.320000000000004</v>
      </c>
      <c r="AD323" s="70"/>
      <c r="AF323" s="19">
        <v>61</v>
      </c>
      <c r="AG323" s="30">
        <f t="shared" si="142"/>
        <v>46317</v>
      </c>
      <c r="AH323" s="31">
        <f t="shared" si="143"/>
        <v>11666.7</v>
      </c>
      <c r="AI323" s="31">
        <f t="shared" si="144"/>
        <v>0</v>
      </c>
      <c r="AJ323" s="34">
        <f t="shared" si="145"/>
        <v>0</v>
      </c>
      <c r="AK323" s="31">
        <f t="shared" si="146"/>
        <v>0</v>
      </c>
      <c r="AL323" s="32">
        <f t="shared" si="155"/>
        <v>0</v>
      </c>
    </row>
    <row r="324" spans="1:38" hidden="1" outlineLevel="1" x14ac:dyDescent="0.45">
      <c r="A324" s="27">
        <v>46318</v>
      </c>
      <c r="B324" s="28">
        <f t="shared" si="149"/>
        <v>1</v>
      </c>
      <c r="C324" s="14">
        <v>0</v>
      </c>
      <c r="D324" s="15">
        <v>0</v>
      </c>
      <c r="E324" s="16">
        <f t="shared" si="147"/>
        <v>11666.7</v>
      </c>
      <c r="F324" s="2"/>
      <c r="G324" s="33">
        <f t="shared" si="156"/>
        <v>7.03</v>
      </c>
      <c r="H324" s="34">
        <v>0</v>
      </c>
      <c r="I324" s="16">
        <f t="shared" si="150"/>
        <v>98.420000000000016</v>
      </c>
      <c r="K324" s="14">
        <v>0</v>
      </c>
      <c r="L324" s="15">
        <v>0</v>
      </c>
      <c r="M324" s="16">
        <f t="shared" si="148"/>
        <v>0</v>
      </c>
      <c r="O324" s="33">
        <f t="shared" si="151"/>
        <v>0</v>
      </c>
      <c r="P324" s="34">
        <v>0</v>
      </c>
      <c r="Q324" s="16">
        <f t="shared" si="152"/>
        <v>0</v>
      </c>
      <c r="S324" s="33">
        <v>0</v>
      </c>
      <c r="T324" s="34">
        <v>0</v>
      </c>
      <c r="U324" s="16">
        <f t="shared" si="153"/>
        <v>0</v>
      </c>
      <c r="W324" s="14">
        <f t="shared" si="157"/>
        <v>0</v>
      </c>
      <c r="X324" s="15">
        <v>0</v>
      </c>
      <c r="Y324" s="16">
        <f t="shared" si="154"/>
        <v>0</v>
      </c>
      <c r="Z324" s="70"/>
      <c r="AA324" s="14">
        <f t="shared" si="140"/>
        <v>1.64</v>
      </c>
      <c r="AB324" s="15">
        <v>0</v>
      </c>
      <c r="AC324" s="16">
        <f t="shared" si="141"/>
        <v>22.960000000000004</v>
      </c>
      <c r="AD324" s="70"/>
      <c r="AF324" s="19">
        <v>62</v>
      </c>
      <c r="AG324" s="30">
        <f t="shared" si="142"/>
        <v>46318</v>
      </c>
      <c r="AH324" s="31">
        <f t="shared" si="143"/>
        <v>11666.7</v>
      </c>
      <c r="AI324" s="31">
        <f t="shared" si="144"/>
        <v>0</v>
      </c>
      <c r="AJ324" s="34">
        <f t="shared" si="145"/>
        <v>0</v>
      </c>
      <c r="AK324" s="31">
        <f t="shared" si="146"/>
        <v>0</v>
      </c>
      <c r="AL324" s="32">
        <f t="shared" si="155"/>
        <v>0</v>
      </c>
    </row>
    <row r="325" spans="1:38" hidden="1" outlineLevel="1" x14ac:dyDescent="0.45">
      <c r="A325" s="27">
        <v>46319</v>
      </c>
      <c r="B325" s="28">
        <f t="shared" si="149"/>
        <v>1</v>
      </c>
      <c r="C325" s="14">
        <v>0</v>
      </c>
      <c r="D325" s="15">
        <v>0</v>
      </c>
      <c r="E325" s="16">
        <f t="shared" si="147"/>
        <v>11666.7</v>
      </c>
      <c r="F325" s="2"/>
      <c r="G325" s="33">
        <f t="shared" si="156"/>
        <v>7.03</v>
      </c>
      <c r="H325" s="34">
        <v>0</v>
      </c>
      <c r="I325" s="16">
        <f t="shared" si="150"/>
        <v>105.45000000000002</v>
      </c>
      <c r="K325" s="14">
        <v>0</v>
      </c>
      <c r="L325" s="15">
        <v>0</v>
      </c>
      <c r="M325" s="16">
        <f t="shared" si="148"/>
        <v>0</v>
      </c>
      <c r="O325" s="33">
        <f t="shared" si="151"/>
        <v>0</v>
      </c>
      <c r="P325" s="34">
        <v>0</v>
      </c>
      <c r="Q325" s="16">
        <f t="shared" si="152"/>
        <v>0</v>
      </c>
      <c r="S325" s="33">
        <v>0</v>
      </c>
      <c r="T325" s="34">
        <v>0</v>
      </c>
      <c r="U325" s="16">
        <f t="shared" si="153"/>
        <v>0</v>
      </c>
      <c r="W325" s="14">
        <f t="shared" si="157"/>
        <v>0</v>
      </c>
      <c r="X325" s="15">
        <v>0</v>
      </c>
      <c r="Y325" s="16">
        <f t="shared" si="154"/>
        <v>0</v>
      </c>
      <c r="Z325" s="70"/>
      <c r="AA325" s="14">
        <f t="shared" si="140"/>
        <v>1.64</v>
      </c>
      <c r="AB325" s="15">
        <v>0</v>
      </c>
      <c r="AC325" s="16">
        <f t="shared" si="141"/>
        <v>24.600000000000005</v>
      </c>
      <c r="AD325" s="70"/>
      <c r="AF325" s="19">
        <v>63</v>
      </c>
      <c r="AG325" s="30">
        <f t="shared" si="142"/>
        <v>46319</v>
      </c>
      <c r="AH325" s="31">
        <f t="shared" si="143"/>
        <v>11666.7</v>
      </c>
      <c r="AI325" s="31">
        <f t="shared" si="144"/>
        <v>0</v>
      </c>
      <c r="AJ325" s="34">
        <f t="shared" si="145"/>
        <v>0</v>
      </c>
      <c r="AK325" s="31">
        <f t="shared" si="146"/>
        <v>0</v>
      </c>
      <c r="AL325" s="32">
        <f t="shared" si="155"/>
        <v>0</v>
      </c>
    </row>
    <row r="326" spans="1:38" hidden="1" outlineLevel="1" x14ac:dyDescent="0.45">
      <c r="A326" s="27">
        <v>46320</v>
      </c>
      <c r="B326" s="28">
        <f t="shared" si="149"/>
        <v>1</v>
      </c>
      <c r="C326" s="14">
        <v>0</v>
      </c>
      <c r="D326" s="15">
        <v>0</v>
      </c>
      <c r="E326" s="16">
        <f t="shared" si="147"/>
        <v>11666.7</v>
      </c>
      <c r="F326" s="2"/>
      <c r="G326" s="33">
        <f t="shared" si="156"/>
        <v>7.03</v>
      </c>
      <c r="H326" s="34">
        <v>0</v>
      </c>
      <c r="I326" s="16">
        <f t="shared" si="150"/>
        <v>112.48000000000002</v>
      </c>
      <c r="K326" s="14">
        <v>0</v>
      </c>
      <c r="L326" s="15">
        <v>0</v>
      </c>
      <c r="M326" s="16">
        <f t="shared" si="148"/>
        <v>0</v>
      </c>
      <c r="O326" s="33">
        <f t="shared" si="151"/>
        <v>0</v>
      </c>
      <c r="P326" s="34">
        <v>0</v>
      </c>
      <c r="Q326" s="16">
        <f t="shared" si="152"/>
        <v>0</v>
      </c>
      <c r="S326" s="33">
        <v>0</v>
      </c>
      <c r="T326" s="34">
        <v>0</v>
      </c>
      <c r="U326" s="16">
        <f t="shared" si="153"/>
        <v>0</v>
      </c>
      <c r="W326" s="14">
        <f t="shared" si="157"/>
        <v>0</v>
      </c>
      <c r="X326" s="15">
        <v>0</v>
      </c>
      <c r="Y326" s="16">
        <f t="shared" si="154"/>
        <v>0</v>
      </c>
      <c r="Z326" s="70"/>
      <c r="AA326" s="14">
        <f t="shared" si="140"/>
        <v>1.64</v>
      </c>
      <c r="AB326" s="15">
        <v>0</v>
      </c>
      <c r="AC326" s="16">
        <f t="shared" si="141"/>
        <v>26.240000000000006</v>
      </c>
      <c r="AD326" s="70"/>
      <c r="AF326" s="19">
        <v>64</v>
      </c>
      <c r="AG326" s="30">
        <f t="shared" si="142"/>
        <v>46320</v>
      </c>
      <c r="AH326" s="31">
        <f t="shared" si="143"/>
        <v>11666.7</v>
      </c>
      <c r="AI326" s="31">
        <f t="shared" si="144"/>
        <v>0</v>
      </c>
      <c r="AJ326" s="34">
        <f t="shared" si="145"/>
        <v>0</v>
      </c>
      <c r="AK326" s="31">
        <f t="shared" si="146"/>
        <v>0</v>
      </c>
      <c r="AL326" s="32">
        <f t="shared" si="155"/>
        <v>0</v>
      </c>
    </row>
    <row r="327" spans="1:38" hidden="1" outlineLevel="1" x14ac:dyDescent="0.45">
      <c r="A327" s="27">
        <v>46321</v>
      </c>
      <c r="B327" s="28">
        <f t="shared" si="149"/>
        <v>1</v>
      </c>
      <c r="C327" s="14">
        <v>0</v>
      </c>
      <c r="D327" s="15">
        <v>0</v>
      </c>
      <c r="E327" s="16">
        <f t="shared" si="147"/>
        <v>11666.7</v>
      </c>
      <c r="F327" s="2"/>
      <c r="G327" s="33">
        <f t="shared" si="156"/>
        <v>7.03</v>
      </c>
      <c r="H327" s="34">
        <v>0</v>
      </c>
      <c r="I327" s="16">
        <f t="shared" si="150"/>
        <v>119.51000000000002</v>
      </c>
      <c r="K327" s="14">
        <v>0</v>
      </c>
      <c r="L327" s="15">
        <v>0</v>
      </c>
      <c r="M327" s="16">
        <f t="shared" si="148"/>
        <v>0</v>
      </c>
      <c r="O327" s="33">
        <f t="shared" si="151"/>
        <v>0</v>
      </c>
      <c r="P327" s="34">
        <v>0</v>
      </c>
      <c r="Q327" s="16">
        <f t="shared" si="152"/>
        <v>0</v>
      </c>
      <c r="S327" s="33">
        <v>0</v>
      </c>
      <c r="T327" s="34">
        <v>0</v>
      </c>
      <c r="U327" s="16">
        <f t="shared" si="153"/>
        <v>0</v>
      </c>
      <c r="W327" s="14">
        <f t="shared" si="157"/>
        <v>0</v>
      </c>
      <c r="X327" s="15">
        <v>0</v>
      </c>
      <c r="Y327" s="16">
        <f t="shared" si="154"/>
        <v>0</v>
      </c>
      <c r="Z327" s="70"/>
      <c r="AA327" s="14">
        <f t="shared" si="140"/>
        <v>1.64</v>
      </c>
      <c r="AB327" s="15">
        <v>0</v>
      </c>
      <c r="AC327" s="16">
        <f t="shared" si="141"/>
        <v>27.880000000000006</v>
      </c>
      <c r="AD327" s="70"/>
      <c r="AF327" s="19">
        <v>65</v>
      </c>
      <c r="AG327" s="30">
        <f t="shared" si="142"/>
        <v>46321</v>
      </c>
      <c r="AH327" s="31">
        <f t="shared" si="143"/>
        <v>11666.7</v>
      </c>
      <c r="AI327" s="31">
        <f t="shared" si="144"/>
        <v>0</v>
      </c>
      <c r="AJ327" s="34">
        <f t="shared" si="145"/>
        <v>0</v>
      </c>
      <c r="AK327" s="31">
        <f t="shared" si="146"/>
        <v>0</v>
      </c>
      <c r="AL327" s="32">
        <f t="shared" si="155"/>
        <v>0</v>
      </c>
    </row>
    <row r="328" spans="1:38" hidden="1" outlineLevel="1" x14ac:dyDescent="0.45">
      <c r="A328" s="27">
        <v>46322</v>
      </c>
      <c r="B328" s="28">
        <f t="shared" si="149"/>
        <v>1</v>
      </c>
      <c r="C328" s="14">
        <v>0</v>
      </c>
      <c r="D328" s="15">
        <v>0</v>
      </c>
      <c r="E328" s="16">
        <f t="shared" si="147"/>
        <v>11666.7</v>
      </c>
      <c r="F328" s="2"/>
      <c r="G328" s="33">
        <f t="shared" si="156"/>
        <v>7.03</v>
      </c>
      <c r="H328" s="34">
        <v>0</v>
      </c>
      <c r="I328" s="16">
        <f t="shared" si="150"/>
        <v>126.54000000000002</v>
      </c>
      <c r="K328" s="14">
        <v>0</v>
      </c>
      <c r="L328" s="15">
        <v>0</v>
      </c>
      <c r="M328" s="16">
        <f t="shared" si="148"/>
        <v>0</v>
      </c>
      <c r="O328" s="33">
        <f t="shared" si="151"/>
        <v>0</v>
      </c>
      <c r="P328" s="34">
        <v>0</v>
      </c>
      <c r="Q328" s="16">
        <f t="shared" si="152"/>
        <v>0</v>
      </c>
      <c r="S328" s="33">
        <v>0</v>
      </c>
      <c r="T328" s="34">
        <v>0</v>
      </c>
      <c r="U328" s="16">
        <f t="shared" si="153"/>
        <v>0</v>
      </c>
      <c r="W328" s="14">
        <f t="shared" si="157"/>
        <v>0</v>
      </c>
      <c r="X328" s="15">
        <v>0</v>
      </c>
      <c r="Y328" s="16">
        <f t="shared" si="154"/>
        <v>0</v>
      </c>
      <c r="Z328" s="70"/>
      <c r="AA328" s="14">
        <f t="shared" ref="AA328:AA372" si="158">ROUND($C$5*$AA$5/365*B328,2)</f>
        <v>1.64</v>
      </c>
      <c r="AB328" s="15">
        <v>0</v>
      </c>
      <c r="AC328" s="16">
        <f t="shared" ref="AC328:AC372" si="159">AC327+AA328-AB328</f>
        <v>29.520000000000007</v>
      </c>
      <c r="AD328" s="70"/>
      <c r="AF328" s="19">
        <v>66</v>
      </c>
      <c r="AG328" s="30">
        <f t="shared" ref="AG328:AG372" si="160">A328</f>
        <v>46322</v>
      </c>
      <c r="AH328" s="31">
        <f t="shared" ref="AH328:AH372" si="161">E328</f>
        <v>11666.7</v>
      </c>
      <c r="AI328" s="31">
        <f t="shared" ref="AI328:AI372" si="162">D328</f>
        <v>0</v>
      </c>
      <c r="AJ328" s="34">
        <f t="shared" ref="AJ328:AJ372" si="163">H328</f>
        <v>0</v>
      </c>
      <c r="AK328" s="31">
        <f t="shared" ref="AK328:AK371" si="164">AB328</f>
        <v>0</v>
      </c>
      <c r="AL328" s="32">
        <f t="shared" si="155"/>
        <v>0</v>
      </c>
    </row>
    <row r="329" spans="1:38" hidden="1" outlineLevel="1" x14ac:dyDescent="0.45">
      <c r="A329" s="27">
        <v>46323</v>
      </c>
      <c r="B329" s="28">
        <f t="shared" si="149"/>
        <v>1</v>
      </c>
      <c r="C329" s="14">
        <v>0</v>
      </c>
      <c r="D329" s="15">
        <v>0</v>
      </c>
      <c r="E329" s="16">
        <f t="shared" ref="E329:E372" si="165">ROUND(E328+C329-D329,2)</f>
        <v>11666.7</v>
      </c>
      <c r="F329" s="2"/>
      <c r="G329" s="33">
        <f t="shared" si="156"/>
        <v>7.03</v>
      </c>
      <c r="H329" s="34">
        <v>0</v>
      </c>
      <c r="I329" s="16">
        <f t="shared" si="150"/>
        <v>133.57000000000002</v>
      </c>
      <c r="K329" s="14">
        <v>0</v>
      </c>
      <c r="L329" s="15">
        <v>0</v>
      </c>
      <c r="M329" s="16">
        <f t="shared" ref="M329:M372" si="166">ROUND(M328+K329-L329,2)</f>
        <v>0</v>
      </c>
      <c r="O329" s="33">
        <f t="shared" si="151"/>
        <v>0</v>
      </c>
      <c r="P329" s="34">
        <v>0</v>
      </c>
      <c r="Q329" s="16">
        <f t="shared" si="152"/>
        <v>0</v>
      </c>
      <c r="S329" s="33">
        <v>0</v>
      </c>
      <c r="T329" s="34">
        <v>0</v>
      </c>
      <c r="U329" s="16">
        <f t="shared" si="153"/>
        <v>0</v>
      </c>
      <c r="W329" s="14">
        <f t="shared" si="157"/>
        <v>0</v>
      </c>
      <c r="X329" s="15">
        <v>0</v>
      </c>
      <c r="Y329" s="16">
        <f t="shared" si="154"/>
        <v>0</v>
      </c>
      <c r="Z329" s="70"/>
      <c r="AA329" s="14">
        <f t="shared" si="158"/>
        <v>1.64</v>
      </c>
      <c r="AB329" s="15">
        <v>0</v>
      </c>
      <c r="AC329" s="16">
        <f t="shared" si="159"/>
        <v>31.160000000000007</v>
      </c>
      <c r="AD329" s="70"/>
      <c r="AF329" s="19">
        <v>67</v>
      </c>
      <c r="AG329" s="30">
        <f t="shared" si="160"/>
        <v>46323</v>
      </c>
      <c r="AH329" s="31">
        <f t="shared" si="161"/>
        <v>11666.7</v>
      </c>
      <c r="AI329" s="31">
        <f t="shared" si="162"/>
        <v>0</v>
      </c>
      <c r="AJ329" s="34">
        <f t="shared" si="163"/>
        <v>0</v>
      </c>
      <c r="AK329" s="31">
        <f t="shared" si="164"/>
        <v>0</v>
      </c>
      <c r="AL329" s="32">
        <f t="shared" si="155"/>
        <v>0</v>
      </c>
    </row>
    <row r="330" spans="1:38" hidden="1" outlineLevel="1" x14ac:dyDescent="0.45">
      <c r="A330" s="27">
        <v>46324</v>
      </c>
      <c r="B330" s="28">
        <f t="shared" ref="B330:B372" si="167">A330-A329</f>
        <v>1</v>
      </c>
      <c r="C330" s="14">
        <v>0</v>
      </c>
      <c r="D330" s="15">
        <v>0</v>
      </c>
      <c r="E330" s="16">
        <f t="shared" si="165"/>
        <v>11666.7</v>
      </c>
      <c r="F330" s="2"/>
      <c r="G330" s="33">
        <f t="shared" si="156"/>
        <v>7.03</v>
      </c>
      <c r="H330" s="34">
        <v>0</v>
      </c>
      <c r="I330" s="16">
        <f t="shared" ref="I330:I372" si="168">I329+G330-H330</f>
        <v>140.60000000000002</v>
      </c>
      <c r="K330" s="14">
        <v>0</v>
      </c>
      <c r="L330" s="15">
        <v>0</v>
      </c>
      <c r="M330" s="16">
        <f t="shared" si="166"/>
        <v>0</v>
      </c>
      <c r="O330" s="33">
        <f t="shared" ref="O330:O372" si="169">ROUND(M330*$O$5/$D$5*B330,2)</f>
        <v>0</v>
      </c>
      <c r="P330" s="34">
        <v>0</v>
      </c>
      <c r="Q330" s="16">
        <f t="shared" ref="Q330:Q372" si="170">Q329+O330-P330</f>
        <v>0</v>
      </c>
      <c r="S330" s="33">
        <v>0</v>
      </c>
      <c r="T330" s="34">
        <v>0</v>
      </c>
      <c r="U330" s="16">
        <f t="shared" ref="U330:U372" si="171">U329+S330-T330</f>
        <v>0</v>
      </c>
      <c r="W330" s="14">
        <f t="shared" si="157"/>
        <v>0</v>
      </c>
      <c r="X330" s="15">
        <v>0</v>
      </c>
      <c r="Y330" s="16">
        <f t="shared" ref="Y330:Y372" si="172">Y329+W330-X330</f>
        <v>0</v>
      </c>
      <c r="Z330" s="70"/>
      <c r="AA330" s="14">
        <f t="shared" si="158"/>
        <v>1.64</v>
      </c>
      <c r="AB330" s="15">
        <v>0</v>
      </c>
      <c r="AC330" s="16">
        <f t="shared" si="159"/>
        <v>32.800000000000004</v>
      </c>
      <c r="AD330" s="70"/>
      <c r="AF330" s="19">
        <v>68</v>
      </c>
      <c r="AG330" s="30">
        <f t="shared" si="160"/>
        <v>46324</v>
      </c>
      <c r="AH330" s="31">
        <f t="shared" si="161"/>
        <v>11666.7</v>
      </c>
      <c r="AI330" s="31">
        <f t="shared" si="162"/>
        <v>0</v>
      </c>
      <c r="AJ330" s="34">
        <f t="shared" si="163"/>
        <v>0</v>
      </c>
      <c r="AK330" s="31">
        <f t="shared" si="164"/>
        <v>0</v>
      </c>
      <c r="AL330" s="32">
        <f t="shared" ref="AL330:AL371" si="173">AI330+AJ330+AK330</f>
        <v>0</v>
      </c>
    </row>
    <row r="331" spans="1:38" hidden="1" outlineLevel="1" x14ac:dyDescent="0.45">
      <c r="A331" s="27">
        <v>46325</v>
      </c>
      <c r="B331" s="28">
        <f t="shared" si="167"/>
        <v>1</v>
      </c>
      <c r="C331" s="14">
        <v>0</v>
      </c>
      <c r="D331" s="15">
        <v>0</v>
      </c>
      <c r="E331" s="16">
        <f t="shared" si="165"/>
        <v>11666.7</v>
      </c>
      <c r="F331" s="2"/>
      <c r="G331" s="33">
        <f t="shared" si="156"/>
        <v>7.03</v>
      </c>
      <c r="H331" s="34">
        <v>0</v>
      </c>
      <c r="I331" s="16">
        <f t="shared" si="168"/>
        <v>147.63000000000002</v>
      </c>
      <c r="K331" s="14">
        <v>0</v>
      </c>
      <c r="L331" s="15">
        <v>0</v>
      </c>
      <c r="M331" s="16">
        <f t="shared" si="166"/>
        <v>0</v>
      </c>
      <c r="O331" s="33">
        <f t="shared" si="169"/>
        <v>0</v>
      </c>
      <c r="P331" s="34">
        <v>0</v>
      </c>
      <c r="Q331" s="16">
        <f t="shared" si="170"/>
        <v>0</v>
      </c>
      <c r="S331" s="33">
        <v>0</v>
      </c>
      <c r="T331" s="34">
        <v>0</v>
      </c>
      <c r="U331" s="16">
        <f t="shared" si="171"/>
        <v>0</v>
      </c>
      <c r="W331" s="14">
        <f t="shared" si="157"/>
        <v>0</v>
      </c>
      <c r="X331" s="15">
        <v>0</v>
      </c>
      <c r="Y331" s="16">
        <f t="shared" si="172"/>
        <v>0</v>
      </c>
      <c r="Z331" s="70"/>
      <c r="AA331" s="14">
        <f t="shared" si="158"/>
        <v>1.64</v>
      </c>
      <c r="AB331" s="15">
        <v>0</v>
      </c>
      <c r="AC331" s="16">
        <f t="shared" si="159"/>
        <v>34.440000000000005</v>
      </c>
      <c r="AD331" s="70"/>
      <c r="AF331" s="19">
        <v>69</v>
      </c>
      <c r="AG331" s="30">
        <f t="shared" si="160"/>
        <v>46325</v>
      </c>
      <c r="AH331" s="31">
        <f t="shared" si="161"/>
        <v>11666.7</v>
      </c>
      <c r="AI331" s="31">
        <f t="shared" si="162"/>
        <v>0</v>
      </c>
      <c r="AJ331" s="34">
        <f t="shared" si="163"/>
        <v>0</v>
      </c>
      <c r="AK331" s="31">
        <f t="shared" si="164"/>
        <v>0</v>
      </c>
      <c r="AL331" s="32">
        <f t="shared" si="173"/>
        <v>0</v>
      </c>
    </row>
    <row r="332" spans="1:38" hidden="1" outlineLevel="1" x14ac:dyDescent="0.45">
      <c r="A332" s="27">
        <v>46326</v>
      </c>
      <c r="B332" s="28">
        <f t="shared" si="167"/>
        <v>1</v>
      </c>
      <c r="C332" s="14">
        <v>0</v>
      </c>
      <c r="D332" s="15">
        <v>0</v>
      </c>
      <c r="E332" s="16">
        <f t="shared" si="165"/>
        <v>11666.7</v>
      </c>
      <c r="F332" s="2"/>
      <c r="G332" s="33">
        <f t="shared" ref="G332:G371" si="174">ROUND(E332*$G$5/$D$5*B332,2)</f>
        <v>7.03</v>
      </c>
      <c r="H332" s="34">
        <v>0</v>
      </c>
      <c r="I332" s="16">
        <f t="shared" si="168"/>
        <v>154.66000000000003</v>
      </c>
      <c r="K332" s="14">
        <v>0</v>
      </c>
      <c r="L332" s="15">
        <v>0</v>
      </c>
      <c r="M332" s="16">
        <f t="shared" si="166"/>
        <v>0</v>
      </c>
      <c r="O332" s="33">
        <f t="shared" si="169"/>
        <v>0</v>
      </c>
      <c r="P332" s="34">
        <v>0</v>
      </c>
      <c r="Q332" s="16">
        <f t="shared" si="170"/>
        <v>0</v>
      </c>
      <c r="S332" s="33">
        <v>0</v>
      </c>
      <c r="T332" s="34">
        <v>0</v>
      </c>
      <c r="U332" s="16">
        <f t="shared" si="171"/>
        <v>0</v>
      </c>
      <c r="W332" s="14">
        <f t="shared" si="157"/>
        <v>0</v>
      </c>
      <c r="X332" s="15">
        <v>0</v>
      </c>
      <c r="Y332" s="16">
        <f t="shared" si="172"/>
        <v>0</v>
      </c>
      <c r="Z332" s="70"/>
      <c r="AA332" s="14">
        <f t="shared" si="158"/>
        <v>1.64</v>
      </c>
      <c r="AB332" s="15">
        <v>0</v>
      </c>
      <c r="AC332" s="16">
        <f t="shared" si="159"/>
        <v>36.080000000000005</v>
      </c>
      <c r="AD332" s="70"/>
      <c r="AF332" s="19">
        <v>70</v>
      </c>
      <c r="AG332" s="30">
        <f t="shared" si="160"/>
        <v>46326</v>
      </c>
      <c r="AH332" s="31">
        <f t="shared" si="161"/>
        <v>11666.7</v>
      </c>
      <c r="AI332" s="31">
        <f t="shared" si="162"/>
        <v>0</v>
      </c>
      <c r="AJ332" s="34">
        <f t="shared" si="163"/>
        <v>0</v>
      </c>
      <c r="AK332" s="31">
        <f t="shared" si="164"/>
        <v>0</v>
      </c>
      <c r="AL332" s="32">
        <f t="shared" si="173"/>
        <v>0</v>
      </c>
    </row>
    <row r="333" spans="1:38" hidden="1" outlineLevel="1" x14ac:dyDescent="0.45">
      <c r="A333" s="27">
        <v>46327</v>
      </c>
      <c r="B333" s="28">
        <f t="shared" si="167"/>
        <v>1</v>
      </c>
      <c r="C333" s="14">
        <v>0</v>
      </c>
      <c r="D333" s="15">
        <v>0</v>
      </c>
      <c r="E333" s="16">
        <f t="shared" si="165"/>
        <v>11666.7</v>
      </c>
      <c r="F333" s="2"/>
      <c r="G333" s="33">
        <f t="shared" si="174"/>
        <v>7.03</v>
      </c>
      <c r="H333" s="34">
        <v>0</v>
      </c>
      <c r="I333" s="16">
        <f t="shared" si="168"/>
        <v>161.69000000000003</v>
      </c>
      <c r="K333" s="14">
        <v>0</v>
      </c>
      <c r="L333" s="15">
        <v>0</v>
      </c>
      <c r="M333" s="16">
        <f t="shared" si="166"/>
        <v>0</v>
      </c>
      <c r="O333" s="33">
        <f t="shared" si="169"/>
        <v>0</v>
      </c>
      <c r="P333" s="34">
        <v>0</v>
      </c>
      <c r="Q333" s="16">
        <f t="shared" si="170"/>
        <v>0</v>
      </c>
      <c r="S333" s="33">
        <v>0</v>
      </c>
      <c r="T333" s="34">
        <v>0</v>
      </c>
      <c r="U333" s="16">
        <f t="shared" si="171"/>
        <v>0</v>
      </c>
      <c r="W333" s="14">
        <f t="shared" si="157"/>
        <v>0</v>
      </c>
      <c r="X333" s="15">
        <v>0</v>
      </c>
      <c r="Y333" s="16">
        <f t="shared" si="172"/>
        <v>0</v>
      </c>
      <c r="Z333" s="70"/>
      <c r="AA333" s="14">
        <f t="shared" si="158"/>
        <v>1.64</v>
      </c>
      <c r="AB333" s="15">
        <v>0</v>
      </c>
      <c r="AC333" s="16">
        <f t="shared" si="159"/>
        <v>37.720000000000006</v>
      </c>
      <c r="AD333" s="70"/>
      <c r="AF333" s="19">
        <v>71</v>
      </c>
      <c r="AG333" s="30">
        <f t="shared" si="160"/>
        <v>46327</v>
      </c>
      <c r="AH333" s="31">
        <f t="shared" si="161"/>
        <v>11666.7</v>
      </c>
      <c r="AI333" s="31">
        <f t="shared" si="162"/>
        <v>0</v>
      </c>
      <c r="AJ333" s="34">
        <f t="shared" si="163"/>
        <v>0</v>
      </c>
      <c r="AK333" s="31">
        <f t="shared" si="164"/>
        <v>0</v>
      </c>
      <c r="AL333" s="32">
        <f t="shared" si="173"/>
        <v>0</v>
      </c>
    </row>
    <row r="334" spans="1:38" hidden="1" outlineLevel="1" x14ac:dyDescent="0.45">
      <c r="A334" s="27">
        <v>46328</v>
      </c>
      <c r="B334" s="28">
        <f t="shared" si="167"/>
        <v>1</v>
      </c>
      <c r="C334" s="14">
        <v>0</v>
      </c>
      <c r="D334" s="15">
        <v>0</v>
      </c>
      <c r="E334" s="16">
        <f t="shared" si="165"/>
        <v>11666.7</v>
      </c>
      <c r="F334" s="2"/>
      <c r="G334" s="33">
        <f t="shared" si="174"/>
        <v>7.03</v>
      </c>
      <c r="H334" s="34">
        <v>0</v>
      </c>
      <c r="I334" s="16">
        <f t="shared" si="168"/>
        <v>168.72000000000003</v>
      </c>
      <c r="K334" s="14">
        <v>0</v>
      </c>
      <c r="L334" s="15">
        <v>0</v>
      </c>
      <c r="M334" s="16">
        <f t="shared" si="166"/>
        <v>0</v>
      </c>
      <c r="O334" s="33">
        <f t="shared" si="169"/>
        <v>0</v>
      </c>
      <c r="P334" s="34">
        <v>0</v>
      </c>
      <c r="Q334" s="16">
        <f t="shared" si="170"/>
        <v>0</v>
      </c>
      <c r="S334" s="33">
        <v>0</v>
      </c>
      <c r="T334" s="34">
        <v>0</v>
      </c>
      <c r="U334" s="16">
        <f t="shared" si="171"/>
        <v>0</v>
      </c>
      <c r="W334" s="14">
        <f t="shared" si="157"/>
        <v>0</v>
      </c>
      <c r="X334" s="15">
        <v>0</v>
      </c>
      <c r="Y334" s="16">
        <f t="shared" si="172"/>
        <v>0</v>
      </c>
      <c r="Z334" s="70"/>
      <c r="AA334" s="14">
        <f t="shared" si="158"/>
        <v>1.64</v>
      </c>
      <c r="AB334" s="15">
        <v>0</v>
      </c>
      <c r="AC334" s="16">
        <f t="shared" si="159"/>
        <v>39.360000000000007</v>
      </c>
      <c r="AD334" s="70"/>
      <c r="AF334" s="19">
        <v>72</v>
      </c>
      <c r="AG334" s="30">
        <f t="shared" si="160"/>
        <v>46328</v>
      </c>
      <c r="AH334" s="31">
        <f t="shared" si="161"/>
        <v>11666.7</v>
      </c>
      <c r="AI334" s="31">
        <f t="shared" si="162"/>
        <v>0</v>
      </c>
      <c r="AJ334" s="34">
        <f t="shared" si="163"/>
        <v>0</v>
      </c>
      <c r="AK334" s="31">
        <f t="shared" si="164"/>
        <v>0</v>
      </c>
      <c r="AL334" s="32">
        <f t="shared" si="173"/>
        <v>0</v>
      </c>
    </row>
    <row r="335" spans="1:38" hidden="1" outlineLevel="1" x14ac:dyDescent="0.45">
      <c r="A335" s="27">
        <v>46329</v>
      </c>
      <c r="B335" s="28">
        <f t="shared" si="167"/>
        <v>1</v>
      </c>
      <c r="C335" s="14">
        <v>0</v>
      </c>
      <c r="D335" s="15">
        <v>0</v>
      </c>
      <c r="E335" s="16">
        <f t="shared" si="165"/>
        <v>11666.7</v>
      </c>
      <c r="F335" s="2"/>
      <c r="G335" s="33">
        <f t="shared" si="174"/>
        <v>7.03</v>
      </c>
      <c r="H335" s="34">
        <v>0</v>
      </c>
      <c r="I335" s="16">
        <f t="shared" si="168"/>
        <v>175.75000000000003</v>
      </c>
      <c r="K335" s="14">
        <v>0</v>
      </c>
      <c r="L335" s="15">
        <v>0</v>
      </c>
      <c r="M335" s="16">
        <f t="shared" si="166"/>
        <v>0</v>
      </c>
      <c r="O335" s="33">
        <f t="shared" si="169"/>
        <v>0</v>
      </c>
      <c r="P335" s="34">
        <v>0</v>
      </c>
      <c r="Q335" s="16">
        <f t="shared" si="170"/>
        <v>0</v>
      </c>
      <c r="S335" s="33">
        <v>0</v>
      </c>
      <c r="T335" s="34">
        <v>0</v>
      </c>
      <c r="U335" s="16">
        <f t="shared" si="171"/>
        <v>0</v>
      </c>
      <c r="W335" s="14">
        <f t="shared" si="157"/>
        <v>0</v>
      </c>
      <c r="X335" s="15">
        <v>0</v>
      </c>
      <c r="Y335" s="16">
        <f t="shared" si="172"/>
        <v>0</v>
      </c>
      <c r="Z335" s="70"/>
      <c r="AA335" s="14">
        <f t="shared" si="158"/>
        <v>1.64</v>
      </c>
      <c r="AB335" s="15">
        <v>0</v>
      </c>
      <c r="AC335" s="16">
        <f t="shared" si="159"/>
        <v>41.000000000000007</v>
      </c>
      <c r="AD335" s="70"/>
      <c r="AF335" s="19">
        <v>73</v>
      </c>
      <c r="AG335" s="30">
        <f t="shared" si="160"/>
        <v>46329</v>
      </c>
      <c r="AH335" s="31">
        <f t="shared" si="161"/>
        <v>11666.7</v>
      </c>
      <c r="AI335" s="31">
        <f t="shared" si="162"/>
        <v>0</v>
      </c>
      <c r="AJ335" s="34">
        <f t="shared" si="163"/>
        <v>0</v>
      </c>
      <c r="AK335" s="31">
        <f t="shared" si="164"/>
        <v>0</v>
      </c>
      <c r="AL335" s="32">
        <f t="shared" si="173"/>
        <v>0</v>
      </c>
    </row>
    <row r="336" spans="1:38" hidden="1" outlineLevel="1" x14ac:dyDescent="0.45">
      <c r="A336" s="27">
        <v>46330</v>
      </c>
      <c r="B336" s="28">
        <f t="shared" si="167"/>
        <v>1</v>
      </c>
      <c r="C336" s="14">
        <v>0</v>
      </c>
      <c r="D336" s="15">
        <v>0</v>
      </c>
      <c r="E336" s="16">
        <f t="shared" si="165"/>
        <v>11666.7</v>
      </c>
      <c r="F336" s="2"/>
      <c r="G336" s="33">
        <f t="shared" si="174"/>
        <v>7.03</v>
      </c>
      <c r="H336" s="34">
        <v>0</v>
      </c>
      <c r="I336" s="16">
        <f t="shared" si="168"/>
        <v>182.78000000000003</v>
      </c>
      <c r="K336" s="14">
        <v>0</v>
      </c>
      <c r="L336" s="15">
        <v>0</v>
      </c>
      <c r="M336" s="16">
        <f t="shared" si="166"/>
        <v>0</v>
      </c>
      <c r="O336" s="33">
        <f t="shared" si="169"/>
        <v>0</v>
      </c>
      <c r="P336" s="34">
        <v>0</v>
      </c>
      <c r="Q336" s="16">
        <f t="shared" si="170"/>
        <v>0</v>
      </c>
      <c r="S336" s="33">
        <v>0</v>
      </c>
      <c r="T336" s="34">
        <v>0</v>
      </c>
      <c r="U336" s="16">
        <f t="shared" si="171"/>
        <v>0</v>
      </c>
      <c r="W336" s="14">
        <f t="shared" si="157"/>
        <v>0</v>
      </c>
      <c r="X336" s="15">
        <v>0</v>
      </c>
      <c r="Y336" s="16">
        <f t="shared" si="172"/>
        <v>0</v>
      </c>
      <c r="Z336" s="70"/>
      <c r="AA336" s="14">
        <f t="shared" si="158"/>
        <v>1.64</v>
      </c>
      <c r="AB336" s="15">
        <v>0</v>
      </c>
      <c r="AC336" s="16">
        <f t="shared" si="159"/>
        <v>42.640000000000008</v>
      </c>
      <c r="AD336" s="70"/>
      <c r="AF336" s="19">
        <v>74</v>
      </c>
      <c r="AG336" s="30">
        <f t="shared" si="160"/>
        <v>46330</v>
      </c>
      <c r="AH336" s="31">
        <f t="shared" si="161"/>
        <v>11666.7</v>
      </c>
      <c r="AI336" s="31">
        <f t="shared" si="162"/>
        <v>0</v>
      </c>
      <c r="AJ336" s="34">
        <f t="shared" si="163"/>
        <v>0</v>
      </c>
      <c r="AK336" s="31">
        <f t="shared" si="164"/>
        <v>0</v>
      </c>
      <c r="AL336" s="32">
        <f t="shared" si="173"/>
        <v>0</v>
      </c>
    </row>
    <row r="337" spans="1:44" hidden="1" outlineLevel="1" x14ac:dyDescent="0.45">
      <c r="A337" s="27">
        <v>46331</v>
      </c>
      <c r="B337" s="28">
        <f t="shared" si="167"/>
        <v>1</v>
      </c>
      <c r="C337" s="14">
        <v>0</v>
      </c>
      <c r="D337" s="15">
        <v>0</v>
      </c>
      <c r="E337" s="16">
        <f t="shared" si="165"/>
        <v>11666.7</v>
      </c>
      <c r="F337" s="2"/>
      <c r="G337" s="33">
        <f t="shared" si="174"/>
        <v>7.03</v>
      </c>
      <c r="H337" s="34">
        <v>0</v>
      </c>
      <c r="I337" s="16">
        <f t="shared" si="168"/>
        <v>189.81000000000003</v>
      </c>
      <c r="K337" s="14">
        <v>0</v>
      </c>
      <c r="L337" s="15">
        <v>0</v>
      </c>
      <c r="M337" s="16">
        <f t="shared" si="166"/>
        <v>0</v>
      </c>
      <c r="O337" s="33">
        <f t="shared" si="169"/>
        <v>0</v>
      </c>
      <c r="P337" s="34">
        <v>0</v>
      </c>
      <c r="Q337" s="16">
        <f t="shared" si="170"/>
        <v>0</v>
      </c>
      <c r="S337" s="33">
        <v>0</v>
      </c>
      <c r="T337" s="34">
        <v>0</v>
      </c>
      <c r="U337" s="16">
        <f t="shared" si="171"/>
        <v>0</v>
      </c>
      <c r="W337" s="14">
        <f t="shared" si="157"/>
        <v>0</v>
      </c>
      <c r="X337" s="15">
        <v>0</v>
      </c>
      <c r="Y337" s="16">
        <f t="shared" si="172"/>
        <v>0</v>
      </c>
      <c r="Z337" s="70"/>
      <c r="AA337" s="14">
        <f t="shared" si="158"/>
        <v>1.64</v>
      </c>
      <c r="AB337" s="15">
        <v>0</v>
      </c>
      <c r="AC337" s="16">
        <f t="shared" si="159"/>
        <v>44.280000000000008</v>
      </c>
      <c r="AD337" s="70"/>
      <c r="AF337" s="19">
        <v>75</v>
      </c>
      <c r="AG337" s="30">
        <f t="shared" si="160"/>
        <v>46331</v>
      </c>
      <c r="AH337" s="31">
        <f t="shared" si="161"/>
        <v>11666.7</v>
      </c>
      <c r="AI337" s="31">
        <f t="shared" si="162"/>
        <v>0</v>
      </c>
      <c r="AJ337" s="34">
        <f t="shared" si="163"/>
        <v>0</v>
      </c>
      <c r="AK337" s="31">
        <f t="shared" si="164"/>
        <v>0</v>
      </c>
      <c r="AL337" s="32">
        <f t="shared" si="173"/>
        <v>0</v>
      </c>
    </row>
    <row r="338" spans="1:44" hidden="1" outlineLevel="1" x14ac:dyDescent="0.45">
      <c r="A338" s="27">
        <v>46332</v>
      </c>
      <c r="B338" s="28">
        <f t="shared" si="167"/>
        <v>1</v>
      </c>
      <c r="C338" s="14">
        <v>0</v>
      </c>
      <c r="D338" s="15">
        <v>0</v>
      </c>
      <c r="E338" s="16">
        <f t="shared" si="165"/>
        <v>11666.7</v>
      </c>
      <c r="F338" s="2"/>
      <c r="G338" s="33">
        <f t="shared" si="174"/>
        <v>7.03</v>
      </c>
      <c r="H338" s="34">
        <v>0</v>
      </c>
      <c r="I338" s="16">
        <f t="shared" si="168"/>
        <v>196.84000000000003</v>
      </c>
      <c r="K338" s="14">
        <v>0</v>
      </c>
      <c r="L338" s="15">
        <v>0</v>
      </c>
      <c r="M338" s="16">
        <f t="shared" si="166"/>
        <v>0</v>
      </c>
      <c r="O338" s="33">
        <f t="shared" si="169"/>
        <v>0</v>
      </c>
      <c r="P338" s="34">
        <v>0</v>
      </c>
      <c r="Q338" s="16">
        <f t="shared" si="170"/>
        <v>0</v>
      </c>
      <c r="S338" s="33">
        <v>0</v>
      </c>
      <c r="T338" s="34">
        <v>0</v>
      </c>
      <c r="U338" s="16">
        <f t="shared" si="171"/>
        <v>0</v>
      </c>
      <c r="W338" s="14">
        <f t="shared" si="157"/>
        <v>0</v>
      </c>
      <c r="X338" s="15">
        <v>0</v>
      </c>
      <c r="Y338" s="16">
        <f t="shared" si="172"/>
        <v>0</v>
      </c>
      <c r="Z338" s="70"/>
      <c r="AA338" s="14">
        <f t="shared" si="158"/>
        <v>1.64</v>
      </c>
      <c r="AB338" s="15">
        <v>0</v>
      </c>
      <c r="AC338" s="16">
        <f t="shared" si="159"/>
        <v>45.920000000000009</v>
      </c>
      <c r="AD338" s="70"/>
      <c r="AF338" s="19">
        <v>76</v>
      </c>
      <c r="AG338" s="30">
        <f t="shared" si="160"/>
        <v>46332</v>
      </c>
      <c r="AH338" s="31">
        <f t="shared" si="161"/>
        <v>11666.7</v>
      </c>
      <c r="AI338" s="31">
        <f t="shared" si="162"/>
        <v>0</v>
      </c>
      <c r="AJ338" s="34">
        <f t="shared" si="163"/>
        <v>0</v>
      </c>
      <c r="AK338" s="31">
        <f t="shared" si="164"/>
        <v>0</v>
      </c>
      <c r="AL338" s="32">
        <f t="shared" si="173"/>
        <v>0</v>
      </c>
    </row>
    <row r="339" spans="1:44" hidden="1" outlineLevel="1" x14ac:dyDescent="0.45">
      <c r="A339" s="27">
        <v>46333</v>
      </c>
      <c r="B339" s="28">
        <f t="shared" si="167"/>
        <v>1</v>
      </c>
      <c r="C339" s="14">
        <v>0</v>
      </c>
      <c r="D339" s="15">
        <v>0</v>
      </c>
      <c r="E339" s="16">
        <f t="shared" si="165"/>
        <v>11666.7</v>
      </c>
      <c r="F339" s="2"/>
      <c r="G339" s="33">
        <f t="shared" si="174"/>
        <v>7.03</v>
      </c>
      <c r="H339" s="34">
        <v>0</v>
      </c>
      <c r="I339" s="16">
        <f t="shared" si="168"/>
        <v>203.87000000000003</v>
      </c>
      <c r="K339" s="14">
        <v>0</v>
      </c>
      <c r="L339" s="15">
        <v>0</v>
      </c>
      <c r="M339" s="16">
        <f t="shared" si="166"/>
        <v>0</v>
      </c>
      <c r="O339" s="33">
        <f t="shared" si="169"/>
        <v>0</v>
      </c>
      <c r="P339" s="34">
        <v>0</v>
      </c>
      <c r="Q339" s="16">
        <f t="shared" si="170"/>
        <v>0</v>
      </c>
      <c r="S339" s="33">
        <v>0</v>
      </c>
      <c r="T339" s="34">
        <v>0</v>
      </c>
      <c r="U339" s="16">
        <f t="shared" si="171"/>
        <v>0</v>
      </c>
      <c r="W339" s="14">
        <f t="shared" si="157"/>
        <v>0</v>
      </c>
      <c r="X339" s="15">
        <v>0</v>
      </c>
      <c r="Y339" s="16">
        <f t="shared" si="172"/>
        <v>0</v>
      </c>
      <c r="Z339" s="70"/>
      <c r="AA339" s="14">
        <f t="shared" si="158"/>
        <v>1.64</v>
      </c>
      <c r="AB339" s="15">
        <v>0</v>
      </c>
      <c r="AC339" s="16">
        <f t="shared" si="159"/>
        <v>47.560000000000009</v>
      </c>
      <c r="AD339" s="70"/>
      <c r="AF339" s="19">
        <v>77</v>
      </c>
      <c r="AG339" s="30">
        <f t="shared" si="160"/>
        <v>46333</v>
      </c>
      <c r="AH339" s="31">
        <f t="shared" si="161"/>
        <v>11666.7</v>
      </c>
      <c r="AI339" s="31">
        <f t="shared" si="162"/>
        <v>0</v>
      </c>
      <c r="AJ339" s="34">
        <f t="shared" si="163"/>
        <v>0</v>
      </c>
      <c r="AK339" s="31">
        <f t="shared" si="164"/>
        <v>0</v>
      </c>
      <c r="AL339" s="32">
        <f t="shared" si="173"/>
        <v>0</v>
      </c>
    </row>
    <row r="340" spans="1:44" hidden="1" outlineLevel="1" x14ac:dyDescent="0.45">
      <c r="A340" s="27">
        <v>46334</v>
      </c>
      <c r="B340" s="28">
        <f t="shared" si="167"/>
        <v>1</v>
      </c>
      <c r="C340" s="14">
        <v>0</v>
      </c>
      <c r="D340" s="15">
        <v>0</v>
      </c>
      <c r="E340" s="16">
        <f t="shared" si="165"/>
        <v>11666.7</v>
      </c>
      <c r="F340" s="2"/>
      <c r="G340" s="33">
        <f t="shared" si="174"/>
        <v>7.03</v>
      </c>
      <c r="H340" s="34">
        <v>0</v>
      </c>
      <c r="I340" s="16">
        <f t="shared" si="168"/>
        <v>210.90000000000003</v>
      </c>
      <c r="K340" s="14">
        <v>0</v>
      </c>
      <c r="L340" s="15">
        <v>0</v>
      </c>
      <c r="M340" s="16">
        <f t="shared" si="166"/>
        <v>0</v>
      </c>
      <c r="O340" s="33">
        <f t="shared" si="169"/>
        <v>0</v>
      </c>
      <c r="P340" s="34">
        <v>0</v>
      </c>
      <c r="Q340" s="16">
        <f t="shared" si="170"/>
        <v>0</v>
      </c>
      <c r="S340" s="33">
        <v>0</v>
      </c>
      <c r="T340" s="34">
        <v>0</v>
      </c>
      <c r="U340" s="16">
        <f t="shared" si="171"/>
        <v>0</v>
      </c>
      <c r="W340" s="14">
        <f t="shared" si="157"/>
        <v>0</v>
      </c>
      <c r="X340" s="15">
        <v>0</v>
      </c>
      <c r="Y340" s="16">
        <f t="shared" si="172"/>
        <v>0</v>
      </c>
      <c r="Z340" s="70"/>
      <c r="AA340" s="14">
        <f t="shared" si="158"/>
        <v>1.64</v>
      </c>
      <c r="AB340" s="15">
        <v>0</v>
      </c>
      <c r="AC340" s="16">
        <f t="shared" si="159"/>
        <v>49.20000000000001</v>
      </c>
      <c r="AD340" s="70"/>
      <c r="AF340" s="19">
        <v>78</v>
      </c>
      <c r="AG340" s="30">
        <f t="shared" si="160"/>
        <v>46334</v>
      </c>
      <c r="AH340" s="31">
        <f t="shared" si="161"/>
        <v>11666.7</v>
      </c>
      <c r="AI340" s="31">
        <f t="shared" si="162"/>
        <v>0</v>
      </c>
      <c r="AJ340" s="34">
        <f t="shared" si="163"/>
        <v>0</v>
      </c>
      <c r="AK340" s="31">
        <f t="shared" si="164"/>
        <v>0</v>
      </c>
      <c r="AL340" s="32">
        <f t="shared" si="173"/>
        <v>0</v>
      </c>
    </row>
    <row r="341" spans="1:44" s="39" customFormat="1" collapsed="1" x14ac:dyDescent="0.45">
      <c r="A341" s="27">
        <v>46335</v>
      </c>
      <c r="B341" s="35">
        <f t="shared" si="167"/>
        <v>1</v>
      </c>
      <c r="C341" s="36">
        <v>0</v>
      </c>
      <c r="D341" s="37">
        <v>833.33</v>
      </c>
      <c r="E341" s="38">
        <f t="shared" si="165"/>
        <v>10833.37</v>
      </c>
      <c r="G341" s="33">
        <f t="shared" si="174"/>
        <v>6.53</v>
      </c>
      <c r="H341" s="37">
        <f>I340</f>
        <v>210.90000000000003</v>
      </c>
      <c r="I341" s="38">
        <f t="shared" si="168"/>
        <v>6.5300000000000011</v>
      </c>
      <c r="K341" s="36">
        <v>0</v>
      </c>
      <c r="L341" s="37">
        <v>0</v>
      </c>
      <c r="M341" s="38">
        <f t="shared" si="166"/>
        <v>0</v>
      </c>
      <c r="O341" s="33">
        <f t="shared" si="169"/>
        <v>0</v>
      </c>
      <c r="P341" s="37">
        <f>Q340+O341</f>
        <v>0</v>
      </c>
      <c r="Q341" s="38">
        <f t="shared" si="170"/>
        <v>0</v>
      </c>
      <c r="S341" s="36">
        <v>0</v>
      </c>
      <c r="T341" s="37">
        <f>U340+S341</f>
        <v>0</v>
      </c>
      <c r="U341" s="38">
        <f t="shared" si="171"/>
        <v>0</v>
      </c>
      <c r="W341" s="14">
        <f t="shared" si="157"/>
        <v>0</v>
      </c>
      <c r="X341" s="15">
        <v>0</v>
      </c>
      <c r="Y341" s="38">
        <f t="shared" si="172"/>
        <v>0</v>
      </c>
      <c r="Z341" s="85"/>
      <c r="AA341" s="36">
        <f t="shared" si="158"/>
        <v>1.64</v>
      </c>
      <c r="AB341" s="37">
        <f>AC340</f>
        <v>49.20000000000001</v>
      </c>
      <c r="AC341" s="38">
        <f t="shared" si="159"/>
        <v>1.6400000000000006</v>
      </c>
      <c r="AD341" s="85"/>
      <c r="AF341" s="40">
        <v>30</v>
      </c>
      <c r="AG341" s="41">
        <f t="shared" si="160"/>
        <v>46335</v>
      </c>
      <c r="AH341" s="42">
        <f t="shared" si="161"/>
        <v>10833.37</v>
      </c>
      <c r="AI341" s="42">
        <f t="shared" si="162"/>
        <v>833.33</v>
      </c>
      <c r="AJ341" s="37">
        <f t="shared" si="163"/>
        <v>210.90000000000003</v>
      </c>
      <c r="AK341" s="42">
        <f>AC340</f>
        <v>49.20000000000001</v>
      </c>
      <c r="AL341" s="43">
        <f>AI341+AJ341+AK341</f>
        <v>1093.43</v>
      </c>
      <c r="AM341" s="44">
        <f>AL341</f>
        <v>1093.43</v>
      </c>
      <c r="AN341" s="44"/>
      <c r="AO341" s="5"/>
      <c r="AP341" s="46"/>
      <c r="AQ341" s="44"/>
      <c r="AR341" s="44"/>
    </row>
    <row r="342" spans="1:44" hidden="1" outlineLevel="1" x14ac:dyDescent="0.45">
      <c r="A342" s="27">
        <v>46336</v>
      </c>
      <c r="B342" s="28">
        <f t="shared" si="167"/>
        <v>1</v>
      </c>
      <c r="C342" s="14">
        <v>0</v>
      </c>
      <c r="D342" s="15">
        <v>0</v>
      </c>
      <c r="E342" s="16">
        <f t="shared" si="165"/>
        <v>10833.37</v>
      </c>
      <c r="F342" s="2"/>
      <c r="G342" s="33">
        <f t="shared" si="174"/>
        <v>6.53</v>
      </c>
      <c r="H342" s="34">
        <v>0</v>
      </c>
      <c r="I342" s="16">
        <f t="shared" si="168"/>
        <v>13.060000000000002</v>
      </c>
      <c r="K342" s="14">
        <v>0</v>
      </c>
      <c r="L342" s="15">
        <v>0</v>
      </c>
      <c r="M342" s="16">
        <f t="shared" si="166"/>
        <v>0</v>
      </c>
      <c r="O342" s="33">
        <f t="shared" si="169"/>
        <v>0</v>
      </c>
      <c r="P342" s="34">
        <v>0</v>
      </c>
      <c r="Q342" s="16">
        <f t="shared" si="170"/>
        <v>0</v>
      </c>
      <c r="S342" s="33">
        <v>0</v>
      </c>
      <c r="T342" s="34">
        <v>0</v>
      </c>
      <c r="U342" s="16">
        <f t="shared" si="171"/>
        <v>0</v>
      </c>
      <c r="W342" s="14">
        <f t="shared" si="157"/>
        <v>0</v>
      </c>
      <c r="X342" s="15">
        <v>0</v>
      </c>
      <c r="Y342" s="16">
        <f t="shared" si="172"/>
        <v>0</v>
      </c>
      <c r="Z342" s="70"/>
      <c r="AA342" s="14">
        <f t="shared" si="158"/>
        <v>1.64</v>
      </c>
      <c r="AB342" s="15">
        <v>0</v>
      </c>
      <c r="AC342" s="16">
        <f t="shared" si="159"/>
        <v>3.2800000000000002</v>
      </c>
      <c r="AD342" s="70"/>
      <c r="AF342" s="19">
        <v>50</v>
      </c>
      <c r="AG342" s="30">
        <f t="shared" si="160"/>
        <v>46336</v>
      </c>
      <c r="AH342" s="31">
        <f t="shared" si="161"/>
        <v>10833.37</v>
      </c>
      <c r="AI342" s="31">
        <f t="shared" si="162"/>
        <v>0</v>
      </c>
      <c r="AJ342" s="34">
        <f t="shared" si="163"/>
        <v>0</v>
      </c>
      <c r="AK342" s="31">
        <f t="shared" si="164"/>
        <v>0</v>
      </c>
      <c r="AL342" s="32">
        <f t="shared" si="173"/>
        <v>0</v>
      </c>
    </row>
    <row r="343" spans="1:44" hidden="1" outlineLevel="1" x14ac:dyDescent="0.45">
      <c r="A343" s="27">
        <v>46337</v>
      </c>
      <c r="B343" s="28">
        <f t="shared" si="167"/>
        <v>1</v>
      </c>
      <c r="C343" s="14">
        <v>0</v>
      </c>
      <c r="D343" s="15">
        <v>0</v>
      </c>
      <c r="E343" s="16">
        <f t="shared" si="165"/>
        <v>10833.37</v>
      </c>
      <c r="F343" s="2"/>
      <c r="G343" s="33">
        <f t="shared" si="174"/>
        <v>6.53</v>
      </c>
      <c r="H343" s="34">
        <v>0</v>
      </c>
      <c r="I343" s="16">
        <f t="shared" si="168"/>
        <v>19.590000000000003</v>
      </c>
      <c r="K343" s="14">
        <v>0</v>
      </c>
      <c r="L343" s="15">
        <v>0</v>
      </c>
      <c r="M343" s="16">
        <f t="shared" si="166"/>
        <v>0</v>
      </c>
      <c r="O343" s="33">
        <f t="shared" si="169"/>
        <v>0</v>
      </c>
      <c r="P343" s="34">
        <v>0</v>
      </c>
      <c r="Q343" s="16">
        <f t="shared" si="170"/>
        <v>0</v>
      </c>
      <c r="S343" s="33">
        <v>0</v>
      </c>
      <c r="T343" s="34">
        <v>0</v>
      </c>
      <c r="U343" s="16">
        <f t="shared" si="171"/>
        <v>0</v>
      </c>
      <c r="W343" s="14">
        <f t="shared" si="157"/>
        <v>0</v>
      </c>
      <c r="X343" s="15">
        <v>0</v>
      </c>
      <c r="Y343" s="16">
        <f t="shared" si="172"/>
        <v>0</v>
      </c>
      <c r="Z343" s="70"/>
      <c r="AA343" s="14">
        <f t="shared" si="158"/>
        <v>1.64</v>
      </c>
      <c r="AB343" s="15">
        <v>0</v>
      </c>
      <c r="AC343" s="16">
        <f t="shared" si="159"/>
        <v>4.92</v>
      </c>
      <c r="AD343" s="70"/>
      <c r="AF343" s="19">
        <v>51</v>
      </c>
      <c r="AG343" s="30">
        <f t="shared" si="160"/>
        <v>46337</v>
      </c>
      <c r="AH343" s="31">
        <f t="shared" si="161"/>
        <v>10833.37</v>
      </c>
      <c r="AI343" s="31">
        <f t="shared" si="162"/>
        <v>0</v>
      </c>
      <c r="AJ343" s="34">
        <f t="shared" si="163"/>
        <v>0</v>
      </c>
      <c r="AK343" s="31">
        <f t="shared" si="164"/>
        <v>0</v>
      </c>
      <c r="AL343" s="32">
        <f t="shared" si="173"/>
        <v>0</v>
      </c>
    </row>
    <row r="344" spans="1:44" hidden="1" outlineLevel="1" x14ac:dyDescent="0.45">
      <c r="A344" s="27">
        <v>46338</v>
      </c>
      <c r="B344" s="28">
        <f t="shared" si="167"/>
        <v>1</v>
      </c>
      <c r="C344" s="14">
        <v>0</v>
      </c>
      <c r="D344" s="15">
        <v>0</v>
      </c>
      <c r="E344" s="16">
        <f t="shared" si="165"/>
        <v>10833.37</v>
      </c>
      <c r="F344" s="2"/>
      <c r="G344" s="33">
        <f t="shared" si="174"/>
        <v>6.53</v>
      </c>
      <c r="H344" s="34">
        <v>0</v>
      </c>
      <c r="I344" s="16">
        <f t="shared" si="168"/>
        <v>26.120000000000005</v>
      </c>
      <c r="K344" s="14">
        <v>0</v>
      </c>
      <c r="L344" s="15">
        <v>0</v>
      </c>
      <c r="M344" s="16">
        <f t="shared" si="166"/>
        <v>0</v>
      </c>
      <c r="O344" s="33">
        <f t="shared" si="169"/>
        <v>0</v>
      </c>
      <c r="P344" s="34">
        <v>0</v>
      </c>
      <c r="Q344" s="16">
        <f t="shared" si="170"/>
        <v>0</v>
      </c>
      <c r="S344" s="33">
        <v>0</v>
      </c>
      <c r="T344" s="34">
        <v>0</v>
      </c>
      <c r="U344" s="16">
        <f t="shared" si="171"/>
        <v>0</v>
      </c>
      <c r="W344" s="14">
        <f t="shared" si="157"/>
        <v>0</v>
      </c>
      <c r="X344" s="15">
        <v>0</v>
      </c>
      <c r="Y344" s="16">
        <f t="shared" si="172"/>
        <v>0</v>
      </c>
      <c r="Z344" s="70"/>
      <c r="AA344" s="14">
        <f t="shared" si="158"/>
        <v>1.64</v>
      </c>
      <c r="AB344" s="15">
        <v>0</v>
      </c>
      <c r="AC344" s="16">
        <f t="shared" si="159"/>
        <v>6.56</v>
      </c>
      <c r="AD344" s="70"/>
      <c r="AF344" s="19">
        <v>52</v>
      </c>
      <c r="AG344" s="30">
        <f t="shared" si="160"/>
        <v>46338</v>
      </c>
      <c r="AH344" s="31">
        <f t="shared" si="161"/>
        <v>10833.37</v>
      </c>
      <c r="AI344" s="31">
        <f t="shared" si="162"/>
        <v>0</v>
      </c>
      <c r="AJ344" s="34">
        <f t="shared" si="163"/>
        <v>0</v>
      </c>
      <c r="AK344" s="31">
        <f t="shared" si="164"/>
        <v>0</v>
      </c>
      <c r="AL344" s="32">
        <f t="shared" si="173"/>
        <v>0</v>
      </c>
    </row>
    <row r="345" spans="1:44" hidden="1" outlineLevel="1" x14ac:dyDescent="0.45">
      <c r="A345" s="27">
        <v>46339</v>
      </c>
      <c r="B345" s="28">
        <f t="shared" si="167"/>
        <v>1</v>
      </c>
      <c r="C345" s="14">
        <v>0</v>
      </c>
      <c r="D345" s="15">
        <v>0</v>
      </c>
      <c r="E345" s="16">
        <f t="shared" si="165"/>
        <v>10833.37</v>
      </c>
      <c r="F345" s="2"/>
      <c r="G345" s="33">
        <f t="shared" si="174"/>
        <v>6.53</v>
      </c>
      <c r="H345" s="34">
        <v>0</v>
      </c>
      <c r="I345" s="16">
        <f t="shared" si="168"/>
        <v>32.650000000000006</v>
      </c>
      <c r="K345" s="14">
        <v>0</v>
      </c>
      <c r="L345" s="15">
        <v>0</v>
      </c>
      <c r="M345" s="16">
        <f t="shared" si="166"/>
        <v>0</v>
      </c>
      <c r="O345" s="33">
        <f t="shared" si="169"/>
        <v>0</v>
      </c>
      <c r="P345" s="34">
        <v>0</v>
      </c>
      <c r="Q345" s="16">
        <f t="shared" si="170"/>
        <v>0</v>
      </c>
      <c r="S345" s="33">
        <v>0</v>
      </c>
      <c r="T345" s="34">
        <v>0</v>
      </c>
      <c r="U345" s="16">
        <f t="shared" si="171"/>
        <v>0</v>
      </c>
      <c r="W345" s="14">
        <f t="shared" si="157"/>
        <v>0</v>
      </c>
      <c r="X345" s="15">
        <v>0</v>
      </c>
      <c r="Y345" s="16">
        <f t="shared" si="172"/>
        <v>0</v>
      </c>
      <c r="Z345" s="70"/>
      <c r="AA345" s="14">
        <f t="shared" si="158"/>
        <v>1.64</v>
      </c>
      <c r="AB345" s="15">
        <v>0</v>
      </c>
      <c r="AC345" s="16">
        <f t="shared" si="159"/>
        <v>8.1999999999999993</v>
      </c>
      <c r="AD345" s="70"/>
      <c r="AF345" s="19">
        <v>53</v>
      </c>
      <c r="AG345" s="30">
        <f t="shared" si="160"/>
        <v>46339</v>
      </c>
      <c r="AH345" s="31">
        <f t="shared" si="161"/>
        <v>10833.37</v>
      </c>
      <c r="AI345" s="31">
        <f t="shared" si="162"/>
        <v>0</v>
      </c>
      <c r="AJ345" s="34">
        <f t="shared" si="163"/>
        <v>0</v>
      </c>
      <c r="AK345" s="31">
        <f t="shared" si="164"/>
        <v>0</v>
      </c>
      <c r="AL345" s="32">
        <f t="shared" si="173"/>
        <v>0</v>
      </c>
    </row>
    <row r="346" spans="1:44" hidden="1" outlineLevel="1" x14ac:dyDescent="0.45">
      <c r="A346" s="27">
        <v>46340</v>
      </c>
      <c r="B346" s="28">
        <f t="shared" si="167"/>
        <v>1</v>
      </c>
      <c r="C346" s="14">
        <v>0</v>
      </c>
      <c r="D346" s="15">
        <v>0</v>
      </c>
      <c r="E346" s="16">
        <f t="shared" si="165"/>
        <v>10833.37</v>
      </c>
      <c r="F346" s="2"/>
      <c r="G346" s="33">
        <f t="shared" si="174"/>
        <v>6.53</v>
      </c>
      <c r="H346" s="34">
        <v>0</v>
      </c>
      <c r="I346" s="16">
        <f t="shared" si="168"/>
        <v>39.180000000000007</v>
      </c>
      <c r="K346" s="14">
        <v>0</v>
      </c>
      <c r="L346" s="15">
        <v>0</v>
      </c>
      <c r="M346" s="16">
        <f t="shared" si="166"/>
        <v>0</v>
      </c>
      <c r="O346" s="33">
        <f t="shared" si="169"/>
        <v>0</v>
      </c>
      <c r="P346" s="34">
        <v>0</v>
      </c>
      <c r="Q346" s="16">
        <f t="shared" si="170"/>
        <v>0</v>
      </c>
      <c r="S346" s="33">
        <v>0</v>
      </c>
      <c r="T346" s="34">
        <v>0</v>
      </c>
      <c r="U346" s="16">
        <f t="shared" si="171"/>
        <v>0</v>
      </c>
      <c r="W346" s="14">
        <f t="shared" si="157"/>
        <v>0</v>
      </c>
      <c r="X346" s="15">
        <v>0</v>
      </c>
      <c r="Y346" s="16">
        <f t="shared" si="172"/>
        <v>0</v>
      </c>
      <c r="Z346" s="70"/>
      <c r="AA346" s="14">
        <f t="shared" si="158"/>
        <v>1.64</v>
      </c>
      <c r="AB346" s="15">
        <v>0</v>
      </c>
      <c r="AC346" s="16">
        <f t="shared" si="159"/>
        <v>9.84</v>
      </c>
      <c r="AD346" s="70"/>
      <c r="AF346" s="19">
        <v>54</v>
      </c>
      <c r="AG346" s="30">
        <f t="shared" si="160"/>
        <v>46340</v>
      </c>
      <c r="AH346" s="31">
        <f t="shared" si="161"/>
        <v>10833.37</v>
      </c>
      <c r="AI346" s="31">
        <f t="shared" si="162"/>
        <v>0</v>
      </c>
      <c r="AJ346" s="34">
        <f t="shared" si="163"/>
        <v>0</v>
      </c>
      <c r="AK346" s="31">
        <f t="shared" si="164"/>
        <v>0</v>
      </c>
      <c r="AL346" s="32">
        <f t="shared" si="173"/>
        <v>0</v>
      </c>
    </row>
    <row r="347" spans="1:44" hidden="1" outlineLevel="1" x14ac:dyDescent="0.45">
      <c r="A347" s="27">
        <v>46341</v>
      </c>
      <c r="B347" s="28">
        <f t="shared" si="167"/>
        <v>1</v>
      </c>
      <c r="C347" s="14">
        <v>0</v>
      </c>
      <c r="D347" s="15">
        <v>0</v>
      </c>
      <c r="E347" s="16">
        <f t="shared" si="165"/>
        <v>10833.37</v>
      </c>
      <c r="F347" s="2"/>
      <c r="G347" s="33">
        <f t="shared" si="174"/>
        <v>6.53</v>
      </c>
      <c r="H347" s="34">
        <v>0</v>
      </c>
      <c r="I347" s="16">
        <f t="shared" si="168"/>
        <v>45.710000000000008</v>
      </c>
      <c r="K347" s="14">
        <v>0</v>
      </c>
      <c r="L347" s="15">
        <v>0</v>
      </c>
      <c r="M347" s="16">
        <f t="shared" si="166"/>
        <v>0</v>
      </c>
      <c r="O347" s="33">
        <f t="shared" si="169"/>
        <v>0</v>
      </c>
      <c r="P347" s="34">
        <v>0</v>
      </c>
      <c r="Q347" s="16">
        <f t="shared" si="170"/>
        <v>0</v>
      </c>
      <c r="S347" s="33">
        <v>0</v>
      </c>
      <c r="T347" s="34">
        <v>0</v>
      </c>
      <c r="U347" s="16">
        <f t="shared" si="171"/>
        <v>0</v>
      </c>
      <c r="W347" s="14">
        <f t="shared" si="157"/>
        <v>0</v>
      </c>
      <c r="X347" s="15">
        <v>0</v>
      </c>
      <c r="Y347" s="16">
        <f t="shared" si="172"/>
        <v>0</v>
      </c>
      <c r="Z347" s="70"/>
      <c r="AA347" s="14">
        <f t="shared" si="158"/>
        <v>1.64</v>
      </c>
      <c r="AB347" s="15">
        <v>0</v>
      </c>
      <c r="AC347" s="16">
        <f t="shared" si="159"/>
        <v>11.48</v>
      </c>
      <c r="AD347" s="70"/>
      <c r="AF347" s="19">
        <v>55</v>
      </c>
      <c r="AG347" s="30">
        <f t="shared" si="160"/>
        <v>46341</v>
      </c>
      <c r="AH347" s="31">
        <f t="shared" si="161"/>
        <v>10833.37</v>
      </c>
      <c r="AI347" s="31">
        <f t="shared" si="162"/>
        <v>0</v>
      </c>
      <c r="AJ347" s="34">
        <f t="shared" si="163"/>
        <v>0</v>
      </c>
      <c r="AK347" s="31">
        <f t="shared" si="164"/>
        <v>0</v>
      </c>
      <c r="AL347" s="32">
        <f t="shared" si="173"/>
        <v>0</v>
      </c>
    </row>
    <row r="348" spans="1:44" hidden="1" outlineLevel="1" x14ac:dyDescent="0.45">
      <c r="A348" s="27">
        <v>46342</v>
      </c>
      <c r="B348" s="28">
        <f t="shared" si="167"/>
        <v>1</v>
      </c>
      <c r="C348" s="14">
        <v>0</v>
      </c>
      <c r="D348" s="15">
        <v>0</v>
      </c>
      <c r="E348" s="16">
        <f t="shared" si="165"/>
        <v>10833.37</v>
      </c>
      <c r="F348" s="2"/>
      <c r="G348" s="33">
        <f t="shared" si="174"/>
        <v>6.53</v>
      </c>
      <c r="H348" s="34">
        <v>0</v>
      </c>
      <c r="I348" s="16">
        <f t="shared" si="168"/>
        <v>52.240000000000009</v>
      </c>
      <c r="K348" s="14">
        <v>0</v>
      </c>
      <c r="L348" s="15">
        <v>0</v>
      </c>
      <c r="M348" s="16">
        <f t="shared" si="166"/>
        <v>0</v>
      </c>
      <c r="O348" s="33">
        <f t="shared" si="169"/>
        <v>0</v>
      </c>
      <c r="P348" s="34">
        <v>0</v>
      </c>
      <c r="Q348" s="16">
        <f t="shared" si="170"/>
        <v>0</v>
      </c>
      <c r="S348" s="33">
        <v>0</v>
      </c>
      <c r="T348" s="34">
        <v>0</v>
      </c>
      <c r="U348" s="16">
        <f t="shared" si="171"/>
        <v>0</v>
      </c>
      <c r="W348" s="14">
        <f t="shared" si="157"/>
        <v>0</v>
      </c>
      <c r="X348" s="15">
        <v>0</v>
      </c>
      <c r="Y348" s="16">
        <f t="shared" si="172"/>
        <v>0</v>
      </c>
      <c r="Z348" s="70"/>
      <c r="AA348" s="14">
        <f t="shared" si="158"/>
        <v>1.64</v>
      </c>
      <c r="AB348" s="15">
        <v>0</v>
      </c>
      <c r="AC348" s="16">
        <f t="shared" si="159"/>
        <v>13.120000000000001</v>
      </c>
      <c r="AD348" s="70"/>
      <c r="AF348" s="19">
        <v>56</v>
      </c>
      <c r="AG348" s="30">
        <f t="shared" si="160"/>
        <v>46342</v>
      </c>
      <c r="AH348" s="31">
        <f t="shared" si="161"/>
        <v>10833.37</v>
      </c>
      <c r="AI348" s="31">
        <f t="shared" si="162"/>
        <v>0</v>
      </c>
      <c r="AJ348" s="34">
        <f t="shared" si="163"/>
        <v>0</v>
      </c>
      <c r="AK348" s="31">
        <f t="shared" si="164"/>
        <v>0</v>
      </c>
      <c r="AL348" s="32">
        <f t="shared" si="173"/>
        <v>0</v>
      </c>
    </row>
    <row r="349" spans="1:44" hidden="1" outlineLevel="1" x14ac:dyDescent="0.45">
      <c r="A349" s="27">
        <v>46343</v>
      </c>
      <c r="B349" s="28">
        <f t="shared" si="167"/>
        <v>1</v>
      </c>
      <c r="C349" s="14">
        <v>0</v>
      </c>
      <c r="D349" s="15">
        <v>0</v>
      </c>
      <c r="E349" s="16">
        <f t="shared" si="165"/>
        <v>10833.37</v>
      </c>
      <c r="F349" s="2"/>
      <c r="G349" s="33">
        <f t="shared" si="174"/>
        <v>6.53</v>
      </c>
      <c r="H349" s="34">
        <v>0</v>
      </c>
      <c r="I349" s="16">
        <f t="shared" si="168"/>
        <v>58.77000000000001</v>
      </c>
      <c r="K349" s="14">
        <v>0</v>
      </c>
      <c r="L349" s="15">
        <v>0</v>
      </c>
      <c r="M349" s="16">
        <f t="shared" si="166"/>
        <v>0</v>
      </c>
      <c r="O349" s="33">
        <f t="shared" si="169"/>
        <v>0</v>
      </c>
      <c r="P349" s="34">
        <v>0</v>
      </c>
      <c r="Q349" s="16">
        <f t="shared" si="170"/>
        <v>0</v>
      </c>
      <c r="S349" s="33">
        <v>0</v>
      </c>
      <c r="T349" s="34">
        <v>0</v>
      </c>
      <c r="U349" s="16">
        <f t="shared" si="171"/>
        <v>0</v>
      </c>
      <c r="W349" s="14">
        <f t="shared" si="157"/>
        <v>0</v>
      </c>
      <c r="X349" s="15">
        <v>0</v>
      </c>
      <c r="Y349" s="16">
        <f t="shared" si="172"/>
        <v>0</v>
      </c>
      <c r="Z349" s="70"/>
      <c r="AA349" s="14">
        <f t="shared" si="158"/>
        <v>1.64</v>
      </c>
      <c r="AB349" s="15">
        <v>0</v>
      </c>
      <c r="AC349" s="16">
        <f t="shared" si="159"/>
        <v>14.760000000000002</v>
      </c>
      <c r="AD349" s="70"/>
      <c r="AF349" s="19">
        <v>57</v>
      </c>
      <c r="AG349" s="30">
        <f t="shared" si="160"/>
        <v>46343</v>
      </c>
      <c r="AH349" s="31">
        <f t="shared" si="161"/>
        <v>10833.37</v>
      </c>
      <c r="AI349" s="31">
        <f t="shared" si="162"/>
        <v>0</v>
      </c>
      <c r="AJ349" s="34">
        <f t="shared" si="163"/>
        <v>0</v>
      </c>
      <c r="AK349" s="31">
        <f t="shared" si="164"/>
        <v>0</v>
      </c>
      <c r="AL349" s="32">
        <f t="shared" si="173"/>
        <v>0</v>
      </c>
    </row>
    <row r="350" spans="1:44" hidden="1" outlineLevel="1" x14ac:dyDescent="0.45">
      <c r="A350" s="27">
        <v>46344</v>
      </c>
      <c r="B350" s="28">
        <f t="shared" si="167"/>
        <v>1</v>
      </c>
      <c r="C350" s="14">
        <v>0</v>
      </c>
      <c r="D350" s="15">
        <v>0</v>
      </c>
      <c r="E350" s="16">
        <f t="shared" si="165"/>
        <v>10833.37</v>
      </c>
      <c r="F350" s="2"/>
      <c r="G350" s="33">
        <f t="shared" si="174"/>
        <v>6.53</v>
      </c>
      <c r="H350" s="34">
        <v>0</v>
      </c>
      <c r="I350" s="16">
        <f t="shared" si="168"/>
        <v>65.300000000000011</v>
      </c>
      <c r="K350" s="14">
        <v>0</v>
      </c>
      <c r="L350" s="15">
        <v>0</v>
      </c>
      <c r="M350" s="16">
        <f t="shared" si="166"/>
        <v>0</v>
      </c>
      <c r="O350" s="33">
        <f t="shared" si="169"/>
        <v>0</v>
      </c>
      <c r="P350" s="34">
        <v>0</v>
      </c>
      <c r="Q350" s="16">
        <f t="shared" si="170"/>
        <v>0</v>
      </c>
      <c r="S350" s="33">
        <v>0</v>
      </c>
      <c r="T350" s="34">
        <v>0</v>
      </c>
      <c r="U350" s="16">
        <f t="shared" si="171"/>
        <v>0</v>
      </c>
      <c r="W350" s="14">
        <f t="shared" si="157"/>
        <v>0</v>
      </c>
      <c r="X350" s="15">
        <v>0</v>
      </c>
      <c r="Y350" s="16">
        <f t="shared" si="172"/>
        <v>0</v>
      </c>
      <c r="Z350" s="70"/>
      <c r="AA350" s="14">
        <f t="shared" si="158"/>
        <v>1.64</v>
      </c>
      <c r="AB350" s="15">
        <v>0</v>
      </c>
      <c r="AC350" s="16">
        <f t="shared" si="159"/>
        <v>16.400000000000002</v>
      </c>
      <c r="AD350" s="70"/>
      <c r="AF350" s="19">
        <v>58</v>
      </c>
      <c r="AG350" s="30">
        <f t="shared" si="160"/>
        <v>46344</v>
      </c>
      <c r="AH350" s="31">
        <f t="shared" si="161"/>
        <v>10833.37</v>
      </c>
      <c r="AI350" s="31">
        <f t="shared" si="162"/>
        <v>0</v>
      </c>
      <c r="AJ350" s="34">
        <f t="shared" si="163"/>
        <v>0</v>
      </c>
      <c r="AK350" s="31">
        <f t="shared" si="164"/>
        <v>0</v>
      </c>
      <c r="AL350" s="32">
        <f t="shared" si="173"/>
        <v>0</v>
      </c>
    </row>
    <row r="351" spans="1:44" hidden="1" outlineLevel="1" x14ac:dyDescent="0.45">
      <c r="A351" s="27">
        <v>46345</v>
      </c>
      <c r="B351" s="28">
        <f t="shared" si="167"/>
        <v>1</v>
      </c>
      <c r="C351" s="14">
        <v>0</v>
      </c>
      <c r="D351" s="15">
        <v>0</v>
      </c>
      <c r="E351" s="16">
        <f t="shared" si="165"/>
        <v>10833.37</v>
      </c>
      <c r="F351" s="2"/>
      <c r="G351" s="33">
        <f t="shared" si="174"/>
        <v>6.53</v>
      </c>
      <c r="H351" s="34">
        <v>0</v>
      </c>
      <c r="I351" s="16">
        <f t="shared" si="168"/>
        <v>71.830000000000013</v>
      </c>
      <c r="K351" s="14">
        <v>0</v>
      </c>
      <c r="L351" s="15">
        <v>0</v>
      </c>
      <c r="M351" s="16">
        <f t="shared" si="166"/>
        <v>0</v>
      </c>
      <c r="O351" s="33">
        <f t="shared" si="169"/>
        <v>0</v>
      </c>
      <c r="P351" s="34">
        <v>0</v>
      </c>
      <c r="Q351" s="16">
        <f t="shared" si="170"/>
        <v>0</v>
      </c>
      <c r="S351" s="33">
        <v>0</v>
      </c>
      <c r="T351" s="34">
        <v>0</v>
      </c>
      <c r="U351" s="16">
        <f t="shared" si="171"/>
        <v>0</v>
      </c>
      <c r="W351" s="14">
        <f t="shared" si="157"/>
        <v>0</v>
      </c>
      <c r="X351" s="15">
        <v>0</v>
      </c>
      <c r="Y351" s="16">
        <f t="shared" si="172"/>
        <v>0</v>
      </c>
      <c r="Z351" s="70"/>
      <c r="AA351" s="14">
        <f t="shared" si="158"/>
        <v>1.64</v>
      </c>
      <c r="AB351" s="15">
        <v>0</v>
      </c>
      <c r="AC351" s="16">
        <f t="shared" si="159"/>
        <v>18.040000000000003</v>
      </c>
      <c r="AD351" s="70"/>
      <c r="AF351" s="19">
        <v>59</v>
      </c>
      <c r="AG351" s="30">
        <f t="shared" si="160"/>
        <v>46345</v>
      </c>
      <c r="AH351" s="31">
        <f t="shared" si="161"/>
        <v>10833.37</v>
      </c>
      <c r="AI351" s="31">
        <f t="shared" si="162"/>
        <v>0</v>
      </c>
      <c r="AJ351" s="34">
        <f t="shared" si="163"/>
        <v>0</v>
      </c>
      <c r="AK351" s="31">
        <f t="shared" si="164"/>
        <v>0</v>
      </c>
      <c r="AL351" s="32">
        <f t="shared" si="173"/>
        <v>0</v>
      </c>
    </row>
    <row r="352" spans="1:44" hidden="1" outlineLevel="1" x14ac:dyDescent="0.45">
      <c r="A352" s="27">
        <v>46346</v>
      </c>
      <c r="B352" s="28">
        <f t="shared" si="167"/>
        <v>1</v>
      </c>
      <c r="C352" s="14">
        <v>0</v>
      </c>
      <c r="D352" s="15">
        <v>0</v>
      </c>
      <c r="E352" s="16">
        <f t="shared" si="165"/>
        <v>10833.37</v>
      </c>
      <c r="F352" s="2"/>
      <c r="G352" s="33">
        <f t="shared" si="174"/>
        <v>6.53</v>
      </c>
      <c r="H352" s="34">
        <v>0</v>
      </c>
      <c r="I352" s="16">
        <f t="shared" si="168"/>
        <v>78.360000000000014</v>
      </c>
      <c r="K352" s="14">
        <v>0</v>
      </c>
      <c r="L352" s="15">
        <v>0</v>
      </c>
      <c r="M352" s="16">
        <f t="shared" si="166"/>
        <v>0</v>
      </c>
      <c r="O352" s="33">
        <f t="shared" si="169"/>
        <v>0</v>
      </c>
      <c r="P352" s="34">
        <v>0</v>
      </c>
      <c r="Q352" s="16">
        <f t="shared" si="170"/>
        <v>0</v>
      </c>
      <c r="S352" s="33">
        <v>0</v>
      </c>
      <c r="T352" s="34">
        <v>0</v>
      </c>
      <c r="U352" s="16">
        <f t="shared" si="171"/>
        <v>0</v>
      </c>
      <c r="W352" s="14">
        <f t="shared" si="157"/>
        <v>0</v>
      </c>
      <c r="X352" s="15">
        <v>0</v>
      </c>
      <c r="Y352" s="16">
        <f t="shared" si="172"/>
        <v>0</v>
      </c>
      <c r="Z352" s="70"/>
      <c r="AA352" s="14">
        <f t="shared" si="158"/>
        <v>1.64</v>
      </c>
      <c r="AB352" s="15">
        <v>0</v>
      </c>
      <c r="AC352" s="16">
        <f t="shared" si="159"/>
        <v>19.680000000000003</v>
      </c>
      <c r="AD352" s="70"/>
      <c r="AF352" s="19">
        <v>60</v>
      </c>
      <c r="AG352" s="30">
        <f t="shared" si="160"/>
        <v>46346</v>
      </c>
      <c r="AH352" s="31">
        <f t="shared" si="161"/>
        <v>10833.37</v>
      </c>
      <c r="AI352" s="31">
        <f t="shared" si="162"/>
        <v>0</v>
      </c>
      <c r="AJ352" s="34">
        <f t="shared" si="163"/>
        <v>0</v>
      </c>
      <c r="AK352" s="31">
        <f t="shared" si="164"/>
        <v>0</v>
      </c>
      <c r="AL352" s="32">
        <f t="shared" si="173"/>
        <v>0</v>
      </c>
    </row>
    <row r="353" spans="1:38" hidden="1" outlineLevel="1" x14ac:dyDescent="0.45">
      <c r="A353" s="27">
        <v>46347</v>
      </c>
      <c r="B353" s="28">
        <f t="shared" si="167"/>
        <v>1</v>
      </c>
      <c r="C353" s="14">
        <v>0</v>
      </c>
      <c r="D353" s="15">
        <v>0</v>
      </c>
      <c r="E353" s="16">
        <f t="shared" si="165"/>
        <v>10833.37</v>
      </c>
      <c r="F353" s="2"/>
      <c r="G353" s="33">
        <f t="shared" si="174"/>
        <v>6.53</v>
      </c>
      <c r="H353" s="34">
        <v>0</v>
      </c>
      <c r="I353" s="16">
        <f t="shared" si="168"/>
        <v>84.890000000000015</v>
      </c>
      <c r="K353" s="14">
        <v>0</v>
      </c>
      <c r="L353" s="15">
        <v>0</v>
      </c>
      <c r="M353" s="16">
        <f t="shared" si="166"/>
        <v>0</v>
      </c>
      <c r="O353" s="33">
        <f t="shared" si="169"/>
        <v>0</v>
      </c>
      <c r="P353" s="34">
        <v>0</v>
      </c>
      <c r="Q353" s="16">
        <f t="shared" si="170"/>
        <v>0</v>
      </c>
      <c r="S353" s="33">
        <v>0</v>
      </c>
      <c r="T353" s="34">
        <v>0</v>
      </c>
      <c r="U353" s="16">
        <f t="shared" si="171"/>
        <v>0</v>
      </c>
      <c r="W353" s="14">
        <f t="shared" si="157"/>
        <v>0</v>
      </c>
      <c r="X353" s="15">
        <v>0</v>
      </c>
      <c r="Y353" s="16">
        <f t="shared" si="172"/>
        <v>0</v>
      </c>
      <c r="Z353" s="70"/>
      <c r="AA353" s="14">
        <f t="shared" si="158"/>
        <v>1.64</v>
      </c>
      <c r="AB353" s="15">
        <v>0</v>
      </c>
      <c r="AC353" s="16">
        <f t="shared" si="159"/>
        <v>21.320000000000004</v>
      </c>
      <c r="AD353" s="70"/>
      <c r="AF353" s="19">
        <v>61</v>
      </c>
      <c r="AG353" s="30">
        <f t="shared" si="160"/>
        <v>46347</v>
      </c>
      <c r="AH353" s="31">
        <f t="shared" si="161"/>
        <v>10833.37</v>
      </c>
      <c r="AI353" s="31">
        <f t="shared" si="162"/>
        <v>0</v>
      </c>
      <c r="AJ353" s="34">
        <f t="shared" si="163"/>
        <v>0</v>
      </c>
      <c r="AK353" s="31">
        <f t="shared" si="164"/>
        <v>0</v>
      </c>
      <c r="AL353" s="32">
        <f t="shared" si="173"/>
        <v>0</v>
      </c>
    </row>
    <row r="354" spans="1:38" hidden="1" outlineLevel="1" x14ac:dyDescent="0.45">
      <c r="A354" s="27">
        <v>46348</v>
      </c>
      <c r="B354" s="28">
        <f t="shared" si="167"/>
        <v>1</v>
      </c>
      <c r="C354" s="14">
        <v>0</v>
      </c>
      <c r="D354" s="15">
        <v>0</v>
      </c>
      <c r="E354" s="16">
        <f t="shared" si="165"/>
        <v>10833.37</v>
      </c>
      <c r="F354" s="2"/>
      <c r="G354" s="33">
        <f t="shared" si="174"/>
        <v>6.53</v>
      </c>
      <c r="H354" s="34">
        <v>0</v>
      </c>
      <c r="I354" s="16">
        <f t="shared" si="168"/>
        <v>91.420000000000016</v>
      </c>
      <c r="K354" s="14">
        <v>0</v>
      </c>
      <c r="L354" s="15">
        <v>0</v>
      </c>
      <c r="M354" s="16">
        <f t="shared" si="166"/>
        <v>0</v>
      </c>
      <c r="O354" s="33">
        <f t="shared" si="169"/>
        <v>0</v>
      </c>
      <c r="P354" s="34">
        <v>0</v>
      </c>
      <c r="Q354" s="16">
        <f t="shared" si="170"/>
        <v>0</v>
      </c>
      <c r="S354" s="33">
        <v>0</v>
      </c>
      <c r="T354" s="34">
        <v>0</v>
      </c>
      <c r="U354" s="16">
        <f t="shared" si="171"/>
        <v>0</v>
      </c>
      <c r="W354" s="14">
        <f t="shared" si="157"/>
        <v>0</v>
      </c>
      <c r="X354" s="15">
        <v>0</v>
      </c>
      <c r="Y354" s="16">
        <f t="shared" si="172"/>
        <v>0</v>
      </c>
      <c r="Z354" s="70"/>
      <c r="AA354" s="14">
        <f t="shared" si="158"/>
        <v>1.64</v>
      </c>
      <c r="AB354" s="15">
        <v>0</v>
      </c>
      <c r="AC354" s="16">
        <f t="shared" si="159"/>
        <v>22.960000000000004</v>
      </c>
      <c r="AD354" s="70"/>
      <c r="AF354" s="19">
        <v>62</v>
      </c>
      <c r="AG354" s="30">
        <f t="shared" si="160"/>
        <v>46348</v>
      </c>
      <c r="AH354" s="31">
        <f t="shared" si="161"/>
        <v>10833.37</v>
      </c>
      <c r="AI354" s="31">
        <f t="shared" si="162"/>
        <v>0</v>
      </c>
      <c r="AJ354" s="34">
        <f t="shared" si="163"/>
        <v>0</v>
      </c>
      <c r="AK354" s="31">
        <f t="shared" si="164"/>
        <v>0</v>
      </c>
      <c r="AL354" s="32">
        <f t="shared" si="173"/>
        <v>0</v>
      </c>
    </row>
    <row r="355" spans="1:38" hidden="1" outlineLevel="1" x14ac:dyDescent="0.45">
      <c r="A355" s="27">
        <v>46349</v>
      </c>
      <c r="B355" s="28">
        <f t="shared" si="167"/>
        <v>1</v>
      </c>
      <c r="C355" s="14">
        <v>0</v>
      </c>
      <c r="D355" s="15">
        <v>0</v>
      </c>
      <c r="E355" s="16">
        <f t="shared" si="165"/>
        <v>10833.37</v>
      </c>
      <c r="F355" s="2"/>
      <c r="G355" s="33">
        <f t="shared" si="174"/>
        <v>6.53</v>
      </c>
      <c r="H355" s="34">
        <v>0</v>
      </c>
      <c r="I355" s="16">
        <f t="shared" si="168"/>
        <v>97.950000000000017</v>
      </c>
      <c r="K355" s="14">
        <v>0</v>
      </c>
      <c r="L355" s="15">
        <v>0</v>
      </c>
      <c r="M355" s="16">
        <f t="shared" si="166"/>
        <v>0</v>
      </c>
      <c r="O355" s="33">
        <f t="shared" si="169"/>
        <v>0</v>
      </c>
      <c r="P355" s="34">
        <v>0</v>
      </c>
      <c r="Q355" s="16">
        <f t="shared" si="170"/>
        <v>0</v>
      </c>
      <c r="S355" s="33">
        <v>0</v>
      </c>
      <c r="T355" s="34">
        <v>0</v>
      </c>
      <c r="U355" s="16">
        <f t="shared" si="171"/>
        <v>0</v>
      </c>
      <c r="W355" s="14">
        <f t="shared" ref="W355:W372" si="175">ROUND(M354*$W$5*B355,2)</f>
        <v>0</v>
      </c>
      <c r="X355" s="15">
        <v>0</v>
      </c>
      <c r="Y355" s="16">
        <f t="shared" si="172"/>
        <v>0</v>
      </c>
      <c r="Z355" s="70"/>
      <c r="AA355" s="14">
        <f t="shared" si="158"/>
        <v>1.64</v>
      </c>
      <c r="AB355" s="15">
        <v>0</v>
      </c>
      <c r="AC355" s="16">
        <f t="shared" si="159"/>
        <v>24.600000000000005</v>
      </c>
      <c r="AD355" s="70"/>
      <c r="AF355" s="19">
        <v>63</v>
      </c>
      <c r="AG355" s="30">
        <f t="shared" si="160"/>
        <v>46349</v>
      </c>
      <c r="AH355" s="31">
        <f t="shared" si="161"/>
        <v>10833.37</v>
      </c>
      <c r="AI355" s="31">
        <f t="shared" si="162"/>
        <v>0</v>
      </c>
      <c r="AJ355" s="34">
        <f t="shared" si="163"/>
        <v>0</v>
      </c>
      <c r="AK355" s="31">
        <f t="shared" si="164"/>
        <v>0</v>
      </c>
      <c r="AL355" s="32">
        <f t="shared" si="173"/>
        <v>0</v>
      </c>
    </row>
    <row r="356" spans="1:38" hidden="1" outlineLevel="1" x14ac:dyDescent="0.45">
      <c r="A356" s="27">
        <v>46350</v>
      </c>
      <c r="B356" s="28">
        <f t="shared" si="167"/>
        <v>1</v>
      </c>
      <c r="C356" s="14">
        <v>0</v>
      </c>
      <c r="D356" s="15">
        <v>0</v>
      </c>
      <c r="E356" s="16">
        <f t="shared" si="165"/>
        <v>10833.37</v>
      </c>
      <c r="F356" s="2"/>
      <c r="G356" s="33">
        <f t="shared" si="174"/>
        <v>6.53</v>
      </c>
      <c r="H356" s="34">
        <v>0</v>
      </c>
      <c r="I356" s="16">
        <f t="shared" si="168"/>
        <v>104.48000000000002</v>
      </c>
      <c r="K356" s="14">
        <v>0</v>
      </c>
      <c r="L356" s="15">
        <v>0</v>
      </c>
      <c r="M356" s="16">
        <f t="shared" si="166"/>
        <v>0</v>
      </c>
      <c r="O356" s="33">
        <f t="shared" si="169"/>
        <v>0</v>
      </c>
      <c r="P356" s="34">
        <v>0</v>
      </c>
      <c r="Q356" s="16">
        <f t="shared" si="170"/>
        <v>0</v>
      </c>
      <c r="S356" s="33">
        <v>0</v>
      </c>
      <c r="T356" s="34">
        <v>0</v>
      </c>
      <c r="U356" s="16">
        <f t="shared" si="171"/>
        <v>0</v>
      </c>
      <c r="W356" s="14">
        <f t="shared" si="175"/>
        <v>0</v>
      </c>
      <c r="X356" s="15">
        <v>0</v>
      </c>
      <c r="Y356" s="16">
        <f t="shared" si="172"/>
        <v>0</v>
      </c>
      <c r="Z356" s="70"/>
      <c r="AA356" s="14">
        <f t="shared" si="158"/>
        <v>1.64</v>
      </c>
      <c r="AB356" s="15">
        <v>0</v>
      </c>
      <c r="AC356" s="16">
        <f t="shared" si="159"/>
        <v>26.240000000000006</v>
      </c>
      <c r="AD356" s="70"/>
      <c r="AF356" s="19">
        <v>64</v>
      </c>
      <c r="AG356" s="30">
        <f t="shared" si="160"/>
        <v>46350</v>
      </c>
      <c r="AH356" s="31">
        <f t="shared" si="161"/>
        <v>10833.37</v>
      </c>
      <c r="AI356" s="31">
        <f t="shared" si="162"/>
        <v>0</v>
      </c>
      <c r="AJ356" s="34">
        <f t="shared" si="163"/>
        <v>0</v>
      </c>
      <c r="AK356" s="31">
        <f t="shared" si="164"/>
        <v>0</v>
      </c>
      <c r="AL356" s="32">
        <f t="shared" si="173"/>
        <v>0</v>
      </c>
    </row>
    <row r="357" spans="1:38" hidden="1" outlineLevel="1" x14ac:dyDescent="0.45">
      <c r="A357" s="27">
        <v>46351</v>
      </c>
      <c r="B357" s="28">
        <f t="shared" si="167"/>
        <v>1</v>
      </c>
      <c r="C357" s="14">
        <v>0</v>
      </c>
      <c r="D357" s="15">
        <v>0</v>
      </c>
      <c r="E357" s="16">
        <f t="shared" si="165"/>
        <v>10833.37</v>
      </c>
      <c r="F357" s="2"/>
      <c r="G357" s="33">
        <f t="shared" si="174"/>
        <v>6.53</v>
      </c>
      <c r="H357" s="34">
        <v>0</v>
      </c>
      <c r="I357" s="16">
        <f t="shared" si="168"/>
        <v>111.01000000000002</v>
      </c>
      <c r="K357" s="14">
        <v>0</v>
      </c>
      <c r="L357" s="15">
        <v>0</v>
      </c>
      <c r="M357" s="16">
        <f t="shared" si="166"/>
        <v>0</v>
      </c>
      <c r="O357" s="33">
        <f t="shared" si="169"/>
        <v>0</v>
      </c>
      <c r="P357" s="34">
        <v>0</v>
      </c>
      <c r="Q357" s="16">
        <f t="shared" si="170"/>
        <v>0</v>
      </c>
      <c r="S357" s="33">
        <v>0</v>
      </c>
      <c r="T357" s="34">
        <v>0</v>
      </c>
      <c r="U357" s="16">
        <f t="shared" si="171"/>
        <v>0</v>
      </c>
      <c r="W357" s="14">
        <f t="shared" si="175"/>
        <v>0</v>
      </c>
      <c r="X357" s="15">
        <v>0</v>
      </c>
      <c r="Y357" s="16">
        <f t="shared" si="172"/>
        <v>0</v>
      </c>
      <c r="Z357" s="70"/>
      <c r="AA357" s="14">
        <f t="shared" si="158"/>
        <v>1.64</v>
      </c>
      <c r="AB357" s="15">
        <v>0</v>
      </c>
      <c r="AC357" s="16">
        <f t="shared" si="159"/>
        <v>27.880000000000006</v>
      </c>
      <c r="AD357" s="70"/>
      <c r="AF357" s="19">
        <v>65</v>
      </c>
      <c r="AG357" s="30">
        <f t="shared" si="160"/>
        <v>46351</v>
      </c>
      <c r="AH357" s="31">
        <f t="shared" si="161"/>
        <v>10833.37</v>
      </c>
      <c r="AI357" s="31">
        <f t="shared" si="162"/>
        <v>0</v>
      </c>
      <c r="AJ357" s="34">
        <f t="shared" si="163"/>
        <v>0</v>
      </c>
      <c r="AK357" s="31">
        <f t="shared" si="164"/>
        <v>0</v>
      </c>
      <c r="AL357" s="32">
        <f t="shared" si="173"/>
        <v>0</v>
      </c>
    </row>
    <row r="358" spans="1:38" hidden="1" outlineLevel="1" x14ac:dyDescent="0.45">
      <c r="A358" s="27">
        <v>46352</v>
      </c>
      <c r="B358" s="28">
        <f t="shared" si="167"/>
        <v>1</v>
      </c>
      <c r="C358" s="14">
        <v>0</v>
      </c>
      <c r="D358" s="15">
        <v>0</v>
      </c>
      <c r="E358" s="16">
        <f t="shared" si="165"/>
        <v>10833.37</v>
      </c>
      <c r="F358" s="2"/>
      <c r="G358" s="33">
        <f t="shared" si="174"/>
        <v>6.53</v>
      </c>
      <c r="H358" s="34">
        <v>0</v>
      </c>
      <c r="I358" s="16">
        <f t="shared" si="168"/>
        <v>117.54000000000002</v>
      </c>
      <c r="K358" s="14">
        <v>0</v>
      </c>
      <c r="L358" s="15">
        <v>0</v>
      </c>
      <c r="M358" s="16">
        <f t="shared" si="166"/>
        <v>0</v>
      </c>
      <c r="O358" s="33">
        <f t="shared" si="169"/>
        <v>0</v>
      </c>
      <c r="P358" s="34">
        <v>0</v>
      </c>
      <c r="Q358" s="16">
        <f t="shared" si="170"/>
        <v>0</v>
      </c>
      <c r="S358" s="33">
        <v>0</v>
      </c>
      <c r="T358" s="34">
        <v>0</v>
      </c>
      <c r="U358" s="16">
        <f t="shared" si="171"/>
        <v>0</v>
      </c>
      <c r="W358" s="14">
        <f t="shared" si="175"/>
        <v>0</v>
      </c>
      <c r="X358" s="15">
        <v>0</v>
      </c>
      <c r="Y358" s="16">
        <f t="shared" si="172"/>
        <v>0</v>
      </c>
      <c r="Z358" s="70"/>
      <c r="AA358" s="14">
        <f t="shared" si="158"/>
        <v>1.64</v>
      </c>
      <c r="AB358" s="15">
        <v>0</v>
      </c>
      <c r="AC358" s="16">
        <f t="shared" si="159"/>
        <v>29.520000000000007</v>
      </c>
      <c r="AD358" s="70"/>
      <c r="AF358" s="19">
        <v>66</v>
      </c>
      <c r="AG358" s="30">
        <f t="shared" si="160"/>
        <v>46352</v>
      </c>
      <c r="AH358" s="31">
        <f t="shared" si="161"/>
        <v>10833.37</v>
      </c>
      <c r="AI358" s="31">
        <f t="shared" si="162"/>
        <v>0</v>
      </c>
      <c r="AJ358" s="34">
        <f t="shared" si="163"/>
        <v>0</v>
      </c>
      <c r="AK358" s="31">
        <f t="shared" si="164"/>
        <v>0</v>
      </c>
      <c r="AL358" s="32">
        <f t="shared" si="173"/>
        <v>0</v>
      </c>
    </row>
    <row r="359" spans="1:38" hidden="1" outlineLevel="1" x14ac:dyDescent="0.45">
      <c r="A359" s="27">
        <v>46353</v>
      </c>
      <c r="B359" s="28">
        <f t="shared" si="167"/>
        <v>1</v>
      </c>
      <c r="C359" s="14">
        <v>0</v>
      </c>
      <c r="D359" s="15">
        <v>0</v>
      </c>
      <c r="E359" s="16">
        <f t="shared" si="165"/>
        <v>10833.37</v>
      </c>
      <c r="F359" s="2"/>
      <c r="G359" s="33">
        <f t="shared" si="174"/>
        <v>6.53</v>
      </c>
      <c r="H359" s="34">
        <v>0</v>
      </c>
      <c r="I359" s="16">
        <f t="shared" si="168"/>
        <v>124.07000000000002</v>
      </c>
      <c r="K359" s="14">
        <v>0</v>
      </c>
      <c r="L359" s="15">
        <v>0</v>
      </c>
      <c r="M359" s="16">
        <f t="shared" si="166"/>
        <v>0</v>
      </c>
      <c r="O359" s="33">
        <f t="shared" si="169"/>
        <v>0</v>
      </c>
      <c r="P359" s="34">
        <v>0</v>
      </c>
      <c r="Q359" s="16">
        <f t="shared" si="170"/>
        <v>0</v>
      </c>
      <c r="S359" s="33">
        <v>0</v>
      </c>
      <c r="T359" s="34">
        <v>0</v>
      </c>
      <c r="U359" s="16">
        <f t="shared" si="171"/>
        <v>0</v>
      </c>
      <c r="W359" s="14">
        <f t="shared" si="175"/>
        <v>0</v>
      </c>
      <c r="X359" s="15">
        <v>0</v>
      </c>
      <c r="Y359" s="16">
        <f t="shared" si="172"/>
        <v>0</v>
      </c>
      <c r="Z359" s="70"/>
      <c r="AA359" s="14">
        <f t="shared" si="158"/>
        <v>1.64</v>
      </c>
      <c r="AB359" s="15">
        <v>0</v>
      </c>
      <c r="AC359" s="16">
        <f t="shared" si="159"/>
        <v>31.160000000000007</v>
      </c>
      <c r="AD359" s="70"/>
      <c r="AF359" s="19">
        <v>67</v>
      </c>
      <c r="AG359" s="30">
        <f t="shared" si="160"/>
        <v>46353</v>
      </c>
      <c r="AH359" s="31">
        <f t="shared" si="161"/>
        <v>10833.37</v>
      </c>
      <c r="AI359" s="31">
        <f t="shared" si="162"/>
        <v>0</v>
      </c>
      <c r="AJ359" s="34">
        <f t="shared" si="163"/>
        <v>0</v>
      </c>
      <c r="AK359" s="31">
        <f t="shared" si="164"/>
        <v>0</v>
      </c>
      <c r="AL359" s="32">
        <f t="shared" si="173"/>
        <v>0</v>
      </c>
    </row>
    <row r="360" spans="1:38" hidden="1" outlineLevel="1" x14ac:dyDescent="0.45">
      <c r="A360" s="27">
        <v>46354</v>
      </c>
      <c r="B360" s="28">
        <f t="shared" si="167"/>
        <v>1</v>
      </c>
      <c r="C360" s="14">
        <v>0</v>
      </c>
      <c r="D360" s="15">
        <v>0</v>
      </c>
      <c r="E360" s="16">
        <f t="shared" si="165"/>
        <v>10833.37</v>
      </c>
      <c r="F360" s="2"/>
      <c r="G360" s="33">
        <f t="shared" si="174"/>
        <v>6.53</v>
      </c>
      <c r="H360" s="34">
        <v>0</v>
      </c>
      <c r="I360" s="16">
        <f t="shared" si="168"/>
        <v>130.60000000000002</v>
      </c>
      <c r="K360" s="14">
        <v>0</v>
      </c>
      <c r="L360" s="15">
        <v>0</v>
      </c>
      <c r="M360" s="16">
        <f t="shared" si="166"/>
        <v>0</v>
      </c>
      <c r="O360" s="33">
        <f t="shared" si="169"/>
        <v>0</v>
      </c>
      <c r="P360" s="34">
        <v>0</v>
      </c>
      <c r="Q360" s="16">
        <f t="shared" si="170"/>
        <v>0</v>
      </c>
      <c r="S360" s="33">
        <v>0</v>
      </c>
      <c r="T360" s="34">
        <v>0</v>
      </c>
      <c r="U360" s="16">
        <f t="shared" si="171"/>
        <v>0</v>
      </c>
      <c r="W360" s="14">
        <f t="shared" si="175"/>
        <v>0</v>
      </c>
      <c r="X360" s="15">
        <v>0</v>
      </c>
      <c r="Y360" s="16">
        <f t="shared" si="172"/>
        <v>0</v>
      </c>
      <c r="Z360" s="70"/>
      <c r="AA360" s="14">
        <f t="shared" si="158"/>
        <v>1.64</v>
      </c>
      <c r="AB360" s="15">
        <v>0</v>
      </c>
      <c r="AC360" s="16">
        <f t="shared" si="159"/>
        <v>32.800000000000004</v>
      </c>
      <c r="AD360" s="70"/>
      <c r="AF360" s="19">
        <v>68</v>
      </c>
      <c r="AG360" s="30">
        <f t="shared" si="160"/>
        <v>46354</v>
      </c>
      <c r="AH360" s="31">
        <f t="shared" si="161"/>
        <v>10833.37</v>
      </c>
      <c r="AI360" s="31">
        <f t="shared" si="162"/>
        <v>0</v>
      </c>
      <c r="AJ360" s="34">
        <f t="shared" si="163"/>
        <v>0</v>
      </c>
      <c r="AK360" s="31">
        <f t="shared" si="164"/>
        <v>0</v>
      </c>
      <c r="AL360" s="32">
        <f t="shared" si="173"/>
        <v>0</v>
      </c>
    </row>
    <row r="361" spans="1:38" hidden="1" outlineLevel="1" x14ac:dyDescent="0.45">
      <c r="A361" s="27">
        <v>46355</v>
      </c>
      <c r="B361" s="28">
        <f t="shared" si="167"/>
        <v>1</v>
      </c>
      <c r="C361" s="14">
        <v>0</v>
      </c>
      <c r="D361" s="15">
        <v>0</v>
      </c>
      <c r="E361" s="16">
        <f t="shared" si="165"/>
        <v>10833.37</v>
      </c>
      <c r="F361" s="2"/>
      <c r="G361" s="33">
        <f t="shared" si="174"/>
        <v>6.53</v>
      </c>
      <c r="H361" s="34">
        <v>0</v>
      </c>
      <c r="I361" s="16">
        <f t="shared" si="168"/>
        <v>137.13000000000002</v>
      </c>
      <c r="K361" s="14">
        <v>0</v>
      </c>
      <c r="L361" s="15">
        <v>0</v>
      </c>
      <c r="M361" s="16">
        <f t="shared" si="166"/>
        <v>0</v>
      </c>
      <c r="O361" s="33">
        <f t="shared" si="169"/>
        <v>0</v>
      </c>
      <c r="P361" s="34">
        <v>0</v>
      </c>
      <c r="Q361" s="16">
        <f t="shared" si="170"/>
        <v>0</v>
      </c>
      <c r="S361" s="33">
        <v>0</v>
      </c>
      <c r="T361" s="34">
        <v>0</v>
      </c>
      <c r="U361" s="16">
        <f t="shared" si="171"/>
        <v>0</v>
      </c>
      <c r="W361" s="14">
        <f t="shared" si="175"/>
        <v>0</v>
      </c>
      <c r="X361" s="15">
        <v>0</v>
      </c>
      <c r="Y361" s="16">
        <f t="shared" si="172"/>
        <v>0</v>
      </c>
      <c r="Z361" s="70"/>
      <c r="AA361" s="14">
        <f t="shared" si="158"/>
        <v>1.64</v>
      </c>
      <c r="AB361" s="15">
        <v>0</v>
      </c>
      <c r="AC361" s="16">
        <f t="shared" si="159"/>
        <v>34.440000000000005</v>
      </c>
      <c r="AD361" s="70"/>
      <c r="AF361" s="19">
        <v>69</v>
      </c>
      <c r="AG361" s="30">
        <f t="shared" si="160"/>
        <v>46355</v>
      </c>
      <c r="AH361" s="31">
        <f t="shared" si="161"/>
        <v>10833.37</v>
      </c>
      <c r="AI361" s="31">
        <f t="shared" si="162"/>
        <v>0</v>
      </c>
      <c r="AJ361" s="34">
        <f t="shared" si="163"/>
        <v>0</v>
      </c>
      <c r="AK361" s="31">
        <f t="shared" si="164"/>
        <v>0</v>
      </c>
      <c r="AL361" s="32">
        <f t="shared" si="173"/>
        <v>0</v>
      </c>
    </row>
    <row r="362" spans="1:38" hidden="1" outlineLevel="1" x14ac:dyDescent="0.45">
      <c r="A362" s="27">
        <v>46356</v>
      </c>
      <c r="B362" s="28">
        <f t="shared" si="167"/>
        <v>1</v>
      </c>
      <c r="C362" s="14">
        <v>0</v>
      </c>
      <c r="D362" s="15">
        <v>0</v>
      </c>
      <c r="E362" s="16">
        <f t="shared" si="165"/>
        <v>10833.37</v>
      </c>
      <c r="F362" s="2"/>
      <c r="G362" s="33">
        <f t="shared" si="174"/>
        <v>6.53</v>
      </c>
      <c r="H362" s="34">
        <v>0</v>
      </c>
      <c r="I362" s="16">
        <f t="shared" si="168"/>
        <v>143.66000000000003</v>
      </c>
      <c r="K362" s="14">
        <v>0</v>
      </c>
      <c r="L362" s="15">
        <v>0</v>
      </c>
      <c r="M362" s="16">
        <f t="shared" si="166"/>
        <v>0</v>
      </c>
      <c r="O362" s="33">
        <f t="shared" si="169"/>
        <v>0</v>
      </c>
      <c r="P362" s="34">
        <v>0</v>
      </c>
      <c r="Q362" s="16">
        <f t="shared" si="170"/>
        <v>0</v>
      </c>
      <c r="S362" s="33">
        <v>0</v>
      </c>
      <c r="T362" s="34">
        <v>0</v>
      </c>
      <c r="U362" s="16">
        <f t="shared" si="171"/>
        <v>0</v>
      </c>
      <c r="W362" s="14">
        <f t="shared" si="175"/>
        <v>0</v>
      </c>
      <c r="X362" s="15">
        <v>0</v>
      </c>
      <c r="Y362" s="16">
        <f t="shared" si="172"/>
        <v>0</v>
      </c>
      <c r="Z362" s="70"/>
      <c r="AA362" s="14">
        <f t="shared" si="158"/>
        <v>1.64</v>
      </c>
      <c r="AB362" s="15">
        <v>0</v>
      </c>
      <c r="AC362" s="16">
        <f t="shared" si="159"/>
        <v>36.080000000000005</v>
      </c>
      <c r="AD362" s="70"/>
      <c r="AF362" s="19">
        <v>70</v>
      </c>
      <c r="AG362" s="30">
        <f t="shared" si="160"/>
        <v>46356</v>
      </c>
      <c r="AH362" s="31">
        <f t="shared" si="161"/>
        <v>10833.37</v>
      </c>
      <c r="AI362" s="31">
        <f t="shared" si="162"/>
        <v>0</v>
      </c>
      <c r="AJ362" s="34">
        <f t="shared" si="163"/>
        <v>0</v>
      </c>
      <c r="AK362" s="31">
        <f t="shared" si="164"/>
        <v>0</v>
      </c>
      <c r="AL362" s="32">
        <f t="shared" si="173"/>
        <v>0</v>
      </c>
    </row>
    <row r="363" spans="1:38" hidden="1" outlineLevel="1" x14ac:dyDescent="0.45">
      <c r="A363" s="27">
        <v>46357</v>
      </c>
      <c r="B363" s="28">
        <f t="shared" si="167"/>
        <v>1</v>
      </c>
      <c r="C363" s="14">
        <v>0</v>
      </c>
      <c r="D363" s="15">
        <v>0</v>
      </c>
      <c r="E363" s="16">
        <f t="shared" si="165"/>
        <v>10833.37</v>
      </c>
      <c r="F363" s="2"/>
      <c r="G363" s="33">
        <f t="shared" si="174"/>
        <v>6.53</v>
      </c>
      <c r="H363" s="34">
        <v>0</v>
      </c>
      <c r="I363" s="16">
        <f t="shared" si="168"/>
        <v>150.19000000000003</v>
      </c>
      <c r="K363" s="14">
        <v>0</v>
      </c>
      <c r="L363" s="15">
        <v>0</v>
      </c>
      <c r="M363" s="16">
        <f t="shared" si="166"/>
        <v>0</v>
      </c>
      <c r="O363" s="33">
        <f t="shared" si="169"/>
        <v>0</v>
      </c>
      <c r="P363" s="34">
        <v>0</v>
      </c>
      <c r="Q363" s="16">
        <f t="shared" si="170"/>
        <v>0</v>
      </c>
      <c r="S363" s="33">
        <v>0</v>
      </c>
      <c r="T363" s="34">
        <v>0</v>
      </c>
      <c r="U363" s="16">
        <f t="shared" si="171"/>
        <v>0</v>
      </c>
      <c r="W363" s="14">
        <f t="shared" si="175"/>
        <v>0</v>
      </c>
      <c r="X363" s="15">
        <v>0</v>
      </c>
      <c r="Y363" s="16">
        <f t="shared" si="172"/>
        <v>0</v>
      </c>
      <c r="Z363" s="70"/>
      <c r="AA363" s="14">
        <f t="shared" si="158"/>
        <v>1.64</v>
      </c>
      <c r="AB363" s="15">
        <v>0</v>
      </c>
      <c r="AC363" s="16">
        <f t="shared" si="159"/>
        <v>37.720000000000006</v>
      </c>
      <c r="AD363" s="70"/>
      <c r="AF363" s="19">
        <v>71</v>
      </c>
      <c r="AG363" s="30">
        <f t="shared" si="160"/>
        <v>46357</v>
      </c>
      <c r="AH363" s="31">
        <f t="shared" si="161"/>
        <v>10833.37</v>
      </c>
      <c r="AI363" s="31">
        <f t="shared" si="162"/>
        <v>0</v>
      </c>
      <c r="AJ363" s="34">
        <f t="shared" si="163"/>
        <v>0</v>
      </c>
      <c r="AK363" s="31">
        <f t="shared" si="164"/>
        <v>0</v>
      </c>
      <c r="AL363" s="32">
        <f t="shared" si="173"/>
        <v>0</v>
      </c>
    </row>
    <row r="364" spans="1:38" hidden="1" outlineLevel="1" x14ac:dyDescent="0.45">
      <c r="A364" s="27">
        <v>46358</v>
      </c>
      <c r="B364" s="28">
        <f t="shared" si="167"/>
        <v>1</v>
      </c>
      <c r="C364" s="14">
        <v>0</v>
      </c>
      <c r="D364" s="15">
        <v>0</v>
      </c>
      <c r="E364" s="16">
        <f t="shared" si="165"/>
        <v>10833.37</v>
      </c>
      <c r="F364" s="2"/>
      <c r="G364" s="33">
        <f t="shared" si="174"/>
        <v>6.53</v>
      </c>
      <c r="H364" s="34">
        <v>0</v>
      </c>
      <c r="I364" s="16">
        <f t="shared" si="168"/>
        <v>156.72000000000003</v>
      </c>
      <c r="K364" s="14">
        <v>0</v>
      </c>
      <c r="L364" s="15">
        <v>0</v>
      </c>
      <c r="M364" s="16">
        <f t="shared" si="166"/>
        <v>0</v>
      </c>
      <c r="O364" s="33">
        <f t="shared" si="169"/>
        <v>0</v>
      </c>
      <c r="P364" s="34">
        <v>0</v>
      </c>
      <c r="Q364" s="16">
        <f t="shared" si="170"/>
        <v>0</v>
      </c>
      <c r="S364" s="33">
        <v>0</v>
      </c>
      <c r="T364" s="34">
        <v>0</v>
      </c>
      <c r="U364" s="16">
        <f t="shared" si="171"/>
        <v>0</v>
      </c>
      <c r="W364" s="14">
        <f t="shared" si="175"/>
        <v>0</v>
      </c>
      <c r="X364" s="15">
        <v>0</v>
      </c>
      <c r="Y364" s="16">
        <f t="shared" si="172"/>
        <v>0</v>
      </c>
      <c r="Z364" s="70"/>
      <c r="AA364" s="14">
        <f t="shared" si="158"/>
        <v>1.64</v>
      </c>
      <c r="AB364" s="15">
        <v>0</v>
      </c>
      <c r="AC364" s="16">
        <f t="shared" si="159"/>
        <v>39.360000000000007</v>
      </c>
      <c r="AD364" s="70"/>
      <c r="AF364" s="19">
        <v>72</v>
      </c>
      <c r="AG364" s="30">
        <f t="shared" si="160"/>
        <v>46358</v>
      </c>
      <c r="AH364" s="31">
        <f t="shared" si="161"/>
        <v>10833.37</v>
      </c>
      <c r="AI364" s="31">
        <f t="shared" si="162"/>
        <v>0</v>
      </c>
      <c r="AJ364" s="34">
        <f t="shared" si="163"/>
        <v>0</v>
      </c>
      <c r="AK364" s="31">
        <f t="shared" si="164"/>
        <v>0</v>
      </c>
      <c r="AL364" s="32">
        <f t="shared" si="173"/>
        <v>0</v>
      </c>
    </row>
    <row r="365" spans="1:38" hidden="1" outlineLevel="1" x14ac:dyDescent="0.45">
      <c r="A365" s="27">
        <v>46359</v>
      </c>
      <c r="B365" s="28">
        <f t="shared" si="167"/>
        <v>1</v>
      </c>
      <c r="C365" s="14">
        <v>0</v>
      </c>
      <c r="D365" s="15">
        <v>0</v>
      </c>
      <c r="E365" s="16">
        <f t="shared" si="165"/>
        <v>10833.37</v>
      </c>
      <c r="F365" s="2"/>
      <c r="G365" s="33">
        <f t="shared" si="174"/>
        <v>6.53</v>
      </c>
      <c r="H365" s="34">
        <v>0</v>
      </c>
      <c r="I365" s="16">
        <f t="shared" si="168"/>
        <v>163.25000000000003</v>
      </c>
      <c r="K365" s="14">
        <v>0</v>
      </c>
      <c r="L365" s="15">
        <v>0</v>
      </c>
      <c r="M365" s="16">
        <f t="shared" si="166"/>
        <v>0</v>
      </c>
      <c r="O365" s="33">
        <f t="shared" si="169"/>
        <v>0</v>
      </c>
      <c r="P365" s="34">
        <v>0</v>
      </c>
      <c r="Q365" s="16">
        <f t="shared" si="170"/>
        <v>0</v>
      </c>
      <c r="S365" s="33">
        <v>0</v>
      </c>
      <c r="T365" s="34">
        <v>0</v>
      </c>
      <c r="U365" s="16">
        <f t="shared" si="171"/>
        <v>0</v>
      </c>
      <c r="W365" s="14">
        <f t="shared" si="175"/>
        <v>0</v>
      </c>
      <c r="X365" s="15">
        <v>0</v>
      </c>
      <c r="Y365" s="16">
        <f t="shared" si="172"/>
        <v>0</v>
      </c>
      <c r="Z365" s="70"/>
      <c r="AA365" s="14">
        <f t="shared" si="158"/>
        <v>1.64</v>
      </c>
      <c r="AB365" s="15">
        <v>0</v>
      </c>
      <c r="AC365" s="16">
        <f t="shared" si="159"/>
        <v>41.000000000000007</v>
      </c>
      <c r="AD365" s="70"/>
      <c r="AF365" s="19">
        <v>73</v>
      </c>
      <c r="AG365" s="30">
        <f t="shared" si="160"/>
        <v>46359</v>
      </c>
      <c r="AH365" s="31">
        <f t="shared" si="161"/>
        <v>10833.37</v>
      </c>
      <c r="AI365" s="31">
        <f t="shared" si="162"/>
        <v>0</v>
      </c>
      <c r="AJ365" s="34">
        <f t="shared" si="163"/>
        <v>0</v>
      </c>
      <c r="AK365" s="31">
        <f t="shared" si="164"/>
        <v>0</v>
      </c>
      <c r="AL365" s="32">
        <f t="shared" si="173"/>
        <v>0</v>
      </c>
    </row>
    <row r="366" spans="1:38" hidden="1" outlineLevel="1" x14ac:dyDescent="0.45">
      <c r="A366" s="27">
        <v>46360</v>
      </c>
      <c r="B366" s="28">
        <f t="shared" si="167"/>
        <v>1</v>
      </c>
      <c r="C366" s="14">
        <v>0</v>
      </c>
      <c r="D366" s="15">
        <v>0</v>
      </c>
      <c r="E366" s="16">
        <f t="shared" si="165"/>
        <v>10833.37</v>
      </c>
      <c r="F366" s="2"/>
      <c r="G366" s="33">
        <f t="shared" si="174"/>
        <v>6.53</v>
      </c>
      <c r="H366" s="34">
        <v>0</v>
      </c>
      <c r="I366" s="16">
        <f t="shared" si="168"/>
        <v>169.78000000000003</v>
      </c>
      <c r="K366" s="14">
        <v>0</v>
      </c>
      <c r="L366" s="15">
        <v>0</v>
      </c>
      <c r="M366" s="16">
        <f t="shared" si="166"/>
        <v>0</v>
      </c>
      <c r="O366" s="33">
        <f t="shared" si="169"/>
        <v>0</v>
      </c>
      <c r="P366" s="34">
        <v>0</v>
      </c>
      <c r="Q366" s="16">
        <f t="shared" si="170"/>
        <v>0</v>
      </c>
      <c r="S366" s="33">
        <v>0</v>
      </c>
      <c r="T366" s="34">
        <v>0</v>
      </c>
      <c r="U366" s="16">
        <f t="shared" si="171"/>
        <v>0</v>
      </c>
      <c r="W366" s="14">
        <f t="shared" si="175"/>
        <v>0</v>
      </c>
      <c r="X366" s="15">
        <v>0</v>
      </c>
      <c r="Y366" s="16">
        <f t="shared" si="172"/>
        <v>0</v>
      </c>
      <c r="Z366" s="70"/>
      <c r="AA366" s="14">
        <f t="shared" si="158"/>
        <v>1.64</v>
      </c>
      <c r="AB366" s="15">
        <v>0</v>
      </c>
      <c r="AC366" s="16">
        <f t="shared" si="159"/>
        <v>42.640000000000008</v>
      </c>
      <c r="AD366" s="70"/>
      <c r="AF366" s="19">
        <v>74</v>
      </c>
      <c r="AG366" s="30">
        <f t="shared" si="160"/>
        <v>46360</v>
      </c>
      <c r="AH366" s="31">
        <f t="shared" si="161"/>
        <v>10833.37</v>
      </c>
      <c r="AI366" s="31">
        <f t="shared" si="162"/>
        <v>0</v>
      </c>
      <c r="AJ366" s="34">
        <f t="shared" si="163"/>
        <v>0</v>
      </c>
      <c r="AK366" s="31">
        <f t="shared" si="164"/>
        <v>0</v>
      </c>
      <c r="AL366" s="32">
        <f t="shared" si="173"/>
        <v>0</v>
      </c>
    </row>
    <row r="367" spans="1:38" hidden="1" outlineLevel="1" x14ac:dyDescent="0.45">
      <c r="A367" s="27">
        <v>46361</v>
      </c>
      <c r="B367" s="28">
        <f t="shared" si="167"/>
        <v>1</v>
      </c>
      <c r="C367" s="14">
        <v>0</v>
      </c>
      <c r="D367" s="15">
        <v>0</v>
      </c>
      <c r="E367" s="16">
        <f t="shared" si="165"/>
        <v>10833.37</v>
      </c>
      <c r="F367" s="2"/>
      <c r="G367" s="33">
        <f t="shared" si="174"/>
        <v>6.53</v>
      </c>
      <c r="H367" s="34">
        <v>0</v>
      </c>
      <c r="I367" s="16">
        <f t="shared" si="168"/>
        <v>176.31000000000003</v>
      </c>
      <c r="K367" s="14">
        <v>0</v>
      </c>
      <c r="L367" s="15">
        <v>0</v>
      </c>
      <c r="M367" s="16">
        <f t="shared" si="166"/>
        <v>0</v>
      </c>
      <c r="O367" s="33">
        <f t="shared" si="169"/>
        <v>0</v>
      </c>
      <c r="P367" s="34">
        <v>0</v>
      </c>
      <c r="Q367" s="16">
        <f t="shared" si="170"/>
        <v>0</v>
      </c>
      <c r="S367" s="33">
        <v>0</v>
      </c>
      <c r="T367" s="34">
        <v>0</v>
      </c>
      <c r="U367" s="16">
        <f t="shared" si="171"/>
        <v>0</v>
      </c>
      <c r="W367" s="14">
        <f t="shared" si="175"/>
        <v>0</v>
      </c>
      <c r="X367" s="15">
        <v>0</v>
      </c>
      <c r="Y367" s="16">
        <f t="shared" si="172"/>
        <v>0</v>
      </c>
      <c r="Z367" s="70"/>
      <c r="AA367" s="14">
        <f t="shared" si="158"/>
        <v>1.64</v>
      </c>
      <c r="AB367" s="15">
        <v>0</v>
      </c>
      <c r="AC367" s="16">
        <f t="shared" si="159"/>
        <v>44.280000000000008</v>
      </c>
      <c r="AD367" s="70"/>
      <c r="AF367" s="19">
        <v>75</v>
      </c>
      <c r="AG367" s="30">
        <f t="shared" si="160"/>
        <v>46361</v>
      </c>
      <c r="AH367" s="31">
        <f t="shared" si="161"/>
        <v>10833.37</v>
      </c>
      <c r="AI367" s="31">
        <f t="shared" si="162"/>
        <v>0</v>
      </c>
      <c r="AJ367" s="34">
        <f t="shared" si="163"/>
        <v>0</v>
      </c>
      <c r="AK367" s="31">
        <f t="shared" si="164"/>
        <v>0</v>
      </c>
      <c r="AL367" s="32">
        <f t="shared" si="173"/>
        <v>0</v>
      </c>
    </row>
    <row r="368" spans="1:38" hidden="1" outlineLevel="1" x14ac:dyDescent="0.45">
      <c r="A368" s="27">
        <v>46362</v>
      </c>
      <c r="B368" s="28">
        <f t="shared" si="167"/>
        <v>1</v>
      </c>
      <c r="C368" s="14">
        <v>0</v>
      </c>
      <c r="D368" s="15">
        <v>0</v>
      </c>
      <c r="E368" s="16">
        <f t="shared" si="165"/>
        <v>10833.37</v>
      </c>
      <c r="F368" s="2"/>
      <c r="G368" s="33">
        <f t="shared" si="174"/>
        <v>6.53</v>
      </c>
      <c r="H368" s="34">
        <v>0</v>
      </c>
      <c r="I368" s="16">
        <f t="shared" si="168"/>
        <v>182.84000000000003</v>
      </c>
      <c r="K368" s="14">
        <v>0</v>
      </c>
      <c r="L368" s="15">
        <v>0</v>
      </c>
      <c r="M368" s="16">
        <f t="shared" si="166"/>
        <v>0</v>
      </c>
      <c r="O368" s="33">
        <f t="shared" si="169"/>
        <v>0</v>
      </c>
      <c r="P368" s="34">
        <v>0</v>
      </c>
      <c r="Q368" s="16">
        <f t="shared" si="170"/>
        <v>0</v>
      </c>
      <c r="S368" s="33">
        <v>0</v>
      </c>
      <c r="T368" s="34">
        <v>0</v>
      </c>
      <c r="U368" s="16">
        <f t="shared" si="171"/>
        <v>0</v>
      </c>
      <c r="W368" s="14">
        <f t="shared" si="175"/>
        <v>0</v>
      </c>
      <c r="X368" s="15">
        <v>0</v>
      </c>
      <c r="Y368" s="16">
        <f t="shared" si="172"/>
        <v>0</v>
      </c>
      <c r="Z368" s="70"/>
      <c r="AA368" s="14">
        <f t="shared" si="158"/>
        <v>1.64</v>
      </c>
      <c r="AB368" s="15">
        <v>0</v>
      </c>
      <c r="AC368" s="16">
        <f t="shared" si="159"/>
        <v>45.920000000000009</v>
      </c>
      <c r="AD368" s="70"/>
      <c r="AF368" s="19">
        <v>76</v>
      </c>
      <c r="AG368" s="30">
        <f t="shared" si="160"/>
        <v>46362</v>
      </c>
      <c r="AH368" s="31">
        <f t="shared" si="161"/>
        <v>10833.37</v>
      </c>
      <c r="AI368" s="31">
        <f t="shared" si="162"/>
        <v>0</v>
      </c>
      <c r="AJ368" s="34">
        <f t="shared" si="163"/>
        <v>0</v>
      </c>
      <c r="AK368" s="31">
        <f t="shared" si="164"/>
        <v>0</v>
      </c>
      <c r="AL368" s="32">
        <f t="shared" si="173"/>
        <v>0</v>
      </c>
    </row>
    <row r="369" spans="1:44" hidden="1" outlineLevel="1" x14ac:dyDescent="0.45">
      <c r="A369" s="27">
        <v>46363</v>
      </c>
      <c r="B369" s="28">
        <f t="shared" si="167"/>
        <v>1</v>
      </c>
      <c r="C369" s="14">
        <v>0</v>
      </c>
      <c r="D369" s="15">
        <v>0</v>
      </c>
      <c r="E369" s="16">
        <f t="shared" si="165"/>
        <v>10833.37</v>
      </c>
      <c r="F369" s="2"/>
      <c r="G369" s="33">
        <f t="shared" si="174"/>
        <v>6.53</v>
      </c>
      <c r="H369" s="34">
        <v>0</v>
      </c>
      <c r="I369" s="16">
        <f t="shared" si="168"/>
        <v>189.37000000000003</v>
      </c>
      <c r="K369" s="14">
        <v>0</v>
      </c>
      <c r="L369" s="15">
        <v>0</v>
      </c>
      <c r="M369" s="16">
        <f t="shared" si="166"/>
        <v>0</v>
      </c>
      <c r="O369" s="33">
        <f t="shared" si="169"/>
        <v>0</v>
      </c>
      <c r="P369" s="34">
        <v>0</v>
      </c>
      <c r="Q369" s="16">
        <f t="shared" si="170"/>
        <v>0</v>
      </c>
      <c r="S369" s="33">
        <v>0</v>
      </c>
      <c r="T369" s="34">
        <v>0</v>
      </c>
      <c r="U369" s="16">
        <f t="shared" si="171"/>
        <v>0</v>
      </c>
      <c r="W369" s="14">
        <f t="shared" si="175"/>
        <v>0</v>
      </c>
      <c r="X369" s="15">
        <v>0</v>
      </c>
      <c r="Y369" s="16">
        <f t="shared" si="172"/>
        <v>0</v>
      </c>
      <c r="Z369" s="70"/>
      <c r="AA369" s="14">
        <f t="shared" si="158"/>
        <v>1.64</v>
      </c>
      <c r="AB369" s="15">
        <v>0</v>
      </c>
      <c r="AC369" s="16">
        <f t="shared" si="159"/>
        <v>47.560000000000009</v>
      </c>
      <c r="AD369" s="70"/>
      <c r="AF369" s="19">
        <v>77</v>
      </c>
      <c r="AG369" s="30">
        <f t="shared" si="160"/>
        <v>46363</v>
      </c>
      <c r="AH369" s="31">
        <f t="shared" si="161"/>
        <v>10833.37</v>
      </c>
      <c r="AI369" s="31">
        <f t="shared" si="162"/>
        <v>0</v>
      </c>
      <c r="AJ369" s="34">
        <f t="shared" si="163"/>
        <v>0</v>
      </c>
      <c r="AK369" s="31">
        <f t="shared" si="164"/>
        <v>0</v>
      </c>
      <c r="AL369" s="32">
        <f t="shared" si="173"/>
        <v>0</v>
      </c>
    </row>
    <row r="370" spans="1:44" hidden="1" outlineLevel="1" x14ac:dyDescent="0.45">
      <c r="A370" s="27">
        <v>46364</v>
      </c>
      <c r="B370" s="28">
        <f t="shared" si="167"/>
        <v>1</v>
      </c>
      <c r="C370" s="14">
        <v>0</v>
      </c>
      <c r="D370" s="15">
        <v>0</v>
      </c>
      <c r="E370" s="16">
        <f t="shared" si="165"/>
        <v>10833.37</v>
      </c>
      <c r="F370" s="2"/>
      <c r="G370" s="33">
        <f t="shared" si="174"/>
        <v>6.53</v>
      </c>
      <c r="H370" s="34">
        <v>0</v>
      </c>
      <c r="I370" s="16">
        <f t="shared" si="168"/>
        <v>195.90000000000003</v>
      </c>
      <c r="K370" s="14">
        <v>0</v>
      </c>
      <c r="L370" s="15">
        <v>0</v>
      </c>
      <c r="M370" s="16">
        <f t="shared" si="166"/>
        <v>0</v>
      </c>
      <c r="O370" s="33">
        <f t="shared" si="169"/>
        <v>0</v>
      </c>
      <c r="P370" s="34">
        <v>0</v>
      </c>
      <c r="Q370" s="16">
        <f t="shared" si="170"/>
        <v>0</v>
      </c>
      <c r="S370" s="33">
        <v>0</v>
      </c>
      <c r="T370" s="34">
        <v>0</v>
      </c>
      <c r="U370" s="16">
        <f t="shared" si="171"/>
        <v>0</v>
      </c>
      <c r="W370" s="14">
        <f t="shared" si="175"/>
        <v>0</v>
      </c>
      <c r="X370" s="15">
        <v>0</v>
      </c>
      <c r="Y370" s="16">
        <f t="shared" si="172"/>
        <v>0</v>
      </c>
      <c r="Z370" s="70"/>
      <c r="AA370" s="14">
        <f t="shared" si="158"/>
        <v>1.64</v>
      </c>
      <c r="AB370" s="15">
        <v>0</v>
      </c>
      <c r="AC370" s="16">
        <f t="shared" si="159"/>
        <v>49.20000000000001</v>
      </c>
      <c r="AD370" s="70"/>
      <c r="AF370" s="19">
        <v>78</v>
      </c>
      <c r="AG370" s="30">
        <f t="shared" si="160"/>
        <v>46364</v>
      </c>
      <c r="AH370" s="31">
        <f t="shared" si="161"/>
        <v>10833.37</v>
      </c>
      <c r="AI370" s="31">
        <f t="shared" si="162"/>
        <v>0</v>
      </c>
      <c r="AJ370" s="34">
        <f t="shared" si="163"/>
        <v>0</v>
      </c>
      <c r="AK370" s="31">
        <f t="shared" si="164"/>
        <v>0</v>
      </c>
      <c r="AL370" s="32">
        <f t="shared" si="173"/>
        <v>0</v>
      </c>
    </row>
    <row r="371" spans="1:44" hidden="1" outlineLevel="1" x14ac:dyDescent="0.45">
      <c r="A371" s="27">
        <v>46365</v>
      </c>
      <c r="B371" s="28">
        <f t="shared" si="167"/>
        <v>1</v>
      </c>
      <c r="C371" s="14">
        <v>0</v>
      </c>
      <c r="D371" s="15">
        <v>0</v>
      </c>
      <c r="E371" s="16">
        <f t="shared" si="165"/>
        <v>10833.37</v>
      </c>
      <c r="F371" s="2"/>
      <c r="G371" s="33">
        <f t="shared" si="174"/>
        <v>6.53</v>
      </c>
      <c r="H371" s="34">
        <v>0</v>
      </c>
      <c r="I371" s="16">
        <f t="shared" si="168"/>
        <v>202.43000000000004</v>
      </c>
      <c r="K371" s="14">
        <v>0</v>
      </c>
      <c r="L371" s="15">
        <v>0</v>
      </c>
      <c r="M371" s="16">
        <f t="shared" si="166"/>
        <v>0</v>
      </c>
      <c r="O371" s="33">
        <f t="shared" si="169"/>
        <v>0</v>
      </c>
      <c r="P371" s="34">
        <v>0</v>
      </c>
      <c r="Q371" s="16">
        <f t="shared" si="170"/>
        <v>0</v>
      </c>
      <c r="S371" s="33">
        <v>0</v>
      </c>
      <c r="T371" s="34">
        <v>0</v>
      </c>
      <c r="U371" s="16">
        <f t="shared" si="171"/>
        <v>0</v>
      </c>
      <c r="W371" s="14">
        <f t="shared" si="175"/>
        <v>0</v>
      </c>
      <c r="X371" s="15">
        <v>0</v>
      </c>
      <c r="Y371" s="16">
        <f t="shared" si="172"/>
        <v>0</v>
      </c>
      <c r="Z371" s="70"/>
      <c r="AA371" s="14">
        <f t="shared" si="158"/>
        <v>1.64</v>
      </c>
      <c r="AB371" s="15">
        <v>0</v>
      </c>
      <c r="AC371" s="16">
        <f t="shared" si="159"/>
        <v>50.840000000000011</v>
      </c>
      <c r="AD371" s="70"/>
      <c r="AF371" s="19">
        <v>79</v>
      </c>
      <c r="AG371" s="30">
        <f t="shared" si="160"/>
        <v>46365</v>
      </c>
      <c r="AH371" s="31">
        <f t="shared" si="161"/>
        <v>10833.37</v>
      </c>
      <c r="AI371" s="31">
        <f t="shared" si="162"/>
        <v>0</v>
      </c>
      <c r="AJ371" s="34">
        <f t="shared" si="163"/>
        <v>0</v>
      </c>
      <c r="AK371" s="31">
        <f t="shared" si="164"/>
        <v>0</v>
      </c>
      <c r="AL371" s="32">
        <f t="shared" si="173"/>
        <v>0</v>
      </c>
    </row>
    <row r="372" spans="1:44" s="39" customFormat="1" collapsed="1" x14ac:dyDescent="0.45">
      <c r="A372" s="27">
        <v>46366</v>
      </c>
      <c r="B372" s="35">
        <f t="shared" si="167"/>
        <v>1</v>
      </c>
      <c r="C372" s="36">
        <v>0</v>
      </c>
      <c r="D372" s="37">
        <v>833.33</v>
      </c>
      <c r="E372" s="38">
        <f t="shared" si="165"/>
        <v>10000.040000000001</v>
      </c>
      <c r="G372" s="36">
        <f>ROUND(E372*$G$5/$D$5*B372,2)</f>
        <v>6.03</v>
      </c>
      <c r="H372" s="37">
        <f>I371</f>
        <v>202.43000000000004</v>
      </c>
      <c r="I372" s="38">
        <f t="shared" si="168"/>
        <v>6.0300000000000011</v>
      </c>
      <c r="K372" s="36">
        <v>0</v>
      </c>
      <c r="L372" s="37">
        <v>0</v>
      </c>
      <c r="M372" s="38">
        <f t="shared" si="166"/>
        <v>0</v>
      </c>
      <c r="O372" s="33">
        <f t="shared" si="169"/>
        <v>0</v>
      </c>
      <c r="P372" s="37">
        <f>Q371+O372</f>
        <v>0</v>
      </c>
      <c r="Q372" s="38">
        <f t="shared" si="170"/>
        <v>0</v>
      </c>
      <c r="S372" s="36">
        <v>0</v>
      </c>
      <c r="T372" s="37">
        <f>U371+S372</f>
        <v>0</v>
      </c>
      <c r="U372" s="38">
        <f t="shared" si="171"/>
        <v>0</v>
      </c>
      <c r="W372" s="14">
        <f t="shared" si="175"/>
        <v>0</v>
      </c>
      <c r="X372" s="37">
        <v>0</v>
      </c>
      <c r="Y372" s="38">
        <f t="shared" si="172"/>
        <v>0</v>
      </c>
      <c r="Z372" s="85"/>
      <c r="AA372" s="36">
        <f t="shared" si="158"/>
        <v>1.64</v>
      </c>
      <c r="AB372" s="37">
        <f>AC371</f>
        <v>50.840000000000011</v>
      </c>
      <c r="AC372" s="38">
        <f t="shared" si="159"/>
        <v>1.6400000000000006</v>
      </c>
      <c r="AD372" s="85"/>
      <c r="AF372" s="40">
        <v>30</v>
      </c>
      <c r="AG372" s="41">
        <f t="shared" si="160"/>
        <v>46366</v>
      </c>
      <c r="AH372" s="42">
        <f t="shared" si="161"/>
        <v>10000.040000000001</v>
      </c>
      <c r="AI372" s="42">
        <f t="shared" si="162"/>
        <v>833.33</v>
      </c>
      <c r="AJ372" s="37">
        <f t="shared" si="163"/>
        <v>202.43000000000004</v>
      </c>
      <c r="AK372" s="42">
        <f>AC371</f>
        <v>50.840000000000011</v>
      </c>
      <c r="AL372" s="43">
        <f>AI372+AJ372+AK372</f>
        <v>1086.5999999999999</v>
      </c>
      <c r="AM372" s="44">
        <f>AL372</f>
        <v>1086.5999999999999</v>
      </c>
      <c r="AN372" s="47"/>
      <c r="AO372" s="6" t="s">
        <v>17</v>
      </c>
      <c r="AP372" s="46"/>
      <c r="AQ372" s="44"/>
      <c r="AR372" s="44"/>
    </row>
    <row r="373" spans="1:44" x14ac:dyDescent="0.45">
      <c r="F373" s="2"/>
    </row>
    <row r="374" spans="1:44" s="50" customFormat="1" ht="18" x14ac:dyDescent="0.45">
      <c r="A374" s="48"/>
      <c r="B374" s="49">
        <f>SUM(B8:B373)</f>
        <v>365</v>
      </c>
      <c r="C374" s="50">
        <f t="shared" ref="C374:AK374" si="176">SUM(C8:C373)</f>
        <v>20000</v>
      </c>
      <c r="D374" s="50">
        <f t="shared" si="176"/>
        <v>9999.9600000000009</v>
      </c>
      <c r="E374" s="50" t="s">
        <v>16</v>
      </c>
      <c r="G374" s="50">
        <f t="shared" si="176"/>
        <v>3380.6700000000096</v>
      </c>
      <c r="H374" s="50">
        <f t="shared" si="176"/>
        <v>3374.64</v>
      </c>
      <c r="I374" s="50" t="s">
        <v>16</v>
      </c>
      <c r="K374" s="50">
        <f t="shared" ref="K374:L374" si="177">SUM(K8:K373)</f>
        <v>833.33</v>
      </c>
      <c r="L374" s="50">
        <f t="shared" si="177"/>
        <v>833.33</v>
      </c>
      <c r="M374" s="50" t="s">
        <v>16</v>
      </c>
      <c r="O374" s="50">
        <f t="shared" ref="O374:P374" si="178">SUM(O8:O373)</f>
        <v>2.5</v>
      </c>
      <c r="P374" s="50">
        <f t="shared" si="178"/>
        <v>2.5</v>
      </c>
      <c r="Q374" s="50" t="s">
        <v>16</v>
      </c>
      <c r="S374" s="50">
        <f t="shared" ref="S374:T374" si="179">SUM(S8:S373)</f>
        <v>309.40000000000015</v>
      </c>
      <c r="T374" s="50">
        <f t="shared" si="179"/>
        <v>309.39999999999998</v>
      </c>
      <c r="U374" s="50" t="s">
        <v>16</v>
      </c>
      <c r="W374" s="50">
        <f t="shared" ref="W374:X374" si="180">SUM(W8:W373)</f>
        <v>20.85</v>
      </c>
      <c r="X374" s="50">
        <f t="shared" si="180"/>
        <v>20.85</v>
      </c>
      <c r="Y374" s="50" t="s">
        <v>16</v>
      </c>
      <c r="AA374" s="50">
        <f>SUM(AA8:AA373)</f>
        <v>598.59999999999616</v>
      </c>
      <c r="AB374" s="50">
        <f>SUM(AB8:AB373)</f>
        <v>596.96000000000015</v>
      </c>
      <c r="AC374" s="50" t="s">
        <v>16</v>
      </c>
      <c r="AH374" s="50" t="s">
        <v>16</v>
      </c>
      <c r="AI374" s="50">
        <f t="shared" si="176"/>
        <v>9999.9600000000009</v>
      </c>
      <c r="AJ374" s="50">
        <f t="shared" si="176"/>
        <v>3374.64</v>
      </c>
      <c r="AK374" s="50">
        <f t="shared" si="176"/>
        <v>642.88000000000022</v>
      </c>
      <c r="AL374" s="50" t="s">
        <v>16</v>
      </c>
      <c r="AM374" s="50">
        <f>AVERAGE(AM8:AM372)</f>
        <v>1012.2373333333334</v>
      </c>
      <c r="AN374" s="51"/>
      <c r="AO374" s="5"/>
      <c r="AP374" s="52"/>
      <c r="AQ374" s="51"/>
      <c r="AR374" s="51"/>
    </row>
    <row r="375" spans="1:44" ht="16.149999999999999" thickBot="1" x14ac:dyDescent="0.5">
      <c r="F375" s="2"/>
    </row>
    <row r="376" spans="1:44" s="3" customFormat="1" ht="16.149999999999999" thickBot="1" x14ac:dyDescent="0.5">
      <c r="A376" s="53"/>
      <c r="C376" s="53" t="s">
        <v>18</v>
      </c>
      <c r="AF376" s="54"/>
      <c r="AG376" s="55"/>
      <c r="AH376" s="55"/>
      <c r="AI376" s="55"/>
      <c r="AJ376" s="55"/>
      <c r="AK376" s="56">
        <f>AJ374+AK374</f>
        <v>4017.52</v>
      </c>
      <c r="AL376" s="55"/>
      <c r="AM376" s="55"/>
      <c r="AN376" s="55"/>
      <c r="AO376" s="5"/>
      <c r="AP376" s="57"/>
      <c r="AQ376" s="55"/>
      <c r="AR376" s="55"/>
    </row>
    <row r="377" spans="1:44" s="3" customFormat="1" x14ac:dyDescent="0.45">
      <c r="A377" s="53"/>
      <c r="C377" s="53"/>
      <c r="AF377" s="54"/>
      <c r="AG377" s="55"/>
      <c r="AH377" s="55"/>
      <c r="AI377" s="55"/>
      <c r="AJ377" s="55"/>
      <c r="AK377" s="55"/>
      <c r="AL377" s="55"/>
      <c r="AM377" s="55"/>
      <c r="AN377" s="55"/>
      <c r="AO377" s="5"/>
      <c r="AP377" s="57"/>
      <c r="AQ377" s="55"/>
      <c r="AR377" s="55"/>
    </row>
    <row r="378" spans="1:44" s="3" customFormat="1" x14ac:dyDescent="0.45">
      <c r="A378" s="58" t="s">
        <v>19</v>
      </c>
      <c r="B378" s="58"/>
      <c r="C378" s="58"/>
      <c r="D378" s="58"/>
      <c r="E378" s="58"/>
      <c r="AF378" s="54"/>
      <c r="AG378" s="55"/>
      <c r="AH378" s="55"/>
      <c r="AI378" s="55"/>
      <c r="AJ378" s="55"/>
      <c r="AK378" s="55"/>
      <c r="AL378" s="55"/>
      <c r="AM378" s="55"/>
      <c r="AN378" s="55"/>
      <c r="AO378" s="5"/>
      <c r="AP378" s="57"/>
      <c r="AQ378" s="55"/>
      <c r="AR378" s="55"/>
    </row>
    <row r="379" spans="1:44" s="3" customFormat="1" x14ac:dyDescent="0.5">
      <c r="A379" s="59" t="s">
        <v>20</v>
      </c>
      <c r="B379" s="60"/>
      <c r="C379" s="61"/>
      <c r="D379" s="60"/>
      <c r="E379" s="62" t="s">
        <v>35</v>
      </c>
      <c r="AF379" s="54"/>
      <c r="AG379" s="55"/>
      <c r="AH379" s="55"/>
      <c r="AI379" s="55"/>
      <c r="AJ379" s="55"/>
      <c r="AK379" s="55"/>
      <c r="AL379" s="55"/>
      <c r="AM379" s="55"/>
      <c r="AN379" s="55"/>
      <c r="AO379" s="5"/>
      <c r="AP379" s="57"/>
      <c r="AQ379" s="55"/>
      <c r="AR379" s="55"/>
    </row>
    <row r="380" spans="1:44" s="3" customFormat="1" x14ac:dyDescent="0.45">
      <c r="A380" s="63"/>
      <c r="B380" s="63"/>
      <c r="C380" s="64"/>
      <c r="D380" s="63"/>
      <c r="E380" s="65"/>
      <c r="AF380" s="54"/>
      <c r="AG380" s="55"/>
      <c r="AH380" s="55"/>
      <c r="AI380" s="55"/>
      <c r="AJ380" s="55"/>
      <c r="AK380" s="55"/>
      <c r="AL380" s="55"/>
      <c r="AM380" s="55"/>
      <c r="AN380" s="55"/>
      <c r="AO380" s="5"/>
      <c r="AP380" s="57"/>
      <c r="AQ380" s="55"/>
      <c r="AR380" s="55"/>
    </row>
    <row r="381" spans="1:44" s="3" customFormat="1" x14ac:dyDescent="0.45">
      <c r="A381" s="59" t="s">
        <v>21</v>
      </c>
      <c r="C381" s="53"/>
      <c r="E381" s="2">
        <v>20000</v>
      </c>
      <c r="F381" s="53" t="s">
        <v>22</v>
      </c>
      <c r="AF381" s="54"/>
      <c r="AG381" s="55"/>
      <c r="AH381" s="55"/>
      <c r="AI381" s="55"/>
      <c r="AJ381" s="55"/>
      <c r="AK381" s="55"/>
      <c r="AL381" s="55"/>
      <c r="AM381" s="55"/>
      <c r="AN381" s="55"/>
      <c r="AO381" s="5"/>
      <c r="AP381" s="57"/>
      <c r="AQ381" s="55"/>
      <c r="AR381" s="55"/>
    </row>
    <row r="382" spans="1:44" s="3" customFormat="1" x14ac:dyDescent="0.45">
      <c r="A382" s="59" t="s">
        <v>23</v>
      </c>
      <c r="C382" s="53"/>
      <c r="E382" s="66">
        <v>46002</v>
      </c>
      <c r="F382" s="53"/>
      <c r="AF382" s="54"/>
      <c r="AG382" s="55"/>
      <c r="AH382" s="55"/>
      <c r="AI382" s="55"/>
      <c r="AJ382" s="55"/>
      <c r="AK382" s="55"/>
      <c r="AL382" s="55"/>
      <c r="AM382" s="55"/>
      <c r="AN382" s="55"/>
      <c r="AO382" s="5"/>
      <c r="AP382" s="57"/>
      <c r="AQ382" s="55"/>
      <c r="AR382" s="55"/>
    </row>
    <row r="383" spans="1:44" s="3" customFormat="1" x14ac:dyDescent="0.45">
      <c r="A383" s="59" t="s">
        <v>24</v>
      </c>
      <c r="C383" s="53"/>
      <c r="E383" s="28">
        <v>2</v>
      </c>
      <c r="F383" s="53" t="s">
        <v>36</v>
      </c>
      <c r="AF383" s="54"/>
      <c r="AG383" s="55"/>
      <c r="AH383" s="55"/>
      <c r="AI383" s="55"/>
      <c r="AJ383" s="55"/>
      <c r="AK383" s="55"/>
      <c r="AL383" s="55"/>
      <c r="AM383" s="55"/>
      <c r="AN383" s="55"/>
      <c r="AO383" s="5"/>
      <c r="AP383" s="57"/>
      <c r="AQ383" s="55"/>
      <c r="AR383" s="55"/>
    </row>
    <row r="384" spans="1:44" s="3" customFormat="1" x14ac:dyDescent="0.45">
      <c r="A384" s="59" t="s">
        <v>54</v>
      </c>
      <c r="C384" s="53"/>
      <c r="E384" s="66">
        <v>46730</v>
      </c>
      <c r="F384" s="53"/>
      <c r="G384" s="86"/>
      <c r="AF384" s="54"/>
      <c r="AG384" s="55"/>
      <c r="AH384" s="55"/>
      <c r="AI384" s="55"/>
      <c r="AJ384" s="55"/>
      <c r="AK384" s="55"/>
      <c r="AL384" s="55"/>
      <c r="AM384" s="55"/>
      <c r="AN384" s="55"/>
      <c r="AO384" s="5"/>
      <c r="AP384" s="57"/>
      <c r="AQ384" s="55"/>
      <c r="AR384" s="55"/>
    </row>
    <row r="385" spans="1:44" ht="16.25" customHeight="1" x14ac:dyDescent="0.45">
      <c r="A385" s="59" t="s">
        <v>25</v>
      </c>
      <c r="B385" s="67"/>
      <c r="C385" s="67"/>
      <c r="E385" s="79" t="s">
        <v>38</v>
      </c>
      <c r="F385" s="68" t="s">
        <v>37</v>
      </c>
      <c r="G385" s="67"/>
      <c r="H385" s="67"/>
      <c r="I385" s="70"/>
      <c r="J385" s="3"/>
      <c r="K385" s="3"/>
      <c r="L385" s="3"/>
      <c r="N385" s="3"/>
      <c r="O385" s="3"/>
      <c r="P385" s="3"/>
      <c r="R385" s="3"/>
      <c r="S385" s="3"/>
      <c r="T385" s="67"/>
      <c r="U385" s="70"/>
      <c r="V385" s="67"/>
      <c r="W385" s="67"/>
      <c r="AA385" s="67"/>
      <c r="AF385" s="71"/>
      <c r="AG385" s="72"/>
      <c r="AH385" s="72"/>
      <c r="AI385" s="72"/>
      <c r="AJ385" s="72"/>
      <c r="AK385" s="72"/>
      <c r="AL385" s="72"/>
      <c r="AM385" s="72"/>
      <c r="AN385" s="72"/>
      <c r="AP385" s="73"/>
      <c r="AQ385" s="72"/>
      <c r="AR385" s="72"/>
    </row>
    <row r="386" spans="1:44" s="3" customFormat="1" x14ac:dyDescent="0.45">
      <c r="A386" s="63"/>
      <c r="B386" s="63"/>
      <c r="C386" s="64"/>
      <c r="D386" s="63"/>
      <c r="E386" s="65"/>
      <c r="F386" s="53"/>
      <c r="AF386" s="54"/>
      <c r="AG386" s="55"/>
      <c r="AH386" s="55"/>
      <c r="AI386" s="55"/>
      <c r="AJ386" s="55"/>
      <c r="AK386" s="55"/>
      <c r="AL386" s="55"/>
      <c r="AM386" s="55"/>
      <c r="AN386" s="55"/>
      <c r="AO386" s="5"/>
      <c r="AP386" s="57"/>
      <c r="AQ386" s="55"/>
      <c r="AR386" s="55"/>
    </row>
    <row r="387" spans="1:44" x14ac:dyDescent="0.45">
      <c r="A387" s="59" t="s">
        <v>26</v>
      </c>
      <c r="B387" s="67"/>
      <c r="C387" s="67"/>
      <c r="E387" s="79" t="s">
        <v>39</v>
      </c>
      <c r="F387" s="74" t="s">
        <v>27</v>
      </c>
      <c r="G387" s="67"/>
      <c r="H387" s="67"/>
      <c r="I387" s="70"/>
      <c r="J387" s="3"/>
      <c r="K387" s="3"/>
      <c r="L387" s="3"/>
      <c r="N387" s="3"/>
      <c r="O387" s="3"/>
      <c r="P387" s="3"/>
      <c r="R387" s="3"/>
      <c r="S387" s="3"/>
      <c r="T387" s="67"/>
      <c r="U387" s="70"/>
      <c r="V387" s="67"/>
      <c r="W387" s="67"/>
      <c r="AA387" s="67"/>
      <c r="AF387" s="71"/>
      <c r="AG387" s="72"/>
      <c r="AH387" s="72"/>
      <c r="AI387" s="72"/>
      <c r="AJ387" s="72"/>
      <c r="AK387" s="72"/>
      <c r="AL387" s="72"/>
      <c r="AM387" s="72"/>
      <c r="AN387" s="72"/>
      <c r="AP387" s="73"/>
      <c r="AQ387" s="72"/>
      <c r="AR387" s="72"/>
    </row>
    <row r="388" spans="1:44" s="3" customFormat="1" x14ac:dyDescent="0.45">
      <c r="A388" s="59" t="s">
        <v>28</v>
      </c>
      <c r="E388" s="80">
        <v>0.22</v>
      </c>
      <c r="F388" s="53" t="s">
        <v>29</v>
      </c>
      <c r="AF388" s="54"/>
      <c r="AG388" s="55"/>
      <c r="AH388" s="55"/>
      <c r="AI388" s="55"/>
      <c r="AJ388" s="55"/>
      <c r="AK388" s="55"/>
      <c r="AL388" s="55"/>
      <c r="AM388" s="55"/>
      <c r="AN388" s="55"/>
      <c r="AO388" s="5"/>
      <c r="AP388" s="57"/>
      <c r="AQ388" s="55"/>
      <c r="AR388" s="55"/>
    </row>
    <row r="389" spans="1:44" x14ac:dyDescent="0.45">
      <c r="A389" s="59" t="s">
        <v>30</v>
      </c>
      <c r="B389" s="67"/>
      <c r="C389" s="67"/>
      <c r="F389" s="74" t="s">
        <v>47</v>
      </c>
      <c r="G389" s="67"/>
      <c r="H389" s="67"/>
      <c r="I389" s="70"/>
      <c r="J389" s="3"/>
      <c r="K389" s="3"/>
      <c r="L389" s="3"/>
      <c r="N389" s="3"/>
      <c r="O389" s="3"/>
      <c r="P389" s="3"/>
      <c r="R389" s="3"/>
      <c r="S389" s="3"/>
      <c r="T389" s="67"/>
      <c r="U389" s="70"/>
      <c r="V389" s="67"/>
      <c r="W389" s="67"/>
      <c r="AA389" s="67"/>
      <c r="AF389" s="71"/>
      <c r="AG389" s="72"/>
      <c r="AH389" s="72"/>
      <c r="AI389" s="72"/>
      <c r="AJ389" s="72"/>
      <c r="AK389" s="72"/>
      <c r="AL389" s="72"/>
      <c r="AM389" s="72"/>
      <c r="AN389" s="72"/>
      <c r="AP389" s="73"/>
      <c r="AQ389" s="72"/>
      <c r="AR389" s="72"/>
    </row>
    <row r="390" spans="1:44" x14ac:dyDescent="0.45">
      <c r="A390" s="59"/>
      <c r="B390" s="67"/>
      <c r="C390" s="67"/>
      <c r="F390" s="81" t="s">
        <v>46</v>
      </c>
      <c r="G390" s="67"/>
      <c r="H390" s="67"/>
      <c r="I390" s="70"/>
      <c r="J390" s="3"/>
      <c r="K390" s="3"/>
      <c r="L390" s="3"/>
      <c r="N390" s="3"/>
      <c r="O390" s="3"/>
      <c r="P390" s="3"/>
      <c r="R390" s="3"/>
      <c r="S390" s="3"/>
      <c r="T390" s="67"/>
      <c r="U390" s="70"/>
      <c r="V390" s="67"/>
      <c r="W390" s="67"/>
      <c r="AA390" s="67"/>
      <c r="AF390" s="71"/>
      <c r="AG390" s="72"/>
      <c r="AH390" s="72"/>
      <c r="AI390" s="72"/>
      <c r="AJ390" s="72"/>
      <c r="AK390" s="72"/>
      <c r="AL390" s="72"/>
      <c r="AM390" s="72"/>
      <c r="AN390" s="72"/>
      <c r="AP390" s="73"/>
      <c r="AQ390" s="72"/>
      <c r="AR390" s="72"/>
    </row>
    <row r="391" spans="1:44" x14ac:dyDescent="0.45">
      <c r="B391" s="67"/>
      <c r="C391" s="67"/>
      <c r="G391" s="67"/>
      <c r="H391" s="67"/>
      <c r="I391" s="70"/>
      <c r="J391" s="3"/>
      <c r="K391" s="3"/>
      <c r="L391" s="3"/>
      <c r="N391" s="3"/>
      <c r="O391" s="3"/>
      <c r="P391" s="3"/>
      <c r="R391" s="3"/>
      <c r="S391" s="3"/>
      <c r="T391" s="67"/>
      <c r="U391" s="70"/>
      <c r="V391" s="67"/>
      <c r="W391" s="67"/>
      <c r="AA391" s="67"/>
      <c r="AF391" s="71"/>
      <c r="AG391" s="72"/>
      <c r="AH391" s="72"/>
      <c r="AI391" s="72"/>
      <c r="AJ391" s="72"/>
      <c r="AK391" s="72"/>
      <c r="AL391" s="72"/>
      <c r="AM391" s="72"/>
      <c r="AN391" s="72"/>
      <c r="AP391" s="73"/>
      <c r="AQ391" s="72"/>
      <c r="AR391" s="72"/>
    </row>
    <row r="392" spans="1:44" x14ac:dyDescent="0.45">
      <c r="A392" s="63"/>
      <c r="B392" s="63"/>
      <c r="C392" s="64"/>
      <c r="D392" s="63"/>
      <c r="E392" s="65"/>
      <c r="F392" s="2"/>
      <c r="G392" s="67"/>
      <c r="H392" s="67"/>
      <c r="I392" s="70"/>
      <c r="J392" s="3"/>
      <c r="K392" s="3"/>
      <c r="L392" s="3"/>
      <c r="N392" s="3"/>
      <c r="O392" s="3"/>
      <c r="P392" s="3"/>
      <c r="R392" s="3"/>
      <c r="S392" s="3"/>
      <c r="T392" s="67"/>
      <c r="U392" s="70"/>
      <c r="V392" s="67"/>
      <c r="W392" s="67"/>
      <c r="AA392" s="67"/>
      <c r="AF392" s="71"/>
      <c r="AG392" s="72"/>
      <c r="AH392" s="72"/>
      <c r="AI392" s="72"/>
      <c r="AJ392" s="72"/>
      <c r="AK392" s="72"/>
      <c r="AL392" s="72"/>
      <c r="AM392" s="72"/>
      <c r="AN392" s="72"/>
      <c r="AP392" s="73"/>
      <c r="AQ392" s="72"/>
      <c r="AR392" s="72"/>
    </row>
    <row r="393" spans="1:44" x14ac:dyDescent="0.45">
      <c r="A393" s="59" t="s">
        <v>31</v>
      </c>
      <c r="B393" s="67"/>
      <c r="C393" s="67"/>
      <c r="F393" s="77" t="s">
        <v>44</v>
      </c>
      <c r="G393" s="67"/>
      <c r="H393" s="67"/>
      <c r="I393" s="70"/>
      <c r="J393" s="3"/>
      <c r="K393" s="3"/>
      <c r="L393" s="3"/>
      <c r="N393" s="3"/>
      <c r="O393" s="3"/>
      <c r="P393" s="3"/>
      <c r="R393" s="3"/>
      <c r="S393" s="3"/>
      <c r="T393" s="67"/>
      <c r="U393" s="70"/>
      <c r="V393" s="67"/>
      <c r="W393" s="67"/>
      <c r="AA393" s="67"/>
      <c r="AF393" s="71"/>
      <c r="AG393" s="72"/>
      <c r="AH393" s="72"/>
      <c r="AI393" s="72"/>
      <c r="AJ393" s="72"/>
      <c r="AK393" s="72"/>
      <c r="AL393" s="72"/>
      <c r="AM393" s="72"/>
      <c r="AN393" s="72"/>
      <c r="AP393" s="73"/>
      <c r="AQ393" s="72"/>
      <c r="AR393" s="72"/>
    </row>
    <row r="394" spans="1:44" x14ac:dyDescent="0.45">
      <c r="A394" s="63"/>
      <c r="B394" s="63"/>
      <c r="C394" s="64"/>
      <c r="D394" s="63"/>
      <c r="E394" s="76"/>
      <c r="F394" s="69"/>
      <c r="G394" s="67"/>
      <c r="H394" s="67"/>
      <c r="I394" s="70"/>
      <c r="J394" s="3"/>
      <c r="K394" s="3"/>
      <c r="L394" s="3"/>
      <c r="N394" s="3"/>
      <c r="O394" s="3"/>
      <c r="P394" s="3"/>
      <c r="R394" s="3"/>
      <c r="S394" s="3"/>
      <c r="T394" s="67"/>
      <c r="U394" s="70"/>
      <c r="V394" s="67"/>
      <c r="W394" s="67"/>
      <c r="AA394" s="67"/>
      <c r="AF394" s="71"/>
      <c r="AG394" s="72"/>
      <c r="AH394" s="72"/>
      <c r="AI394" s="72"/>
      <c r="AJ394" s="72"/>
      <c r="AK394" s="72"/>
      <c r="AL394" s="72"/>
      <c r="AM394" s="72"/>
      <c r="AN394" s="72"/>
      <c r="AP394" s="73"/>
      <c r="AQ394" s="72"/>
      <c r="AR394" s="72"/>
    </row>
    <row r="395" spans="1:44" x14ac:dyDescent="0.45">
      <c r="A395" s="59" t="s">
        <v>61</v>
      </c>
      <c r="B395" s="67"/>
      <c r="C395" s="67"/>
      <c r="E395" s="96">
        <v>0.03</v>
      </c>
      <c r="F395" s="77" t="s">
        <v>62</v>
      </c>
      <c r="G395" s="67"/>
      <c r="H395" s="67"/>
      <c r="I395" s="70"/>
      <c r="J395" s="3"/>
      <c r="K395" s="3"/>
      <c r="L395" s="3"/>
      <c r="N395" s="3"/>
      <c r="O395" s="3"/>
      <c r="P395" s="3"/>
      <c r="R395" s="3"/>
      <c r="S395" s="3"/>
      <c r="T395" s="67"/>
      <c r="U395" s="70"/>
      <c r="V395" s="67"/>
      <c r="W395" s="67"/>
      <c r="AA395" s="67"/>
      <c r="AF395" s="71"/>
      <c r="AG395" s="72"/>
      <c r="AH395" s="72"/>
      <c r="AI395" s="72"/>
      <c r="AJ395" s="72"/>
      <c r="AK395" s="72"/>
      <c r="AL395" s="72"/>
      <c r="AM395" s="72"/>
      <c r="AN395" s="72"/>
      <c r="AP395" s="73"/>
      <c r="AQ395" s="72"/>
      <c r="AR395" s="72"/>
    </row>
    <row r="396" spans="1:44" ht="16.25" customHeight="1" x14ac:dyDescent="0.45">
      <c r="A396" s="59" t="s">
        <v>32</v>
      </c>
      <c r="B396" s="67"/>
      <c r="C396" s="67"/>
      <c r="F396" s="77" t="s">
        <v>41</v>
      </c>
      <c r="G396" s="67"/>
      <c r="H396" s="67"/>
      <c r="I396" s="70"/>
      <c r="J396" s="3"/>
      <c r="K396" s="3"/>
      <c r="L396" s="3"/>
      <c r="N396" s="3"/>
      <c r="O396" s="3"/>
      <c r="P396" s="3"/>
      <c r="R396" s="3"/>
      <c r="S396" s="3"/>
      <c r="T396" s="67"/>
      <c r="U396" s="70"/>
      <c r="V396" s="67"/>
      <c r="W396" s="67"/>
      <c r="AA396" s="67"/>
      <c r="AF396" s="71"/>
      <c r="AG396" s="72"/>
      <c r="AH396" s="72"/>
      <c r="AI396" s="72"/>
      <c r="AJ396" s="72"/>
      <c r="AK396" s="72"/>
      <c r="AL396" s="72"/>
      <c r="AM396" s="72"/>
      <c r="AN396" s="72"/>
      <c r="AP396" s="73"/>
      <c r="AQ396" s="72"/>
      <c r="AR396" s="72"/>
    </row>
    <row r="397" spans="1:44" ht="16.25" customHeight="1" x14ac:dyDescent="0.45">
      <c r="A397" s="59"/>
      <c r="B397" s="67"/>
      <c r="C397" s="67"/>
      <c r="F397" s="87" t="s">
        <v>42</v>
      </c>
      <c r="G397" s="67"/>
      <c r="H397" s="67"/>
      <c r="I397" s="70"/>
      <c r="J397" s="3"/>
      <c r="K397" s="3"/>
      <c r="L397" s="3"/>
      <c r="N397" s="3"/>
      <c r="O397" s="3"/>
      <c r="P397" s="3"/>
      <c r="R397" s="3"/>
      <c r="S397" s="3"/>
      <c r="T397" s="67"/>
      <c r="U397" s="70"/>
      <c r="V397" s="67"/>
      <c r="W397" s="67"/>
      <c r="AA397" s="67"/>
      <c r="AF397" s="71"/>
      <c r="AG397" s="72"/>
      <c r="AH397" s="72"/>
      <c r="AI397" s="72"/>
      <c r="AJ397" s="72"/>
      <c r="AK397" s="72"/>
      <c r="AL397" s="72"/>
      <c r="AM397" s="72"/>
      <c r="AN397" s="72"/>
      <c r="AP397" s="73"/>
      <c r="AQ397" s="72"/>
      <c r="AR397" s="72"/>
    </row>
    <row r="398" spans="1:44" x14ac:dyDescent="0.45">
      <c r="A398" s="59" t="s">
        <v>33</v>
      </c>
      <c r="B398" s="67"/>
      <c r="C398" s="67"/>
      <c r="F398" s="77" t="s">
        <v>40</v>
      </c>
      <c r="G398" s="67"/>
      <c r="H398" s="67"/>
      <c r="I398" s="70"/>
      <c r="J398" s="3"/>
      <c r="K398" s="3"/>
      <c r="L398" s="3"/>
      <c r="N398" s="3"/>
      <c r="O398" s="3"/>
      <c r="P398" s="3"/>
      <c r="R398" s="3"/>
      <c r="S398" s="3"/>
      <c r="T398" s="67"/>
      <c r="U398" s="70"/>
      <c r="V398" s="67"/>
      <c r="W398" s="67"/>
      <c r="AA398" s="67"/>
      <c r="AF398" s="71"/>
      <c r="AG398" s="72"/>
      <c r="AH398" s="72"/>
      <c r="AI398" s="72"/>
      <c r="AJ398" s="72"/>
      <c r="AK398" s="72"/>
      <c r="AL398" s="72"/>
      <c r="AM398" s="72"/>
      <c r="AN398" s="72"/>
      <c r="AP398" s="73"/>
      <c r="AQ398" s="72"/>
      <c r="AR398" s="72"/>
    </row>
    <row r="399" spans="1:44" x14ac:dyDescent="0.45">
      <c r="J399" s="3"/>
      <c r="K399" s="3"/>
      <c r="L399" s="3"/>
      <c r="N399" s="3"/>
      <c r="O399" s="3"/>
      <c r="P399" s="3"/>
      <c r="R399" s="3"/>
      <c r="S399" s="3"/>
    </row>
    <row r="400" spans="1:44" x14ac:dyDescent="0.45">
      <c r="A400" s="63"/>
      <c r="B400" s="63"/>
      <c r="C400" s="64"/>
      <c r="D400" s="63"/>
      <c r="E400" s="76"/>
      <c r="F400" s="69"/>
      <c r="G400" s="67"/>
      <c r="H400" s="67"/>
      <c r="I400" s="70"/>
      <c r="J400" s="3"/>
      <c r="K400" s="3"/>
      <c r="L400" s="3"/>
      <c r="N400" s="3"/>
      <c r="O400" s="3"/>
      <c r="P400" s="3"/>
      <c r="R400" s="3"/>
      <c r="S400" s="3"/>
      <c r="T400" s="67"/>
      <c r="U400" s="70"/>
      <c r="V400" s="67"/>
      <c r="W400" s="67"/>
      <c r="AA400" s="67"/>
      <c r="AF400" s="71"/>
      <c r="AG400" s="72"/>
      <c r="AH400" s="72"/>
      <c r="AI400" s="72"/>
      <c r="AJ400" s="72"/>
      <c r="AK400" s="72"/>
      <c r="AL400" s="72"/>
      <c r="AM400" s="72"/>
      <c r="AN400" s="72"/>
      <c r="AP400" s="73"/>
      <c r="AQ400" s="72"/>
      <c r="AR400" s="72"/>
    </row>
    <row r="401" spans="1:44" x14ac:dyDescent="0.45">
      <c r="A401" s="59" t="s">
        <v>43</v>
      </c>
      <c r="B401" s="67"/>
      <c r="C401" s="67"/>
      <c r="E401" s="96">
        <v>5.0000000000000001E-3</v>
      </c>
      <c r="F401" s="77" t="s">
        <v>50</v>
      </c>
      <c r="G401" s="67"/>
      <c r="H401" s="67"/>
      <c r="I401" s="70"/>
      <c r="J401" s="3"/>
      <c r="K401" s="3"/>
      <c r="L401" s="3"/>
      <c r="N401" s="3"/>
      <c r="O401" s="3"/>
      <c r="P401" s="3"/>
      <c r="R401" s="3"/>
      <c r="S401" s="3"/>
      <c r="T401" s="67"/>
      <c r="U401" s="70"/>
      <c r="V401" s="67"/>
      <c r="W401" s="67"/>
      <c r="AA401" s="67"/>
      <c r="AF401" s="71"/>
      <c r="AG401" s="72"/>
      <c r="AH401" s="72"/>
      <c r="AI401" s="72"/>
      <c r="AJ401" s="72"/>
      <c r="AK401" s="72"/>
      <c r="AL401" s="72"/>
      <c r="AM401" s="72"/>
      <c r="AN401" s="72"/>
      <c r="AP401" s="73"/>
      <c r="AQ401" s="72"/>
      <c r="AR401" s="72"/>
    </row>
    <row r="402" spans="1:44" x14ac:dyDescent="0.45">
      <c r="A402" s="59"/>
      <c r="B402" s="67"/>
      <c r="C402" s="67"/>
      <c r="E402" s="75"/>
      <c r="F402" s="74" t="s">
        <v>55</v>
      </c>
      <c r="G402" s="67"/>
      <c r="H402" s="67"/>
      <c r="I402" s="70"/>
      <c r="J402" s="3"/>
      <c r="K402" s="3"/>
      <c r="L402" s="3"/>
      <c r="N402" s="3"/>
      <c r="O402" s="3"/>
      <c r="P402" s="3"/>
      <c r="R402" s="3"/>
      <c r="S402" s="3"/>
      <c r="T402" s="67"/>
      <c r="U402" s="70"/>
      <c r="V402" s="67"/>
      <c r="W402" s="67"/>
      <c r="AA402" s="67"/>
      <c r="AF402" s="71"/>
      <c r="AG402" s="72"/>
      <c r="AH402" s="72"/>
      <c r="AI402" s="72"/>
      <c r="AJ402" s="72"/>
      <c r="AK402" s="72"/>
      <c r="AL402" s="72"/>
      <c r="AM402" s="72"/>
      <c r="AN402" s="72"/>
      <c r="AP402" s="73"/>
      <c r="AQ402" s="72"/>
      <c r="AR402" s="72"/>
    </row>
    <row r="403" spans="1:44" ht="16.25" customHeight="1" x14ac:dyDescent="0.45">
      <c r="A403" s="59" t="s">
        <v>48</v>
      </c>
      <c r="B403" s="67"/>
      <c r="C403" s="67"/>
      <c r="F403" s="77" t="s">
        <v>56</v>
      </c>
      <c r="G403" s="67"/>
      <c r="H403" s="67"/>
      <c r="I403" s="70"/>
      <c r="J403" s="3"/>
      <c r="K403" s="3"/>
      <c r="L403" s="3"/>
      <c r="N403" s="3"/>
      <c r="O403" s="3"/>
      <c r="P403" s="3"/>
      <c r="R403" s="3"/>
      <c r="S403" s="3"/>
      <c r="T403" s="67"/>
      <c r="U403" s="70"/>
      <c r="V403" s="67"/>
      <c r="W403" s="67"/>
      <c r="AA403" s="67"/>
      <c r="AF403" s="71"/>
      <c r="AG403" s="72"/>
      <c r="AH403" s="72"/>
      <c r="AI403" s="72"/>
      <c r="AJ403" s="72"/>
      <c r="AK403" s="72"/>
      <c r="AL403" s="72"/>
      <c r="AM403" s="72"/>
      <c r="AN403" s="72"/>
      <c r="AP403" s="73"/>
      <c r="AQ403" s="72"/>
      <c r="AR403" s="72"/>
    </row>
    <row r="404" spans="1:44" ht="16.25" customHeight="1" x14ac:dyDescent="0.45">
      <c r="A404" s="59"/>
      <c r="B404" s="67"/>
      <c r="C404" s="67"/>
      <c r="F404" s="77" t="s">
        <v>57</v>
      </c>
      <c r="G404" s="67"/>
      <c r="H404" s="67"/>
      <c r="I404" s="70"/>
      <c r="J404" s="3"/>
      <c r="K404" s="3"/>
      <c r="L404" s="3"/>
      <c r="N404" s="3"/>
      <c r="O404" s="3"/>
      <c r="P404" s="3"/>
      <c r="R404" s="3"/>
      <c r="S404" s="3"/>
      <c r="T404" s="67"/>
      <c r="U404" s="70"/>
      <c r="V404" s="67"/>
      <c r="W404" s="67"/>
      <c r="AA404" s="67"/>
      <c r="AF404" s="71"/>
      <c r="AG404" s="72"/>
      <c r="AH404" s="72"/>
      <c r="AI404" s="72"/>
      <c r="AJ404" s="72"/>
      <c r="AK404" s="72"/>
      <c r="AL404" s="72"/>
      <c r="AM404" s="72"/>
      <c r="AN404" s="72"/>
      <c r="AP404" s="73"/>
      <c r="AQ404" s="72"/>
      <c r="AR404" s="72"/>
    </row>
    <row r="405" spans="1:44" x14ac:dyDescent="0.45">
      <c r="A405" s="59" t="s">
        <v>49</v>
      </c>
      <c r="B405" s="67"/>
      <c r="C405" s="67"/>
      <c r="F405" s="77" t="s">
        <v>63</v>
      </c>
      <c r="G405" s="67"/>
      <c r="H405" s="67"/>
      <c r="I405" s="70"/>
      <c r="J405" s="3"/>
      <c r="K405" s="3"/>
      <c r="L405" s="3"/>
      <c r="N405" s="3"/>
      <c r="O405" s="3"/>
      <c r="P405" s="3"/>
      <c r="R405" s="3"/>
      <c r="S405" s="3"/>
      <c r="T405" s="67"/>
      <c r="U405" s="70"/>
      <c r="V405" s="67"/>
      <c r="W405" s="67"/>
      <c r="AA405" s="67"/>
      <c r="AF405" s="71"/>
      <c r="AG405" s="72"/>
      <c r="AH405" s="72"/>
      <c r="AI405" s="72"/>
      <c r="AJ405" s="72"/>
      <c r="AK405" s="72"/>
      <c r="AL405" s="72"/>
      <c r="AM405" s="72"/>
      <c r="AN405" s="72"/>
      <c r="AP405" s="73"/>
      <c r="AQ405" s="72"/>
      <c r="AR405" s="72"/>
    </row>
    <row r="406" spans="1:44" x14ac:dyDescent="0.45">
      <c r="J406" s="3"/>
      <c r="K406" s="3"/>
      <c r="L406" s="3"/>
      <c r="N406" s="3"/>
      <c r="O406" s="3"/>
      <c r="P406" s="3"/>
      <c r="R406" s="3"/>
      <c r="S406" s="3"/>
    </row>
    <row r="407" spans="1:44" x14ac:dyDescent="0.45">
      <c r="A407" s="59" t="s">
        <v>59</v>
      </c>
      <c r="F407" s="82" t="s">
        <v>51</v>
      </c>
      <c r="J407" s="3"/>
      <c r="K407" s="3"/>
      <c r="L407" s="3"/>
      <c r="N407" s="3"/>
      <c r="O407" s="3"/>
      <c r="P407" s="3"/>
      <c r="R407" s="3"/>
      <c r="S407" s="3"/>
    </row>
    <row r="408" spans="1:44" x14ac:dyDescent="0.5">
      <c r="F408" s="113" t="s">
        <v>60</v>
      </c>
      <c r="J408" s="3"/>
      <c r="K408" s="3"/>
      <c r="L408" s="3"/>
      <c r="N408" s="3"/>
      <c r="O408" s="3"/>
      <c r="P408" s="3"/>
      <c r="R408" s="3"/>
      <c r="S408" s="3"/>
    </row>
    <row r="409" spans="1:44" x14ac:dyDescent="0.45">
      <c r="F409" s="83"/>
      <c r="J409" s="3"/>
      <c r="K409" s="3"/>
      <c r="L409" s="3"/>
      <c r="N409" s="3"/>
      <c r="O409" s="3"/>
      <c r="P409" s="3"/>
      <c r="R409" s="3"/>
      <c r="S409" s="3"/>
    </row>
    <row r="410" spans="1:44" x14ac:dyDescent="0.45">
      <c r="F410" s="83"/>
      <c r="J410" s="3"/>
      <c r="K410" s="3"/>
      <c r="L410" s="3"/>
      <c r="N410" s="3"/>
      <c r="O410" s="3"/>
      <c r="P410" s="3"/>
      <c r="R410" s="3"/>
      <c r="S410" s="3"/>
    </row>
    <row r="411" spans="1:44" x14ac:dyDescent="0.45">
      <c r="F411" s="83"/>
      <c r="J411" s="3"/>
      <c r="K411" s="3"/>
      <c r="L411" s="3"/>
      <c r="N411" s="3"/>
      <c r="O411" s="3"/>
      <c r="P411" s="3"/>
      <c r="R411" s="3"/>
      <c r="S411" s="3"/>
    </row>
    <row r="412" spans="1:44" x14ac:dyDescent="0.45">
      <c r="F412" s="83"/>
      <c r="J412" s="3"/>
      <c r="K412" s="3"/>
      <c r="L412" s="3"/>
      <c r="N412" s="3"/>
      <c r="O412" s="3"/>
      <c r="P412" s="3"/>
      <c r="R412" s="3"/>
      <c r="S412" s="3"/>
    </row>
    <row r="413" spans="1:44" x14ac:dyDescent="0.45">
      <c r="F413" s="83"/>
      <c r="J413" s="3"/>
      <c r="K413" s="3"/>
      <c r="L413" s="3"/>
      <c r="N413" s="3"/>
      <c r="O413" s="3"/>
      <c r="P413" s="3"/>
      <c r="R413" s="3"/>
      <c r="S413" s="3"/>
    </row>
    <row r="414" spans="1:44" x14ac:dyDescent="0.45">
      <c r="F414" s="83"/>
      <c r="J414" s="3"/>
      <c r="K414" s="3"/>
      <c r="L414" s="3"/>
      <c r="N414" s="3"/>
      <c r="O414" s="3"/>
      <c r="P414" s="3"/>
      <c r="R414" s="3"/>
      <c r="S414" s="3"/>
    </row>
    <row r="415" spans="1:44" x14ac:dyDescent="0.45">
      <c r="F415" s="83"/>
      <c r="J415" s="3"/>
      <c r="K415" s="3"/>
      <c r="L415" s="3"/>
      <c r="N415" s="3"/>
      <c r="O415" s="3"/>
      <c r="P415" s="3"/>
      <c r="R415" s="3"/>
      <c r="S415" s="3"/>
    </row>
    <row r="416" spans="1:44" x14ac:dyDescent="0.45">
      <c r="F416" s="83"/>
      <c r="J416" s="3"/>
      <c r="K416" s="3"/>
      <c r="L416" s="3"/>
      <c r="N416" s="3"/>
      <c r="O416" s="3"/>
      <c r="P416" s="3"/>
      <c r="R416" s="3"/>
      <c r="S416" s="3"/>
    </row>
    <row r="417" spans="6:11" x14ac:dyDescent="0.45">
      <c r="F417" s="83"/>
      <c r="J417" s="3"/>
      <c r="K417" s="3"/>
    </row>
    <row r="418" spans="6:11" x14ac:dyDescent="0.45">
      <c r="F418" s="83"/>
      <c r="J418" s="3"/>
      <c r="K418" s="3"/>
    </row>
    <row r="419" spans="6:11" x14ac:dyDescent="0.45">
      <c r="F419" s="83"/>
      <c r="J419" s="3"/>
      <c r="K419" s="3"/>
    </row>
    <row r="420" spans="6:11" x14ac:dyDescent="0.45">
      <c r="F420" s="83"/>
      <c r="J420" s="3"/>
      <c r="K420" s="3"/>
    </row>
    <row r="421" spans="6:11" x14ac:dyDescent="0.45">
      <c r="F421" s="83"/>
      <c r="J421" s="3"/>
      <c r="K421" s="3"/>
    </row>
    <row r="422" spans="6:11" x14ac:dyDescent="0.45">
      <c r="F422" s="83"/>
      <c r="J422" s="3"/>
      <c r="K422" s="3"/>
    </row>
    <row r="423" spans="6:11" x14ac:dyDescent="0.45">
      <c r="F423" s="83"/>
      <c r="J423" s="3"/>
      <c r="K423" s="3"/>
    </row>
    <row r="424" spans="6:11" x14ac:dyDescent="0.45">
      <c r="F424" s="83"/>
      <c r="J424" s="3"/>
      <c r="K424" s="3"/>
    </row>
  </sheetData>
  <mergeCells count="1">
    <mergeCell ref="AF3:AL3"/>
  </mergeCells>
  <pageMargins left="0.7" right="0.7" top="0.75" bottom="0.75" header="0.3" footer="0.3"/>
  <pageSetup orientation="portrait" r:id="rId1"/>
  <ignoredErrors>
    <ignoredError sqref="W97 AK37"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Sold descrescator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valeriu i</dc:creator>
  <cp:lastModifiedBy>valeriu i</cp:lastModifiedBy>
  <dcterms:created xsi:type="dcterms:W3CDTF">2026-03-27T08:49:36Z</dcterms:created>
  <dcterms:modified xsi:type="dcterms:W3CDTF">2026-04-02T11:29:35Z</dcterms:modified>
</cp:coreProperties>
</file>