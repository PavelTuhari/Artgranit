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4B6828E2-0774-4B42-AE62-730299EEA43C}" xr6:coauthVersionLast="47" xr6:coauthVersionMax="47" xr10:uidLastSave="{00000000-0000-0000-0000-000000000000}"/>
  <bookViews>
    <workbookView xWindow="28680" yWindow="-120" windowWidth="29040" windowHeight="15840" tabRatio="905" xr2:uid="{00000000-000D-0000-FFFF-FFFF00000000}"/>
  </bookViews>
  <sheets>
    <sheet name="ANA SAYFA" sheetId="8" r:id="rId1"/>
    <sheet name="Veri Sayfası - 1" sheetId="9" state="hidden" r:id="rId2"/>
    <sheet name="Veri Sayfası - 2" sheetId="6" state="hidden" r:id="rId3"/>
    <sheet name="TASLAK MALİYET" sheetId="14" state="hidden" r:id="rId4"/>
    <sheet name="3 RAIL (3 PANEL) - POZ X" sheetId="27" r:id="rId5"/>
    <sheet name="3 RAIL (2 PANEL) - POZ X" sheetId="30" r:id="rId6"/>
    <sheet name="3 RAIL (3+3 PANEL) - POZ X" sheetId="26" r:id="rId7"/>
    <sheet name="3 RAIL (2+2 PANEL FIX) - POZ X " sheetId="29" r:id="rId8"/>
    <sheet name="MALİYET HESAPLAMA" sheetId="13" state="hidden" r:id="rId9"/>
    <sheet name="Sayfa1" sheetId="28" r:id="rId10"/>
    <sheet name="Sürme Malzeme Listesi" sheetId="5" state="hidden" r:id="rId11"/>
  </sheets>
  <definedNames>
    <definedName name="_xlnm.Print_Area" localSheetId="5">'3 RAIL (2 PANEL) - POZ X'!$A$1:$J$48</definedName>
    <definedName name="_xlnm.Print_Area" localSheetId="7">'3 RAIL (2+2 PANEL FIX) - POZ X '!$A$1:$J$59</definedName>
    <definedName name="_xlnm.Print_Area" localSheetId="4">'3 RAIL (3 PANEL) - POZ X'!$A$1:$J$37</definedName>
    <definedName name="_xlnm.Print_Area" localSheetId="6">'3 RAIL (3+3 PANEL) - POZ X'!$A$1:$J$49</definedName>
    <definedName name="_xlnm.Print_Area" localSheetId="0">'ANA SAYFA'!$A$1:$I$22</definedName>
    <definedName name="_xlnm.Print_Area" localSheetId="8">'MALİYET HESAPLAMA'!$A$5:$G$55</definedName>
  </definedNames>
  <calcPr calcId="191029"/>
</workbook>
</file>

<file path=xl/calcChain.xml><?xml version="1.0" encoding="utf-8"?>
<calcChain xmlns="http://schemas.openxmlformats.org/spreadsheetml/2006/main">
  <c r="G46" i="13" l="1"/>
  <c r="E46" i="13"/>
  <c r="I15" i="9"/>
  <c r="A45" i="30" s="1"/>
  <c r="I16" i="9"/>
  <c r="A47" i="26" s="1"/>
  <c r="I17" i="9"/>
  <c r="A56" i="29" s="1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14" i="9"/>
  <c r="A35" i="27" s="1"/>
  <c r="E33" i="14" l="1"/>
  <c r="E45" i="13" s="1"/>
  <c r="G45" i="13" s="1"/>
  <c r="G47" i="13" l="1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7" i="13"/>
  <c r="D44" i="13"/>
  <c r="D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7" i="13"/>
  <c r="C44" i="13"/>
  <c r="C14" i="13"/>
  <c r="F28" i="30"/>
  <c r="I13" i="28"/>
  <c r="F42" i="29"/>
  <c r="I21" i="28"/>
  <c r="I20" i="28"/>
  <c r="I19" i="28"/>
  <c r="I18" i="28"/>
  <c r="I17" i="28"/>
  <c r="I16" i="28"/>
  <c r="I15" i="28"/>
  <c r="I14" i="28"/>
  <c r="I12" i="28"/>
  <c r="I11" i="28"/>
  <c r="I10" i="28"/>
  <c r="I9" i="28"/>
  <c r="I8" i="28"/>
  <c r="I7" i="28"/>
  <c r="I6" i="28"/>
  <c r="F28" i="27"/>
  <c r="F38" i="26"/>
  <c r="I22" i="28" l="1"/>
  <c r="J22" i="28" s="1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14" i="9"/>
  <c r="E13" i="14"/>
  <c r="E14" i="14"/>
  <c r="E12" i="14"/>
  <c r="E25" i="13" l="1"/>
  <c r="E26" i="13"/>
  <c r="E24" i="13"/>
  <c r="G25" i="13" l="1"/>
  <c r="G26" i="13"/>
  <c r="G24" i="13"/>
  <c r="R12" i="9" l="1"/>
  <c r="E15" i="14"/>
  <c r="E16" i="14" l="1"/>
  <c r="E28" i="13" s="1"/>
  <c r="G28" i="13" s="1"/>
  <c r="E27" i="13"/>
  <c r="G27" i="13" s="1"/>
  <c r="B15" i="9"/>
  <c r="D5" i="30" s="1"/>
  <c r="C15" i="9"/>
  <c r="D6" i="30" s="1"/>
  <c r="D15" i="9"/>
  <c r="E15" i="9"/>
  <c r="F15" i="9"/>
  <c r="M5" i="30" s="1"/>
  <c r="L11" i="30" s="1"/>
  <c r="G15" i="9"/>
  <c r="A5" i="30" s="1"/>
  <c r="C41" i="30" s="1"/>
  <c r="B16" i="9"/>
  <c r="C16" i="9"/>
  <c r="D6" i="26" s="1"/>
  <c r="D16" i="9"/>
  <c r="E16" i="9"/>
  <c r="F16" i="9"/>
  <c r="G16" i="9"/>
  <c r="B17" i="9"/>
  <c r="C17" i="9"/>
  <c r="D6" i="29" s="1"/>
  <c r="D17" i="9"/>
  <c r="E17" i="9"/>
  <c r="F17" i="9"/>
  <c r="G17" i="9"/>
  <c r="B18" i="9"/>
  <c r="C18" i="9"/>
  <c r="D18" i="9"/>
  <c r="E18" i="9"/>
  <c r="F18" i="9"/>
  <c r="G18" i="9"/>
  <c r="B19" i="9"/>
  <c r="C19" i="9"/>
  <c r="D19" i="9"/>
  <c r="E19" i="9"/>
  <c r="F19" i="9"/>
  <c r="G19" i="9"/>
  <c r="B20" i="9"/>
  <c r="C20" i="9"/>
  <c r="D20" i="9"/>
  <c r="E20" i="9"/>
  <c r="F20" i="9"/>
  <c r="G20" i="9"/>
  <c r="B21" i="9"/>
  <c r="C21" i="9"/>
  <c r="D21" i="9"/>
  <c r="E21" i="9"/>
  <c r="F21" i="9"/>
  <c r="G21" i="9"/>
  <c r="B22" i="9"/>
  <c r="C22" i="9"/>
  <c r="D22" i="9"/>
  <c r="E22" i="9"/>
  <c r="F22" i="9"/>
  <c r="G22" i="9"/>
  <c r="B23" i="9"/>
  <c r="C23" i="9"/>
  <c r="D23" i="9"/>
  <c r="E23" i="9"/>
  <c r="F23" i="9"/>
  <c r="G23" i="9"/>
  <c r="B24" i="9"/>
  <c r="C24" i="9"/>
  <c r="D24" i="9"/>
  <c r="E24" i="9"/>
  <c r="F24" i="9"/>
  <c r="G24" i="9"/>
  <c r="B25" i="9"/>
  <c r="C25" i="9"/>
  <c r="D25" i="9"/>
  <c r="E25" i="9"/>
  <c r="F25" i="9"/>
  <c r="G25" i="9"/>
  <c r="B26" i="9"/>
  <c r="C26" i="9"/>
  <c r="D26" i="9"/>
  <c r="E26" i="9"/>
  <c r="F26" i="9"/>
  <c r="G26" i="9"/>
  <c r="B27" i="9"/>
  <c r="C27" i="9"/>
  <c r="D27" i="9"/>
  <c r="E27" i="9"/>
  <c r="F27" i="9"/>
  <c r="G27" i="9"/>
  <c r="B28" i="9"/>
  <c r="C28" i="9"/>
  <c r="D28" i="9"/>
  <c r="E28" i="9"/>
  <c r="F28" i="9"/>
  <c r="G28" i="9"/>
  <c r="B29" i="9"/>
  <c r="C29" i="9"/>
  <c r="D29" i="9"/>
  <c r="E29" i="9"/>
  <c r="F29" i="9"/>
  <c r="G29" i="9"/>
  <c r="B30" i="9"/>
  <c r="C30" i="9"/>
  <c r="D30" i="9"/>
  <c r="E30" i="9"/>
  <c r="F30" i="9"/>
  <c r="G30" i="9"/>
  <c r="B31" i="9"/>
  <c r="C31" i="9"/>
  <c r="D31" i="9"/>
  <c r="E31" i="9"/>
  <c r="F31" i="9"/>
  <c r="G31" i="9"/>
  <c r="B32" i="9"/>
  <c r="C32" i="9"/>
  <c r="D32" i="9"/>
  <c r="E32" i="9"/>
  <c r="F32" i="9"/>
  <c r="G32" i="9"/>
  <c r="B33" i="9"/>
  <c r="C33" i="9"/>
  <c r="D33" i="9"/>
  <c r="E33" i="9"/>
  <c r="F33" i="9"/>
  <c r="G33" i="9"/>
  <c r="B34" i="9"/>
  <c r="C34" i="9"/>
  <c r="D34" i="9"/>
  <c r="E34" i="9"/>
  <c r="F34" i="9"/>
  <c r="G34" i="9"/>
  <c r="B35" i="9"/>
  <c r="C35" i="9"/>
  <c r="D35" i="9"/>
  <c r="E35" i="9"/>
  <c r="F35" i="9"/>
  <c r="G35" i="9"/>
  <c r="B36" i="9"/>
  <c r="C36" i="9"/>
  <c r="D36" i="9"/>
  <c r="E36" i="9"/>
  <c r="F36" i="9"/>
  <c r="G36" i="9"/>
  <c r="B37" i="9"/>
  <c r="C37" i="9"/>
  <c r="D37" i="9"/>
  <c r="E37" i="9"/>
  <c r="F37" i="9"/>
  <c r="G37" i="9"/>
  <c r="B38" i="9"/>
  <c r="C38" i="9"/>
  <c r="D38" i="9"/>
  <c r="E38" i="9"/>
  <c r="F38" i="9"/>
  <c r="G38" i="9"/>
  <c r="B39" i="9"/>
  <c r="C39" i="9"/>
  <c r="D39" i="9"/>
  <c r="E39" i="9"/>
  <c r="F39" i="9"/>
  <c r="G39" i="9"/>
  <c r="B40" i="9"/>
  <c r="C40" i="9"/>
  <c r="D40" i="9"/>
  <c r="E40" i="9"/>
  <c r="F40" i="9"/>
  <c r="G40" i="9"/>
  <c r="B41" i="9"/>
  <c r="C41" i="9"/>
  <c r="D41" i="9"/>
  <c r="E41" i="9"/>
  <c r="F41" i="9"/>
  <c r="G41" i="9"/>
  <c r="B42" i="9"/>
  <c r="C42" i="9"/>
  <c r="D42" i="9"/>
  <c r="E42" i="9"/>
  <c r="F42" i="9"/>
  <c r="G42" i="9"/>
  <c r="B43" i="9"/>
  <c r="C43" i="9"/>
  <c r="D43" i="9"/>
  <c r="E43" i="9"/>
  <c r="F43" i="9"/>
  <c r="G43" i="9"/>
  <c r="C14" i="9"/>
  <c r="D6" i="27" s="1"/>
  <c r="B14" i="9"/>
  <c r="G14" i="9"/>
  <c r="F14" i="9"/>
  <c r="E14" i="9"/>
  <c r="D14" i="9"/>
  <c r="C13" i="9"/>
  <c r="D13" i="9"/>
  <c r="E13" i="9"/>
  <c r="F13" i="9"/>
  <c r="G13" i="9"/>
  <c r="B13" i="9"/>
  <c r="C11" i="9"/>
  <c r="G6" i="13"/>
  <c r="G48" i="13"/>
  <c r="N5" i="29" l="1"/>
  <c r="M11" i="29" s="1"/>
  <c r="A5" i="29"/>
  <c r="C52" i="29" s="1"/>
  <c r="D5" i="29"/>
  <c r="D52" i="29" s="1"/>
  <c r="C9" i="30"/>
  <c r="D9" i="30" s="1"/>
  <c r="I19" i="30" s="1"/>
  <c r="I23" i="30" s="1"/>
  <c r="D41" i="30"/>
  <c r="F4" i="29"/>
  <c r="F4" i="30"/>
  <c r="F13" i="28"/>
  <c r="F9" i="29"/>
  <c r="G9" i="29"/>
  <c r="D9" i="29"/>
  <c r="I17" i="29"/>
  <c r="D47" i="29" s="1"/>
  <c r="I47" i="29" s="1"/>
  <c r="D29" i="29"/>
  <c r="D42" i="29" s="1"/>
  <c r="E9" i="29"/>
  <c r="D37" i="29"/>
  <c r="D22" i="29"/>
  <c r="D17" i="29"/>
  <c r="D10" i="29"/>
  <c r="D31" i="30"/>
  <c r="D26" i="30"/>
  <c r="D22" i="30"/>
  <c r="C8" i="30"/>
  <c r="D8" i="30"/>
  <c r="I13" i="30"/>
  <c r="D36" i="30" s="1"/>
  <c r="C36" i="30"/>
  <c r="C31" i="30" s="1"/>
  <c r="C26" i="30"/>
  <c r="D13" i="30"/>
  <c r="D18" i="30"/>
  <c r="H13" i="30"/>
  <c r="H22" i="30"/>
  <c r="C22" i="30"/>
  <c r="C18" i="30"/>
  <c r="H18" i="30"/>
  <c r="C13" i="30"/>
  <c r="H23" i="30"/>
  <c r="H19" i="30"/>
  <c r="F18" i="28"/>
  <c r="F16" i="28"/>
  <c r="F19" i="28"/>
  <c r="F6" i="28"/>
  <c r="F7" i="28"/>
  <c r="F20" i="28"/>
  <c r="F9" i="28"/>
  <c r="F12" i="28"/>
  <c r="F8" i="28"/>
  <c r="F21" i="28"/>
  <c r="F10" i="28"/>
  <c r="F11" i="28"/>
  <c r="F14" i="28"/>
  <c r="F15" i="28"/>
  <c r="F17" i="28"/>
  <c r="R43" i="9"/>
  <c r="H43" i="9"/>
  <c r="L43" i="9" s="1"/>
  <c r="R41" i="9"/>
  <c r="H41" i="9"/>
  <c r="L41" i="9" s="1"/>
  <c r="H39" i="9"/>
  <c r="L39" i="9" s="1"/>
  <c r="R39" i="9"/>
  <c r="H37" i="9"/>
  <c r="L37" i="9" s="1"/>
  <c r="R37" i="9"/>
  <c r="H35" i="9"/>
  <c r="L35" i="9" s="1"/>
  <c r="R35" i="9"/>
  <c r="H33" i="9"/>
  <c r="L33" i="9" s="1"/>
  <c r="R33" i="9"/>
  <c r="R31" i="9"/>
  <c r="H31" i="9"/>
  <c r="L31" i="9" s="1"/>
  <c r="R29" i="9"/>
  <c r="H29" i="9"/>
  <c r="L29" i="9" s="1"/>
  <c r="H27" i="9"/>
  <c r="L27" i="9" s="1"/>
  <c r="R27" i="9"/>
  <c r="H25" i="9"/>
  <c r="L25" i="9" s="1"/>
  <c r="R25" i="9"/>
  <c r="H23" i="9"/>
  <c r="L23" i="9" s="1"/>
  <c r="R23" i="9"/>
  <c r="R21" i="9"/>
  <c r="H21" i="9"/>
  <c r="L21" i="9" s="1"/>
  <c r="R19" i="9"/>
  <c r="H19" i="9"/>
  <c r="L19" i="9" s="1"/>
  <c r="R17" i="9"/>
  <c r="H17" i="9"/>
  <c r="L17" i="9" s="1"/>
  <c r="N5" i="26"/>
  <c r="M11" i="26" s="1"/>
  <c r="H15" i="9"/>
  <c r="L15" i="9" s="1"/>
  <c r="R15" i="9"/>
  <c r="P37" i="9"/>
  <c r="W17" i="9"/>
  <c r="M5" i="27"/>
  <c r="L11" i="27" s="1"/>
  <c r="R14" i="9"/>
  <c r="H14" i="9"/>
  <c r="L14" i="9" s="1"/>
  <c r="P23" i="9"/>
  <c r="P24" i="9"/>
  <c r="P35" i="9"/>
  <c r="R42" i="9"/>
  <c r="H42" i="9"/>
  <c r="L42" i="9" s="1"/>
  <c r="H40" i="9"/>
  <c r="L40" i="9" s="1"/>
  <c r="R40" i="9"/>
  <c r="H38" i="9"/>
  <c r="L38" i="9" s="1"/>
  <c r="R38" i="9"/>
  <c r="H36" i="9"/>
  <c r="L36" i="9" s="1"/>
  <c r="R36" i="9"/>
  <c r="H34" i="9"/>
  <c r="L34" i="9" s="1"/>
  <c r="R34" i="9"/>
  <c r="R32" i="9"/>
  <c r="H32" i="9"/>
  <c r="L32" i="9" s="1"/>
  <c r="H30" i="9"/>
  <c r="L30" i="9" s="1"/>
  <c r="R30" i="9"/>
  <c r="R28" i="9"/>
  <c r="H28" i="9"/>
  <c r="L28" i="9" s="1"/>
  <c r="H26" i="9"/>
  <c r="L26" i="9" s="1"/>
  <c r="R26" i="9"/>
  <c r="R24" i="9"/>
  <c r="H24" i="9"/>
  <c r="L24" i="9" s="1"/>
  <c r="H22" i="9"/>
  <c r="L22" i="9" s="1"/>
  <c r="R22" i="9"/>
  <c r="R20" i="9"/>
  <c r="H20" i="9"/>
  <c r="L20" i="9" s="1"/>
  <c r="R18" i="9"/>
  <c r="H18" i="9"/>
  <c r="L18" i="9" s="1"/>
  <c r="R16" i="9"/>
  <c r="H16" i="9"/>
  <c r="L16" i="9" s="1"/>
  <c r="F4" i="27"/>
  <c r="F4" i="26"/>
  <c r="D33" i="26"/>
  <c r="D26" i="27"/>
  <c r="D5" i="27"/>
  <c r="D31" i="27" s="1"/>
  <c r="D5" i="26"/>
  <c r="D43" i="26" s="1"/>
  <c r="A5" i="26"/>
  <c r="C43" i="26" s="1"/>
  <c r="A5" i="27"/>
  <c r="C31" i="27" s="1"/>
  <c r="G8" i="13"/>
  <c r="W42" i="9"/>
  <c r="V42" i="9"/>
  <c r="V36" i="9"/>
  <c r="W36" i="9"/>
  <c r="W30" i="9"/>
  <c r="V30" i="9"/>
  <c r="W28" i="9"/>
  <c r="V28" i="9"/>
  <c r="V24" i="9"/>
  <c r="W24" i="9"/>
  <c r="V22" i="9"/>
  <c r="W22" i="9"/>
  <c r="U42" i="9"/>
  <c r="O42" i="9"/>
  <c r="U40" i="9"/>
  <c r="O40" i="9"/>
  <c r="O38" i="9"/>
  <c r="U38" i="9"/>
  <c r="U36" i="9"/>
  <c r="O36" i="9"/>
  <c r="U34" i="9"/>
  <c r="O34" i="9"/>
  <c r="U32" i="9"/>
  <c r="O32" i="9"/>
  <c r="U30" i="9"/>
  <c r="O30" i="9"/>
  <c r="O28" i="9"/>
  <c r="U28" i="9"/>
  <c r="O26" i="9"/>
  <c r="U26" i="9"/>
  <c r="U24" i="9"/>
  <c r="O24" i="9"/>
  <c r="U22" i="9"/>
  <c r="O22" i="9"/>
  <c r="U20" i="9"/>
  <c r="O20" i="9"/>
  <c r="U18" i="9"/>
  <c r="O18" i="9"/>
  <c r="V34" i="9"/>
  <c r="W34" i="9"/>
  <c r="W26" i="9"/>
  <c r="V26" i="9"/>
  <c r="W20" i="9"/>
  <c r="V20" i="9"/>
  <c r="W40" i="9"/>
  <c r="V40" i="9"/>
  <c r="W38" i="9"/>
  <c r="V38" i="9"/>
  <c r="W32" i="9"/>
  <c r="V32" i="9"/>
  <c r="W18" i="9"/>
  <c r="V18" i="9"/>
  <c r="W43" i="9"/>
  <c r="V43" i="9"/>
  <c r="W41" i="9"/>
  <c r="V41" i="9"/>
  <c r="W39" i="9"/>
  <c r="V39" i="9"/>
  <c r="V37" i="9"/>
  <c r="W37" i="9"/>
  <c r="V35" i="9"/>
  <c r="W35" i="9"/>
  <c r="V33" i="9"/>
  <c r="W33" i="9"/>
  <c r="W31" i="9"/>
  <c r="V31" i="9"/>
  <c r="W29" i="9"/>
  <c r="V29" i="9"/>
  <c r="W27" i="9"/>
  <c r="V27" i="9"/>
  <c r="V25" i="9"/>
  <c r="W25" i="9"/>
  <c r="V23" i="9"/>
  <c r="W23" i="9"/>
  <c r="V21" i="9"/>
  <c r="W21" i="9"/>
  <c r="W19" i="9"/>
  <c r="V19" i="9"/>
  <c r="U43" i="9"/>
  <c r="O43" i="9"/>
  <c r="U41" i="9"/>
  <c r="O41" i="9"/>
  <c r="O39" i="9"/>
  <c r="U39" i="9"/>
  <c r="O37" i="9"/>
  <c r="U37" i="9"/>
  <c r="O35" i="9"/>
  <c r="U35" i="9"/>
  <c r="U33" i="9"/>
  <c r="O33" i="9"/>
  <c r="U31" i="9"/>
  <c r="O31" i="9"/>
  <c r="U29" i="9"/>
  <c r="O29" i="9"/>
  <c r="O27" i="9"/>
  <c r="U27" i="9"/>
  <c r="O25" i="9"/>
  <c r="U25" i="9"/>
  <c r="O23" i="9"/>
  <c r="U23" i="9"/>
  <c r="U21" i="9"/>
  <c r="O21" i="9"/>
  <c r="U19" i="9"/>
  <c r="O19" i="9"/>
  <c r="W15" i="9"/>
  <c r="V15" i="9"/>
  <c r="W16" i="9"/>
  <c r="V16" i="9"/>
  <c r="O17" i="9"/>
  <c r="U17" i="9"/>
  <c r="V17" i="9"/>
  <c r="O16" i="9"/>
  <c r="U16" i="9"/>
  <c r="U15" i="9"/>
  <c r="O15" i="9"/>
  <c r="U14" i="9"/>
  <c r="O14" i="9"/>
  <c r="M38" i="9"/>
  <c r="Q38" i="9" s="1"/>
  <c r="J38" i="9"/>
  <c r="K38" i="9" s="1"/>
  <c r="M28" i="9"/>
  <c r="Q28" i="9" s="1"/>
  <c r="J28" i="9"/>
  <c r="K28" i="9" s="1"/>
  <c r="M16" i="9"/>
  <c r="Q16" i="9" s="1"/>
  <c r="J16" i="9"/>
  <c r="K16" i="9" s="1"/>
  <c r="M14" i="9"/>
  <c r="Q14" i="9" s="1"/>
  <c r="J14" i="9"/>
  <c r="K14" i="9" s="1"/>
  <c r="V14" i="9" s="1"/>
  <c r="S42" i="9"/>
  <c r="T42" i="9"/>
  <c r="S40" i="9"/>
  <c r="T40" i="9"/>
  <c r="T38" i="9"/>
  <c r="S38" i="9"/>
  <c r="S36" i="9"/>
  <c r="T36" i="9"/>
  <c r="S34" i="9"/>
  <c r="T34" i="9"/>
  <c r="S32" i="9"/>
  <c r="T32" i="9"/>
  <c r="S30" i="9"/>
  <c r="T30" i="9"/>
  <c r="S28" i="9"/>
  <c r="T28" i="9"/>
  <c r="S26" i="9"/>
  <c r="T26" i="9"/>
  <c r="S24" i="9"/>
  <c r="T24" i="9"/>
  <c r="S22" i="9"/>
  <c r="T22" i="9"/>
  <c r="T20" i="9"/>
  <c r="S20" i="9"/>
  <c r="S18" i="9"/>
  <c r="T18" i="9"/>
  <c r="S16" i="9"/>
  <c r="T16" i="9"/>
  <c r="J26" i="9"/>
  <c r="K26" i="9" s="1"/>
  <c r="M26" i="9"/>
  <c r="Q26" i="9" s="1"/>
  <c r="J43" i="9"/>
  <c r="K43" i="9" s="1"/>
  <c r="M43" i="9"/>
  <c r="Q43" i="9" s="1"/>
  <c r="M41" i="9"/>
  <c r="Q41" i="9" s="1"/>
  <c r="J41" i="9"/>
  <c r="K41" i="9" s="1"/>
  <c r="M39" i="9"/>
  <c r="Q39" i="9" s="1"/>
  <c r="J39" i="9"/>
  <c r="K39" i="9" s="1"/>
  <c r="M37" i="9"/>
  <c r="Q37" i="9" s="1"/>
  <c r="J37" i="9"/>
  <c r="K37" i="9" s="1"/>
  <c r="J35" i="9"/>
  <c r="K35" i="9" s="1"/>
  <c r="M35" i="9"/>
  <c r="Q35" i="9" s="1"/>
  <c r="J33" i="9"/>
  <c r="K33" i="9" s="1"/>
  <c r="M33" i="9"/>
  <c r="Q33" i="9" s="1"/>
  <c r="M31" i="9"/>
  <c r="Q31" i="9" s="1"/>
  <c r="J31" i="9"/>
  <c r="K31" i="9" s="1"/>
  <c r="M29" i="9"/>
  <c r="Q29" i="9" s="1"/>
  <c r="J29" i="9"/>
  <c r="K29" i="9" s="1"/>
  <c r="J27" i="9"/>
  <c r="K27" i="9" s="1"/>
  <c r="M27" i="9"/>
  <c r="Q27" i="9" s="1"/>
  <c r="J25" i="9"/>
  <c r="K25" i="9" s="1"/>
  <c r="M25" i="9"/>
  <c r="Q25" i="9" s="1"/>
  <c r="J23" i="9"/>
  <c r="K23" i="9" s="1"/>
  <c r="M23" i="9"/>
  <c r="Q23" i="9" s="1"/>
  <c r="J21" i="9"/>
  <c r="K21" i="9" s="1"/>
  <c r="M21" i="9"/>
  <c r="Q21" i="9" s="1"/>
  <c r="M19" i="9"/>
  <c r="Q19" i="9" s="1"/>
  <c r="J19" i="9"/>
  <c r="K19" i="9" s="1"/>
  <c r="M17" i="9"/>
  <c r="Q17" i="9" s="1"/>
  <c r="J17" i="9"/>
  <c r="K17" i="9" s="1"/>
  <c r="M15" i="9"/>
  <c r="Q15" i="9" s="1"/>
  <c r="J15" i="9"/>
  <c r="K15" i="9" s="1"/>
  <c r="J42" i="9"/>
  <c r="K42" i="9" s="1"/>
  <c r="M42" i="9"/>
  <c r="Q42" i="9" s="1"/>
  <c r="J34" i="9"/>
  <c r="K34" i="9" s="1"/>
  <c r="M34" i="9"/>
  <c r="Q34" i="9" s="1"/>
  <c r="M24" i="9"/>
  <c r="Q24" i="9" s="1"/>
  <c r="J24" i="9"/>
  <c r="K24" i="9" s="1"/>
  <c r="S43" i="9"/>
  <c r="T43" i="9"/>
  <c r="S41" i="9"/>
  <c r="T41" i="9"/>
  <c r="S39" i="9"/>
  <c r="T39" i="9"/>
  <c r="S37" i="9"/>
  <c r="T37" i="9"/>
  <c r="S35" i="9"/>
  <c r="T35" i="9"/>
  <c r="S33" i="9"/>
  <c r="T33" i="9"/>
  <c r="S31" i="9"/>
  <c r="T31" i="9"/>
  <c r="S29" i="9"/>
  <c r="T29" i="9"/>
  <c r="S27" i="9"/>
  <c r="T27" i="9"/>
  <c r="T25" i="9"/>
  <c r="S25" i="9"/>
  <c r="S23" i="9"/>
  <c r="T23" i="9"/>
  <c r="S21" i="9"/>
  <c r="T21" i="9"/>
  <c r="T19" i="9"/>
  <c r="S19" i="9"/>
  <c r="S17" i="9"/>
  <c r="T17" i="9"/>
  <c r="M32" i="9"/>
  <c r="Q32" i="9" s="1"/>
  <c r="J32" i="9"/>
  <c r="K32" i="9" s="1"/>
  <c r="J22" i="9"/>
  <c r="K22" i="9" s="1"/>
  <c r="M22" i="9"/>
  <c r="Q22" i="9" s="1"/>
  <c r="M40" i="9"/>
  <c r="Q40" i="9" s="1"/>
  <c r="J40" i="9"/>
  <c r="K40" i="9" s="1"/>
  <c r="M30" i="9"/>
  <c r="Q30" i="9" s="1"/>
  <c r="J30" i="9"/>
  <c r="K30" i="9" s="1"/>
  <c r="J20" i="9"/>
  <c r="K20" i="9" s="1"/>
  <c r="M20" i="9"/>
  <c r="Q20" i="9" s="1"/>
  <c r="J36" i="9"/>
  <c r="K36" i="9" s="1"/>
  <c r="M36" i="9"/>
  <c r="Q36" i="9" s="1"/>
  <c r="J18" i="9"/>
  <c r="K18" i="9" s="1"/>
  <c r="M18" i="9"/>
  <c r="Q18" i="9" s="1"/>
  <c r="T14" i="9"/>
  <c r="S14" i="9"/>
  <c r="S15" i="9"/>
  <c r="T15" i="9"/>
  <c r="K48" i="9"/>
  <c r="E5" i="14" s="1"/>
  <c r="E17" i="13" s="1"/>
  <c r="G17" i="13" s="1"/>
  <c r="K53" i="9"/>
  <c r="J50" i="9"/>
  <c r="J51" i="9"/>
  <c r="J52" i="9"/>
  <c r="J48" i="9"/>
  <c r="J54" i="9"/>
  <c r="G44" i="9"/>
  <c r="H22" i="29" l="1"/>
  <c r="C47" i="29"/>
  <c r="H26" i="29"/>
  <c r="C17" i="29"/>
  <c r="C29" i="29"/>
  <c r="C42" i="29"/>
  <c r="H35" i="29"/>
  <c r="H28" i="29"/>
  <c r="H17" i="29"/>
  <c r="C37" i="29"/>
  <c r="H33" i="29"/>
  <c r="H31" i="29"/>
  <c r="C22" i="29"/>
  <c r="H37" i="29"/>
  <c r="H47" i="29"/>
  <c r="H24" i="29"/>
  <c r="W14" i="9"/>
  <c r="W60" i="9" s="1"/>
  <c r="E32" i="14" s="1"/>
  <c r="I18" i="30"/>
  <c r="I22" i="30" s="1"/>
  <c r="J57" i="9"/>
  <c r="D22" i="26"/>
  <c r="D18" i="27"/>
  <c r="N37" i="9"/>
  <c r="P43" i="9"/>
  <c r="P21" i="9"/>
  <c r="P25" i="9"/>
  <c r="P36" i="9"/>
  <c r="I23" i="29"/>
  <c r="I32" i="29" s="1"/>
  <c r="G10" i="29"/>
  <c r="I29" i="29" s="1"/>
  <c r="I38" i="29" s="1"/>
  <c r="F10" i="29"/>
  <c r="I27" i="29" s="1"/>
  <c r="I36" i="29" s="1"/>
  <c r="E10" i="29"/>
  <c r="I25" i="29" s="1"/>
  <c r="I34" i="29" s="1"/>
  <c r="P14" i="9"/>
  <c r="P34" i="9"/>
  <c r="N38" i="9"/>
  <c r="P33" i="9"/>
  <c r="P19" i="9"/>
  <c r="P20" i="9"/>
  <c r="P15" i="9"/>
  <c r="P18" i="9"/>
  <c r="P17" i="9"/>
  <c r="P32" i="9"/>
  <c r="P39" i="9"/>
  <c r="P31" i="9"/>
  <c r="P22" i="9"/>
  <c r="P28" i="9"/>
  <c r="P26" i="9"/>
  <c r="P40" i="9"/>
  <c r="P29" i="9"/>
  <c r="P27" i="9"/>
  <c r="N27" i="9"/>
  <c r="P38" i="9"/>
  <c r="P42" i="9"/>
  <c r="P16" i="9"/>
  <c r="P41" i="9"/>
  <c r="P30" i="9"/>
  <c r="D22" i="27"/>
  <c r="D27" i="26"/>
  <c r="D38" i="26" s="1"/>
  <c r="G9" i="26"/>
  <c r="H9" i="26" s="1"/>
  <c r="C9" i="26"/>
  <c r="I17" i="26"/>
  <c r="F9" i="26"/>
  <c r="D9" i="26"/>
  <c r="E9" i="26"/>
  <c r="I13" i="27"/>
  <c r="C8" i="27"/>
  <c r="D8" i="27"/>
  <c r="F8" i="27"/>
  <c r="D10" i="26"/>
  <c r="C10" i="26"/>
  <c r="D17" i="26"/>
  <c r="F10" i="26"/>
  <c r="I27" i="26" s="1"/>
  <c r="I34" i="26" s="1"/>
  <c r="D13" i="27"/>
  <c r="D9" i="27"/>
  <c r="C9" i="27"/>
  <c r="H24" i="27"/>
  <c r="H20" i="27"/>
  <c r="H18" i="27"/>
  <c r="H22" i="27"/>
  <c r="H23" i="27"/>
  <c r="C22" i="27"/>
  <c r="C26" i="27"/>
  <c r="C18" i="27"/>
  <c r="H13" i="27"/>
  <c r="H19" i="27"/>
  <c r="C13" i="27"/>
  <c r="C33" i="26"/>
  <c r="H22" i="26"/>
  <c r="H31" i="26"/>
  <c r="H24" i="26"/>
  <c r="C17" i="26"/>
  <c r="H29" i="26"/>
  <c r="C22" i="26"/>
  <c r="C27" i="26"/>
  <c r="H26" i="26"/>
  <c r="H17" i="26"/>
  <c r="H33" i="26"/>
  <c r="C38" i="26"/>
  <c r="J55" i="9"/>
  <c r="N43" i="9"/>
  <c r="R60" i="9"/>
  <c r="E20" i="14" s="1"/>
  <c r="E32" i="13" s="1"/>
  <c r="G32" i="13" s="1"/>
  <c r="U60" i="9"/>
  <c r="E30" i="14" s="1"/>
  <c r="E42" i="13" s="1"/>
  <c r="G42" i="13" s="1"/>
  <c r="E21" i="14"/>
  <c r="E33" i="13" s="1"/>
  <c r="G33" i="13" s="1"/>
  <c r="C9" i="13"/>
  <c r="V60" i="9"/>
  <c r="E31" i="14" s="1"/>
  <c r="N15" i="9"/>
  <c r="N14" i="9"/>
  <c r="N16" i="9"/>
  <c r="N26" i="9"/>
  <c r="N31" i="9"/>
  <c r="N25" i="9"/>
  <c r="N33" i="9"/>
  <c r="J53" i="9"/>
  <c r="N17" i="9"/>
  <c r="N21" i="9"/>
  <c r="N36" i="9"/>
  <c r="N29" i="9"/>
  <c r="N40" i="9"/>
  <c r="N41" i="9"/>
  <c r="N39" i="9"/>
  <c r="N34" i="9"/>
  <c r="N19" i="9"/>
  <c r="Q60" i="9"/>
  <c r="E19" i="14" s="1"/>
  <c r="E31" i="13" s="1"/>
  <c r="G31" i="13" s="1"/>
  <c r="N23" i="9"/>
  <c r="N18" i="9"/>
  <c r="N42" i="9"/>
  <c r="N20" i="9"/>
  <c r="N22" i="9"/>
  <c r="N24" i="9"/>
  <c r="O60" i="9"/>
  <c r="N35" i="9"/>
  <c r="N28" i="9"/>
  <c r="N30" i="9"/>
  <c r="N32" i="9"/>
  <c r="E24" i="14"/>
  <c r="E36" i="13" s="1"/>
  <c r="G36" i="13" s="1"/>
  <c r="E25" i="14"/>
  <c r="E37" i="13" s="1"/>
  <c r="G37" i="13" s="1"/>
  <c r="T60" i="9"/>
  <c r="S60" i="9"/>
  <c r="L53" i="9"/>
  <c r="L48" i="9"/>
  <c r="E6" i="14" s="1"/>
  <c r="E18" i="13" s="1"/>
  <c r="G18" i="13" s="1"/>
  <c r="J56" i="9"/>
  <c r="J49" i="9"/>
  <c r="J60" i="9" s="1"/>
  <c r="E10" i="14"/>
  <c r="E22" i="13" s="1"/>
  <c r="G22" i="13" s="1"/>
  <c r="E8" i="14"/>
  <c r="E20" i="13" s="1"/>
  <c r="G20" i="13" s="1"/>
  <c r="E9" i="14"/>
  <c r="E21" i="13" s="1"/>
  <c r="G21" i="13" s="1"/>
  <c r="E4" i="14"/>
  <c r="E16" i="13" s="1"/>
  <c r="G16" i="13" s="1"/>
  <c r="E43" i="13" l="1"/>
  <c r="G43" i="13" s="1"/>
  <c r="E44" i="13"/>
  <c r="G44" i="13" s="1"/>
  <c r="F9" i="27"/>
  <c r="I22" i="27"/>
  <c r="I18" i="27"/>
  <c r="I23" i="27"/>
  <c r="I19" i="27"/>
  <c r="E10" i="26"/>
  <c r="H10" i="26" s="1"/>
  <c r="I23" i="26"/>
  <c r="I30" i="26" s="1"/>
  <c r="I25" i="26"/>
  <c r="I32" i="26" s="1"/>
  <c r="G10" i="26"/>
  <c r="N48" i="9"/>
  <c r="N53" i="9"/>
  <c r="J61" i="9"/>
  <c r="J63" i="9" s="1"/>
  <c r="E3" i="14" s="1"/>
  <c r="E15" i="13" s="1"/>
  <c r="G15" i="13" s="1"/>
  <c r="E17" i="14"/>
  <c r="E29" i="13" s="1"/>
  <c r="G29" i="13" s="1"/>
  <c r="E29" i="14"/>
  <c r="E41" i="13" s="1"/>
  <c r="E27" i="14"/>
  <c r="E39" i="13" s="1"/>
  <c r="G39" i="13" s="1"/>
  <c r="E28" i="14"/>
  <c r="E40" i="13" s="1"/>
  <c r="E26" i="14"/>
  <c r="E38" i="13" s="1"/>
  <c r="G38" i="13" s="1"/>
  <c r="E23" i="14"/>
  <c r="E35" i="13" s="1"/>
  <c r="G35" i="13" s="1"/>
  <c r="E22" i="14"/>
  <c r="E34" i="13" s="1"/>
  <c r="G34" i="13" s="1"/>
  <c r="P60" i="9"/>
  <c r="E18" i="14" s="1"/>
  <c r="E30" i="13" s="1"/>
  <c r="G30" i="13" s="1"/>
  <c r="E7" i="14"/>
  <c r="E19" i="13" s="1"/>
  <c r="G19" i="13" s="1"/>
  <c r="C8" i="9"/>
  <c r="C9" i="9"/>
  <c r="C7" i="9"/>
  <c r="C4" i="30" s="1"/>
  <c r="C4" i="9"/>
  <c r="H6" i="30" s="1"/>
  <c r="C5" i="9"/>
  <c r="C1" i="8"/>
  <c r="G41" i="13" l="1"/>
  <c r="G40" i="13"/>
  <c r="E4" i="29"/>
  <c r="E4" i="30"/>
  <c r="D4" i="29"/>
  <c r="D4" i="30"/>
  <c r="G3" i="28"/>
  <c r="C4" i="29"/>
  <c r="E1" i="28"/>
  <c r="H6" i="29"/>
  <c r="H6" i="27"/>
  <c r="H6" i="26"/>
  <c r="C4" i="27"/>
  <c r="C4" i="26"/>
  <c r="D4" i="27"/>
  <c r="D4" i="26"/>
  <c r="E4" i="27"/>
  <c r="E4" i="26"/>
  <c r="I20" i="27"/>
  <c r="I24" i="27"/>
  <c r="C8" i="13"/>
  <c r="C7" i="13"/>
  <c r="E11" i="14"/>
  <c r="E23" i="13" s="1"/>
  <c r="G23" i="13" s="1"/>
  <c r="E2" i="14"/>
  <c r="E14" i="13" s="1"/>
  <c r="G14" i="13" s="1"/>
  <c r="C3" i="9"/>
  <c r="H3" i="29" l="1"/>
  <c r="H3" i="30"/>
  <c r="E2" i="28"/>
  <c r="H3" i="26"/>
  <c r="H3" i="27"/>
  <c r="G49" i="13"/>
</calcChain>
</file>

<file path=xl/sharedStrings.xml><?xml version="1.0" encoding="utf-8"?>
<sst xmlns="http://schemas.openxmlformats.org/spreadsheetml/2006/main" count="821" uniqueCount="329">
  <si>
    <t>Malzeme Adı</t>
  </si>
  <si>
    <t>Birim</t>
  </si>
  <si>
    <t>Birim Fiyat</t>
  </si>
  <si>
    <t>Malzeme Kodu</t>
  </si>
  <si>
    <t>Kullanılan Miktar</t>
  </si>
  <si>
    <t>Müşteri Adı</t>
  </si>
  <si>
    <t>Sistem Adedi</t>
  </si>
  <si>
    <t>TARİH</t>
  </si>
  <si>
    <t>YÜZEY</t>
  </si>
  <si>
    <t>FİŞ NO</t>
  </si>
  <si>
    <t>MALZEME KODU</t>
  </si>
  <si>
    <t>PLANLAMA</t>
  </si>
  <si>
    <t>SATIŞ TEMSİLCİSİ</t>
  </si>
  <si>
    <t>İsim-Soyisim</t>
  </si>
  <si>
    <t>Malzeme Kontrol Tarih</t>
  </si>
  <si>
    <t>İmza</t>
  </si>
  <si>
    <t>BÖLÜM YÖNETİCİSİ</t>
  </si>
  <si>
    <t>YASİN BAYRAMLI</t>
  </si>
  <si>
    <t>AD</t>
  </si>
  <si>
    <t>KODU</t>
  </si>
  <si>
    <t>MALZEME ADI</t>
  </si>
  <si>
    <t>BİRİM</t>
  </si>
  <si>
    <t>FİYAT</t>
  </si>
  <si>
    <t>HAZIRLAYAN</t>
  </si>
  <si>
    <t>SİSTEM RENGİ</t>
  </si>
  <si>
    <t>MÜŞTERİ TEMSİLCİSİ</t>
  </si>
  <si>
    <t>ŞABAN KÖSE</t>
  </si>
  <si>
    <t>ÜLKE</t>
  </si>
  <si>
    <t>FİRMA</t>
  </si>
  <si>
    <t>PROJE ADI</t>
  </si>
  <si>
    <t>PROJE DETAYLARI</t>
  </si>
  <si>
    <t>BATUKAN TAŞ</t>
  </si>
  <si>
    <t>İBRAHİM KARADENİZ</t>
  </si>
  <si>
    <t>MEHMET YILDIZ</t>
  </si>
  <si>
    <t>HÜSEYİN GÖKHAN MENÇİ</t>
  </si>
  <si>
    <t>ADET</t>
  </si>
  <si>
    <t>POZ</t>
  </si>
  <si>
    <t>EURO / TL</t>
  </si>
  <si>
    <t>LME</t>
  </si>
  <si>
    <t>DOLAR / TL</t>
  </si>
  <si>
    <t>PRES</t>
  </si>
  <si>
    <t>BOYALI</t>
  </si>
  <si>
    <t>Proje Adı</t>
  </si>
  <si>
    <t>Fabrika Fiş No</t>
  </si>
  <si>
    <t>No</t>
  </si>
  <si>
    <t>Toplam</t>
  </si>
  <si>
    <t>Malzeme Maliyet</t>
  </si>
  <si>
    <t xml:space="preserve">Satış Fiyatı(€)  </t>
  </si>
  <si>
    <t>TEKCAM</t>
  </si>
  <si>
    <t>ISICAM</t>
  </si>
  <si>
    <t>PANEL SAYISI</t>
  </si>
  <si>
    <t>5'Lİ RAY</t>
  </si>
  <si>
    <t>3'LÜ RAY</t>
  </si>
  <si>
    <t>4'LÜ RAY</t>
  </si>
  <si>
    <t>5'Lİ RAY ÇERÇEVESİZ</t>
  </si>
  <si>
    <t>3'LÜ RAY ÇERÇEVESİZ</t>
  </si>
  <si>
    <t>2+2</t>
  </si>
  <si>
    <t>3+3</t>
  </si>
  <si>
    <t>4+4</t>
  </si>
  <si>
    <t>5+5</t>
  </si>
  <si>
    <t>TOPLAM PANEL</t>
  </si>
  <si>
    <t>TOPLAM PANEL SAYISI</t>
  </si>
  <si>
    <t>PANEL SAYISI GENEL TOPLAM</t>
  </si>
  <si>
    <t>HUUN SÜRME ÜRETİM FİŞİ</t>
  </si>
  <si>
    <t>SÜRME-00004</t>
  </si>
  <si>
    <t>SÜRME MERKEZLEME</t>
  </si>
  <si>
    <t>SÜRME-00052</t>
  </si>
  <si>
    <t xml:space="preserve">SÜRME TEKERİ ÇİFTLİ </t>
  </si>
  <si>
    <t>SÜRME-00105</t>
  </si>
  <si>
    <t>SÜRME DİKME ALT KAPAK PLASTİK</t>
  </si>
  <si>
    <t>SÜRME-00106</t>
  </si>
  <si>
    <t>ISI CAM SÜRME SU TAHLİYE PLASTİK</t>
  </si>
  <si>
    <t>SÜRME-00107</t>
  </si>
  <si>
    <t>ISI CAM SÜRME ALT ORTA PLASTİK</t>
  </si>
  <si>
    <t>SÜRME-00108</t>
  </si>
  <si>
    <t>ISI CAM SÜRME ÜST ORTA PLASTİK</t>
  </si>
  <si>
    <t>SÜRME-00109</t>
  </si>
  <si>
    <t>ISI CAM SÜRME ALT KULP PLASTİK</t>
  </si>
  <si>
    <t>SÜRME-00110</t>
  </si>
  <si>
    <t>ISI CAM SÜRME ÜST KULP PLASTİK</t>
  </si>
  <si>
    <t>SÜRME-00018</t>
  </si>
  <si>
    <t>ISICAMLI SÜRME METAL KÖŞE</t>
  </si>
  <si>
    <t>SÜRME-00007</t>
  </si>
  <si>
    <t>SÜRME SÜRME RAY 6,50X250</t>
  </si>
  <si>
    <t>MTR</t>
  </si>
  <si>
    <t>Rotoline Secustik Pencere Kolu Titan 40 mm</t>
  </si>
  <si>
    <t>ROTO-1</t>
  </si>
  <si>
    <t>Kilitli Kol</t>
  </si>
  <si>
    <t>AKS -1976</t>
  </si>
  <si>
    <t>Gömme Kol Gri</t>
  </si>
  <si>
    <t>SÜRME-00115</t>
  </si>
  <si>
    <t>NT T.A. İspanyolet   800 1P D15</t>
  </si>
  <si>
    <t>SÜRME-00031</t>
  </si>
  <si>
    <t>NT GÖMME KARŞILIĞI</t>
  </si>
  <si>
    <t>SÜRME-00025</t>
  </si>
  <si>
    <t>ISICAMLI SÜRME ORTA BİRLEŞTİRME APARATI</t>
  </si>
  <si>
    <t>PNR-0450</t>
  </si>
  <si>
    <t>KIL FİTİL SÜRME  48X450</t>
  </si>
  <si>
    <t>KIL FİTİL SÜRME 67x550</t>
  </si>
  <si>
    <t>SÜRME-00011</t>
  </si>
  <si>
    <t xml:space="preserve">SÜRME EPDM KAUÇUK FİTİL </t>
  </si>
  <si>
    <t>KGM</t>
  </si>
  <si>
    <t>İZO-0363</t>
  </si>
  <si>
    <t>HUUN FİX ALL HİGH TACK ŞEFFAF 290 ML</t>
  </si>
  <si>
    <t>627458</t>
  </si>
  <si>
    <t>SÜRME-00111</t>
  </si>
  <si>
    <t>TEK CAM SÜRME ALT ARA PLASTİK</t>
  </si>
  <si>
    <t>SÜRME-00112</t>
  </si>
  <si>
    <t>TEK CAM SÜRME ÜST ARA PLASTİK</t>
  </si>
  <si>
    <t>SÜRME-00039</t>
  </si>
  <si>
    <t>TEK CAM SÜRME ÜST KULP PLASTİL</t>
  </si>
  <si>
    <t>SÜRME-00038</t>
  </si>
  <si>
    <t>TEK CAM SÜRME ALT KULP PLASTİK</t>
  </si>
  <si>
    <t>SÜRME-00113</t>
  </si>
  <si>
    <t>TEK CAM SÜRME SU TAHLİYE PLASTİK</t>
  </si>
  <si>
    <t>SÜRME-00093</t>
  </si>
  <si>
    <t xml:space="preserve">TEKCAM SÜRME ORTA BİRLEŞTİRME PLASTİĞİ </t>
  </si>
  <si>
    <t>TK</t>
  </si>
  <si>
    <t>CAM.176</t>
  </si>
  <si>
    <t>KULLANILAN MİKTAR</t>
  </si>
  <si>
    <t>TÜM TOPLAM</t>
  </si>
  <si>
    <t>TOPLAM</t>
  </si>
  <si>
    <t>SİSTEM SAYISI TOPLAM</t>
  </si>
  <si>
    <t>ALT ORTA HESAPLAMA</t>
  </si>
  <si>
    <t>ALT ORTA TOPLAM</t>
  </si>
  <si>
    <t>BİR SİSTEM PANEL SAYISI</t>
  </si>
  <si>
    <t>SÜRME METAL KIZAK SIRA SAYISI</t>
  </si>
  <si>
    <t>RAY UZUNLUK (M)</t>
  </si>
  <si>
    <t>RAY TOPLAM (M)</t>
  </si>
  <si>
    <t>KIL FİTİL -48X450</t>
  </si>
  <si>
    <t>KIL FİTİL -67X550</t>
  </si>
  <si>
    <t>KAUÇUK FİTİL</t>
  </si>
  <si>
    <t>SU TAHLİYE /3 LÜ</t>
  </si>
  <si>
    <t>SU TAHLİYE /5 Lİ</t>
  </si>
  <si>
    <t>SÜRME-00091</t>
  </si>
  <si>
    <t>SÜRME 3 LÜ SU TAHLİYESİ</t>
  </si>
  <si>
    <t>SÜRME-00092</t>
  </si>
  <si>
    <t>TEKCAM 3lü SÜRME KÖŞE SACI LAZER KESİM</t>
  </si>
  <si>
    <t>SÜRME-00019</t>
  </si>
  <si>
    <t>TEKCAM SÜRME KÖŞE SACI LAZER KESİM</t>
  </si>
  <si>
    <t>ORTA BİRLEŞİM ISICAM</t>
  </si>
  <si>
    <t>SÜRME-00027-B</t>
  </si>
  <si>
    <t>ÇERÇEVESİZ SÜRME METAL KAPAK BOYALI</t>
  </si>
  <si>
    <t>SÜRME-00095</t>
  </si>
  <si>
    <t>914.CB.R.2C Cam Balkon Profili 10 mm Şeffaf&amp;#4</t>
  </si>
  <si>
    <t>ORTA BİRLEŞİM TEKCAM</t>
  </si>
  <si>
    <t>ÇERÇEVESİZ METAL</t>
  </si>
  <si>
    <t>ÇERÇEVESİZ FİTİL</t>
  </si>
  <si>
    <t>SÜRME-00027</t>
  </si>
  <si>
    <t>PRF-7016</t>
  </si>
  <si>
    <t>RAL 7016 BOYALI PROFİL</t>
  </si>
  <si>
    <t>KG</t>
  </si>
  <si>
    <t>CAM.937</t>
  </si>
  <si>
    <t>Company</t>
  </si>
  <si>
    <t>COUNTRY</t>
  </si>
  <si>
    <t>COLOR</t>
  </si>
  <si>
    <t>WIDTH (mm)</t>
  </si>
  <si>
    <t>NOTE: Measure is in millimeters</t>
  </si>
  <si>
    <t>HEIGHT (mm)</t>
  </si>
  <si>
    <t>ADET/PIECE</t>
  </si>
  <si>
    <t>BOY/LENGTH cm</t>
  </si>
  <si>
    <t>SÜRME YÖNÜ</t>
  </si>
  <si>
    <t>Project Name</t>
  </si>
  <si>
    <t>POZ 1</t>
  </si>
  <si>
    <t>POZ 2</t>
  </si>
  <si>
    <t>POZ 3</t>
  </si>
  <si>
    <t>POZ 4</t>
  </si>
  <si>
    <t>POZ 5</t>
  </si>
  <si>
    <t>POZ 6</t>
  </si>
  <si>
    <t>POZ 7</t>
  </si>
  <si>
    <t>POZ 8</t>
  </si>
  <si>
    <t>POZ 9</t>
  </si>
  <si>
    <t>POZ 10</t>
  </si>
  <si>
    <t>POZ 11</t>
  </si>
  <si>
    <t>POZ 12</t>
  </si>
  <si>
    <t>POZ 13</t>
  </si>
  <si>
    <t>POZ 14</t>
  </si>
  <si>
    <t>POZ 15</t>
  </si>
  <si>
    <t>POZ 16</t>
  </si>
  <si>
    <t>POZ 17</t>
  </si>
  <si>
    <t>POZ 18</t>
  </si>
  <si>
    <t>POZ 19</t>
  </si>
  <si>
    <t>POZ 20</t>
  </si>
  <si>
    <t>POZ 21</t>
  </si>
  <si>
    <t>POZ 22</t>
  </si>
  <si>
    <t>POZ 23</t>
  </si>
  <si>
    <t>POZ 24</t>
  </si>
  <si>
    <t>POZ 25</t>
  </si>
  <si>
    <t>POZ 26</t>
  </si>
  <si>
    <t>POZ 27</t>
  </si>
  <si>
    <t>POZ 28</t>
  </si>
  <si>
    <t>POZ 29</t>
  </si>
  <si>
    <t>POZ 30</t>
  </si>
  <si>
    <t>SİSTEM SAYISI</t>
  </si>
  <si>
    <t>HESAPLANAN POZUN PANEL SAYISI</t>
  </si>
  <si>
    <t>ÜRETİM FORMU PANEL SAYISI</t>
  </si>
  <si>
    <t xml:space="preserve">SİPARİŞ VE SEVKİYAT FORMU </t>
  </si>
  <si>
    <t>Siparişi Açan</t>
  </si>
  <si>
    <t>Sipariş Tarihi</t>
  </si>
  <si>
    <t>MÜŞTERİ ADI</t>
  </si>
  <si>
    <t>Sipariş Numarası</t>
  </si>
  <si>
    <t xml:space="preserve">SİPARİŞ DETAY </t>
  </si>
  <si>
    <t>Sıra No</t>
  </si>
  <si>
    <t>PROFİL NO</t>
  </si>
  <si>
    <t>PROFİL KESİT</t>
  </si>
  <si>
    <t>GRAMAJ (g/m)</t>
  </si>
  <si>
    <t>BOY(m)</t>
  </si>
  <si>
    <t>Teorik TOPLAM (Kg)</t>
  </si>
  <si>
    <t>Boyahane 
Kontrol</t>
  </si>
  <si>
    <t>Açıklama</t>
  </si>
  <si>
    <t>SERDAR USTAYA GİDECEK</t>
  </si>
  <si>
    <t>Profil 
Kontrol</t>
  </si>
  <si>
    <t>Atölye
Kontrol</t>
  </si>
  <si>
    <t>M6305</t>
  </si>
  <si>
    <t>M6332</t>
  </si>
  <si>
    <t>M6333</t>
  </si>
  <si>
    <t>M6334</t>
  </si>
  <si>
    <t>M6313</t>
  </si>
  <si>
    <t>M6544</t>
  </si>
  <si>
    <t>M6377</t>
  </si>
  <si>
    <t>11579-R2</t>
  </si>
  <si>
    <t>HUUN SLIDING / SINGLE</t>
  </si>
  <si>
    <t>WİNDOW A</t>
  </si>
  <si>
    <t>WİNDOW B</t>
  </si>
  <si>
    <t>WİNDOW C</t>
  </si>
  <si>
    <t>A</t>
  </si>
  <si>
    <t>B</t>
  </si>
  <si>
    <t>C</t>
  </si>
  <si>
    <t>HEIGHT mm</t>
  </si>
  <si>
    <t>WIDTH mm</t>
  </si>
  <si>
    <t>D</t>
  </si>
  <si>
    <t>SINGLE GLASS (10mm) 3+3 PANEL CALC.</t>
  </si>
  <si>
    <t>SINGLE GLASS (10mm) 3 PANEL CALC.</t>
  </si>
  <si>
    <t>İBRAHİM ÖZTÜRK</t>
  </si>
  <si>
    <t>Rotoline Kilitli Kol Titan 35 mm</t>
  </si>
  <si>
    <t>KIL FİTİL SÜRME PANORAMA 48X450</t>
  </si>
  <si>
    <t>TEKCAM ÜST KULP SİYAH</t>
  </si>
  <si>
    <t>TEKCAM ALT KULP SİYAH</t>
  </si>
  <si>
    <t>ÜÇLÜ SÜRME BİRLEŞTİRME SACI</t>
  </si>
  <si>
    <t>C TR Ö T.CAM DC CL 10 MR-TMP</t>
  </si>
  <si>
    <t>M2</t>
  </si>
  <si>
    <t>C TR Ö IS.C DC CL 6  ZR-TMP+11hbst.pu+DC CL 5  ZR-</t>
  </si>
  <si>
    <t>ÇERÇEVESİZ SÜRME METAL KAPAK</t>
  </si>
  <si>
    <t>KIL FİTİL VE PANO HESABI</t>
  </si>
  <si>
    <t>ALT ORTA VE DİKME KIL FİTİL HESABI</t>
  </si>
  <si>
    <t>PROFİL AÇIKLMASI</t>
  </si>
  <si>
    <t>SÜRME DİKME 
PROFİLİ</t>
  </si>
  <si>
    <t>TEKCAM SÜRME 5 Lİ ÜST
RAY PROFİLİ</t>
  </si>
  <si>
    <t>TEKCAM SÜRME 
KOL PROFİLİ</t>
  </si>
  <si>
    <t>TEKCAM SÜRME 
CAM PROFİLİ</t>
  </si>
  <si>
    <t>TEKCAM 3 LÜ 
ÜST RAY PROFİLİ</t>
  </si>
  <si>
    <t>TEKCAM SÜRME
3 LÜ DİKME 
PROFİLİ</t>
  </si>
  <si>
    <t>SÜRME SABİT
PROFİLİ</t>
  </si>
  <si>
    <t>TEKCAM SÜRME 
BÜYÜK KOL
PROFİLİ</t>
  </si>
  <si>
    <t>TEKCAM SÜRME 
DİKMESİZ KÖŞE
PROFİLİ</t>
  </si>
  <si>
    <t>TEKCAM SÜRME 
DİKMESİZ KÖŞE
KAPAK PROFİLİ</t>
  </si>
  <si>
    <t>WİNDOW D</t>
  </si>
  <si>
    <t>SABİT</t>
  </si>
  <si>
    <t>AYTUĞ KILINÇ</t>
  </si>
  <si>
    <t>SÜRME
ALT EŞİK PROFİLİ</t>
  </si>
  <si>
    <t>M6802</t>
  </si>
  <si>
    <t>SINGLE GLASS (10mm) 2 PANEL CALC.</t>
  </si>
  <si>
    <t>FİX GLASS</t>
  </si>
  <si>
    <t>EM06300010</t>
  </si>
  <si>
    <t>EM07300010</t>
  </si>
  <si>
    <t>EM07300011</t>
  </si>
  <si>
    <t>EM06100145</t>
  </si>
  <si>
    <t>EM06100146</t>
  </si>
  <si>
    <t>EM06100147</t>
  </si>
  <si>
    <t>EM06100148</t>
  </si>
  <si>
    <t>EM06100149</t>
  </si>
  <si>
    <t>EM06100150</t>
  </si>
  <si>
    <t>EM07100094</t>
  </si>
  <si>
    <t>EM07400007</t>
  </si>
  <si>
    <t>EM07300017</t>
  </si>
  <si>
    <t>EM07300022</t>
  </si>
  <si>
    <t>EM07300012</t>
  </si>
  <si>
    <t>EM07300027</t>
  </si>
  <si>
    <t>EM07300024</t>
  </si>
  <si>
    <t>EM06100159</t>
  </si>
  <si>
    <t>EM06300005</t>
  </si>
  <si>
    <t>EM06200039</t>
  </si>
  <si>
    <t>EM09100003</t>
  </si>
  <si>
    <t>EM06100151</t>
  </si>
  <si>
    <t>EM06100152</t>
  </si>
  <si>
    <t>EM06100141</t>
  </si>
  <si>
    <t>EM06100140</t>
  </si>
  <si>
    <t>EM06100153</t>
  </si>
  <si>
    <t>EM06100142</t>
  </si>
  <si>
    <t>EM07100096</t>
  </si>
  <si>
    <t>EM07100095</t>
  </si>
  <si>
    <t>EM06100143</t>
  </si>
  <si>
    <t>EM06100144</t>
  </si>
  <si>
    <t>EM05100011</t>
  </si>
  <si>
    <t>EM05300037</t>
  </si>
  <si>
    <t>EM07100097</t>
  </si>
  <si>
    <t>ALT EŞİK</t>
  </si>
  <si>
    <t>VAR</t>
  </si>
  <si>
    <t>YOK</t>
  </si>
  <si>
    <t>M7524</t>
  </si>
  <si>
    <t>EM06100331</t>
  </si>
  <si>
    <t>ALT EŞİK YAN KAPAK</t>
  </si>
  <si>
    <t>SET</t>
  </si>
  <si>
    <t>EM10200047</t>
  </si>
  <si>
    <t>M5X35 KOL BAĞLANTI CİVATASI</t>
  </si>
  <si>
    <t>sol</t>
  </si>
  <si>
    <t>Data</t>
  </si>
  <si>
    <t>Executant</t>
  </si>
  <si>
    <t>Reprezentant client</t>
  </si>
  <si>
    <t>Date client</t>
  </si>
  <si>
    <t>Tara</t>
  </si>
  <si>
    <t>Compania</t>
  </si>
  <si>
    <t>Nume proiect</t>
  </si>
  <si>
    <t>Culoare</t>
  </si>
  <si>
    <t>Cod culoare</t>
  </si>
  <si>
    <t>Parte blocata</t>
  </si>
  <si>
    <t>Parte înglobata</t>
  </si>
  <si>
    <t>DETALII PANOU - PENTRU TOATE SISTEMELE</t>
  </si>
  <si>
    <t>ATENTIE</t>
  </si>
  <si>
    <t>Sticla: dimensiuni trebuiesc verificate</t>
  </si>
  <si>
    <t>Latime sistem (CM)</t>
  </si>
  <si>
    <t>Inaltime sistem (CM)</t>
  </si>
  <si>
    <t>Tip sticla</t>
  </si>
  <si>
    <t>Nr de canale</t>
  </si>
  <si>
    <t>Nr de panouri</t>
  </si>
  <si>
    <t>cantitate</t>
  </si>
  <si>
    <t>Orientare sistem</t>
  </si>
  <si>
    <t>Prag suplimentar</t>
  </si>
  <si>
    <t>Maner drept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</si>
</sst>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₺&quot;* #,##0.00_-;\-&quot;₺&quot;* #,##0.00_-;_-&quot;₺&quot;* &quot;-&quot;??_-;_-@_-"/>
    <numFmt numFmtId="165" formatCode="_-* #,##0.00\ &quot;₺&quot;_-;\-* #,##0.00\ &quot;₺&quot;_-;_-* &quot;-&quot;??\ &quot;₺&quot;_-;_-@_-"/>
    <numFmt numFmtId="166" formatCode="_-* #,##0.00\ _₺_-;\-* #,##0.00\ _₺_-;_-* &quot;-&quot;??\ _₺_-;_-@_-"/>
    <numFmt numFmtId="167" formatCode="_-[$₺-41F]* #,##0.00_-;\-[$₺-41F]* #,##0.00_-;_-[$₺-41F]* &quot;-&quot;??_-;_-@_-"/>
    <numFmt numFmtId="168" formatCode="_-[$$-409]* #,##0.00_ ;_-[$$-409]* \-#,##0.00\ ;_-[$$-409]* &quot;-&quot;??_ ;_-@_ "/>
    <numFmt numFmtId="169" formatCode="&quot;₺&quot;#,##0.00"/>
    <numFmt numFmtId="170" formatCode="_-[$€-2]\ * #,##0.00_-;\-[$€-2]\ * #,##0.00_-;_-[$€-2]\ * &quot;-&quot;??_-;_-@_-"/>
    <numFmt numFmtId="171" formatCode="#.0\ &quot;CM&quot;"/>
    <numFmt numFmtId="172" formatCode="#0\ &quot;ADET&quot;"/>
    <numFmt numFmtId="173" formatCode="0.0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4"/>
      <color theme="1"/>
      <name val="Cambria"/>
      <family val="1"/>
      <charset val="162"/>
    </font>
    <font>
      <sz val="14"/>
      <color theme="1"/>
      <name val="Calibri"/>
      <family val="2"/>
      <charset val="162"/>
      <scheme val="minor"/>
    </font>
    <font>
      <b/>
      <sz val="16"/>
      <color theme="0"/>
      <name val="Tw Cen MT"/>
      <family val="2"/>
    </font>
    <font>
      <sz val="8"/>
      <name val="Calibri"/>
      <family val="2"/>
      <scheme val="minor"/>
    </font>
    <font>
      <sz val="14"/>
      <color theme="1"/>
      <name val="Cambria"/>
      <family val="1"/>
      <charset val="162"/>
    </font>
    <font>
      <sz val="32"/>
      <color theme="1"/>
      <name val="Calibri"/>
      <family val="2"/>
    </font>
    <font>
      <sz val="3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26"/>
      <color theme="1"/>
      <name val="Calibri"/>
      <family val="2"/>
      <scheme val="minor"/>
    </font>
    <font>
      <b/>
      <u/>
      <sz val="24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i/>
      <u/>
      <sz val="26"/>
      <color theme="1"/>
      <name val="Calibri"/>
      <family val="2"/>
      <scheme val="minor"/>
    </font>
    <font>
      <b/>
      <sz val="26"/>
      <color rgb="FF000000"/>
      <name val="Calibri"/>
      <family val="2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48"/>
      <color theme="1"/>
      <name val="Calibri"/>
      <family val="2"/>
      <charset val="162"/>
      <scheme val="minor"/>
    </font>
    <font>
      <b/>
      <sz val="13"/>
      <color theme="0"/>
      <name val="Tw Cen MT"/>
      <family val="2"/>
    </font>
    <font>
      <b/>
      <sz val="12"/>
      <color theme="1"/>
      <name val="Bahnschrift Light SemiCondensed"/>
      <family val="2"/>
      <charset val="162"/>
    </font>
    <font>
      <b/>
      <sz val="11"/>
      <color theme="1"/>
      <name val="Bahnschrift Light SemiCondensed"/>
      <family val="2"/>
      <charset val="162"/>
    </font>
    <font>
      <b/>
      <sz val="12"/>
      <name val="Bahnschrift Light SemiCondensed"/>
      <family val="2"/>
      <charset val="162"/>
    </font>
    <font>
      <b/>
      <sz val="18"/>
      <color theme="1"/>
      <name val="Bahnschrift Light SemiCondensed"/>
      <family val="2"/>
      <charset val="162"/>
    </font>
    <font>
      <b/>
      <sz val="20"/>
      <name val="Bahnschrift Light SemiCondensed"/>
      <family val="2"/>
      <charset val="162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Bahnschrift Light SemiCondensed"/>
      <family val="2"/>
      <charset val="162"/>
    </font>
    <font>
      <sz val="20"/>
      <color theme="1"/>
      <name val="Bahnschrift Light SemiCondensed"/>
      <family val="2"/>
      <charset val="162"/>
    </font>
    <font>
      <sz val="36"/>
      <color theme="1"/>
      <name val="Calibri"/>
      <family val="2"/>
      <charset val="162"/>
      <scheme val="minor"/>
    </font>
    <font>
      <sz val="40"/>
      <color theme="1"/>
      <name val="Calibri"/>
      <family val="2"/>
      <charset val="162"/>
      <scheme val="minor"/>
    </font>
    <font>
      <sz val="50"/>
      <color theme="1"/>
      <name val="Calibri"/>
      <family val="2"/>
      <charset val="162"/>
      <scheme val="minor"/>
    </font>
    <font>
      <sz val="60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i/>
      <sz val="16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3"/>
      <name val="Bahnschrift Light SemiCondensed"/>
      <family val="2"/>
      <charset val="162"/>
    </font>
    <font>
      <sz val="18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2">
    <xf numFmtId="0" fontId="0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6" fillId="10" borderId="31" applyNumberFormat="0" applyFont="0" applyAlignment="0" applyProtection="0"/>
    <xf numFmtId="166" fontId="6" fillId="0" borderId="0" applyFont="0" applyFill="0" applyBorder="0" applyAlignment="0" applyProtection="0"/>
  </cellStyleXfs>
  <cellXfs count="419">
    <xf numFmtId="0" fontId="0" fillId="0" borderId="0" xfId="0"/>
    <xf numFmtId="0" fontId="9" fillId="0" borderId="1" xfId="16" applyFont="1" applyBorder="1" applyAlignment="1">
      <alignment horizontal="left" vertical="center"/>
    </xf>
    <xf numFmtId="14" fontId="10" fillId="0" borderId="1" xfId="16" applyNumberFormat="1" applyFont="1" applyBorder="1" applyAlignment="1">
      <alignment horizontal="left" vertical="center"/>
    </xf>
    <xf numFmtId="0" fontId="8" fillId="4" borderId="0" xfId="16" applyFill="1"/>
    <xf numFmtId="0" fontId="7" fillId="4" borderId="0" xfId="16" applyFont="1" applyFill="1"/>
    <xf numFmtId="0" fontId="10" fillId="6" borderId="1" xfId="16" applyFont="1" applyFill="1" applyBorder="1" applyAlignment="1">
      <alignment horizontal="left" vertical="center"/>
    </xf>
    <xf numFmtId="0" fontId="10" fillId="0" borderId="1" xfId="16" applyFont="1" applyBorder="1" applyAlignment="1">
      <alignment horizontal="left" vertical="center"/>
    </xf>
    <xf numFmtId="14" fontId="10" fillId="6" borderId="1" xfId="16" applyNumberFormat="1" applyFont="1" applyFill="1" applyBorder="1" applyAlignment="1">
      <alignment horizontal="left" vertical="center"/>
    </xf>
    <xf numFmtId="0" fontId="7" fillId="3" borderId="0" xfId="16" applyFont="1" applyFill="1"/>
    <xf numFmtId="0" fontId="0" fillId="6" borderId="0" xfId="0" applyFill="1"/>
    <xf numFmtId="0" fontId="9" fillId="7" borderId="1" xfId="16" applyFont="1" applyFill="1" applyBorder="1" applyAlignment="1">
      <alignment horizontal="center" vertical="center"/>
    </xf>
    <xf numFmtId="0" fontId="10" fillId="0" borderId="1" xfId="16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8" fillId="8" borderId="0" xfId="16" applyFill="1"/>
    <xf numFmtId="0" fontId="14" fillId="8" borderId="1" xfId="16" applyFont="1" applyFill="1" applyBorder="1" applyAlignment="1">
      <alignment horizontal="center" vertical="center"/>
    </xf>
    <xf numFmtId="169" fontId="15" fillId="2" borderId="1" xfId="16" applyNumberFormat="1" applyFont="1" applyFill="1" applyBorder="1" applyAlignment="1">
      <alignment horizontal="left" vertical="center" wrapText="1"/>
    </xf>
    <xf numFmtId="0" fontId="15" fillId="8" borderId="0" xfId="16" applyFont="1" applyFill="1"/>
    <xf numFmtId="168" fontId="15" fillId="2" borderId="1" xfId="16" applyNumberFormat="1" applyFont="1" applyFill="1" applyBorder="1" applyAlignment="1">
      <alignment horizontal="left" vertical="center" wrapText="1"/>
    </xf>
    <xf numFmtId="0" fontId="15" fillId="8" borderId="7" xfId="16" applyFont="1" applyFill="1" applyBorder="1"/>
    <xf numFmtId="0" fontId="8" fillId="0" borderId="0" xfId="16"/>
    <xf numFmtId="0" fontId="15" fillId="8" borderId="0" xfId="16" applyFont="1" applyFill="1" applyAlignment="1">
      <alignment horizontal="left"/>
    </xf>
    <xf numFmtId="0" fontId="15" fillId="8" borderId="0" xfId="16" applyFont="1" applyFill="1" applyAlignment="1">
      <alignment horizontal="left" vertical="center" wrapText="1"/>
    </xf>
    <xf numFmtId="0" fontId="8" fillId="8" borderId="0" xfId="16" applyFill="1" applyAlignment="1">
      <alignment horizontal="left"/>
    </xf>
    <xf numFmtId="0" fontId="5" fillId="8" borderId="0" xfId="16" applyFont="1" applyFill="1" applyAlignment="1">
      <alignment horizontal="left" vertical="center" wrapText="1"/>
    </xf>
    <xf numFmtId="0" fontId="16" fillId="0" borderId="0" xfId="16" applyFont="1"/>
    <xf numFmtId="0" fontId="17" fillId="0" borderId="8" xfId="16" applyFont="1" applyBorder="1"/>
    <xf numFmtId="0" fontId="17" fillId="0" borderId="0" xfId="16" applyFont="1" applyAlignment="1">
      <alignment horizontal="center"/>
    </xf>
    <xf numFmtId="0" fontId="17" fillId="0" borderId="3" xfId="16" applyFont="1" applyBorder="1" applyAlignment="1">
      <alignment vertical="center"/>
    </xf>
    <xf numFmtId="0" fontId="17" fillId="0" borderId="1" xfId="16" applyFont="1" applyBorder="1" applyAlignment="1">
      <alignment horizontal="left" vertical="center"/>
    </xf>
    <xf numFmtId="0" fontId="16" fillId="0" borderId="0" xfId="16" applyFont="1" applyAlignment="1">
      <alignment horizontal="center" vertical="center"/>
    </xf>
    <xf numFmtId="0" fontId="17" fillId="0" borderId="1" xfId="16" applyFont="1" applyBorder="1" applyAlignment="1">
      <alignment horizontal="center" vertical="center"/>
    </xf>
    <xf numFmtId="0" fontId="17" fillId="0" borderId="0" xfId="16" applyFont="1" applyAlignment="1">
      <alignment horizontal="center" vertical="center"/>
    </xf>
    <xf numFmtId="0" fontId="17" fillId="2" borderId="1" xfId="16" applyFont="1" applyFill="1" applyBorder="1" applyAlignment="1">
      <alignment horizontal="left" vertical="center"/>
    </xf>
    <xf numFmtId="0" fontId="17" fillId="2" borderId="1" xfId="16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7" fillId="0" borderId="0" xfId="16" applyFont="1"/>
    <xf numFmtId="0" fontId="21" fillId="0" borderId="1" xfId="16" applyFont="1" applyBorder="1" applyAlignment="1">
      <alignment horizontal="center" vertical="center"/>
    </xf>
    <xf numFmtId="0" fontId="22" fillId="0" borderId="1" xfId="16" applyFont="1" applyBorder="1" applyAlignment="1">
      <alignment horizontal="left" vertical="center"/>
    </xf>
    <xf numFmtId="0" fontId="23" fillId="0" borderId="1" xfId="16" applyFont="1" applyBorder="1" applyAlignment="1">
      <alignment horizontal="left" vertical="center"/>
    </xf>
    <xf numFmtId="0" fontId="21" fillId="0" borderId="0" xfId="16" applyFont="1" applyAlignment="1">
      <alignment horizontal="center"/>
    </xf>
    <xf numFmtId="0" fontId="16" fillId="0" borderId="0" xfId="16" applyFont="1" applyAlignment="1">
      <alignment horizontal="left"/>
    </xf>
    <xf numFmtId="0" fontId="17" fillId="0" borderId="0" xfId="16" applyFont="1" applyAlignment="1">
      <alignment vertical="center" wrapText="1"/>
    </xf>
    <xf numFmtId="9" fontId="24" fillId="0" borderId="0" xfId="18" applyFont="1" applyBorder="1" applyAlignment="1">
      <alignment vertical="center"/>
    </xf>
    <xf numFmtId="167" fontId="17" fillId="3" borderId="6" xfId="16" applyNumberFormat="1" applyFont="1" applyFill="1" applyBorder="1" applyAlignment="1">
      <alignment horizontal="right" vertical="center"/>
    </xf>
    <xf numFmtId="167" fontId="16" fillId="0" borderId="0" xfId="16" applyNumberFormat="1" applyFont="1" applyAlignment="1">
      <alignment horizontal="right"/>
    </xf>
    <xf numFmtId="170" fontId="17" fillId="2" borderId="6" xfId="17" applyNumberFormat="1" applyFont="1" applyFill="1" applyBorder="1" applyAlignment="1">
      <alignment horizontal="center" vertical="center"/>
    </xf>
    <xf numFmtId="164" fontId="0" fillId="0" borderId="0" xfId="17" applyFont="1"/>
    <xf numFmtId="0" fontId="5" fillId="0" borderId="0" xfId="16" applyFont="1" applyAlignment="1">
      <alignment horizontal="left" vertical="center" wrapText="1"/>
    </xf>
    <xf numFmtId="0" fontId="4" fillId="0" borderId="0" xfId="16" applyFont="1" applyAlignment="1">
      <alignment horizontal="center"/>
    </xf>
    <xf numFmtId="167" fontId="4" fillId="0" borderId="0" xfId="16" applyNumberFormat="1" applyFont="1" applyAlignment="1">
      <alignment horizontal="right"/>
    </xf>
    <xf numFmtId="49" fontId="4" fillId="0" borderId="0" xfId="16" applyNumberFormat="1" applyFont="1" applyAlignment="1">
      <alignment horizontal="center" vertical="center"/>
    </xf>
    <xf numFmtId="0" fontId="25" fillId="0" borderId="1" xfId="16" applyFont="1" applyBorder="1" applyAlignment="1">
      <alignment horizontal="center" vertical="center" wrapText="1"/>
    </xf>
    <xf numFmtId="0" fontId="26" fillId="0" borderId="1" xfId="16" applyFont="1" applyBorder="1" applyAlignment="1">
      <alignment horizontal="center" vertical="center"/>
    </xf>
    <xf numFmtId="0" fontId="26" fillId="0" borderId="1" xfId="16" applyFont="1" applyBorder="1" applyAlignment="1">
      <alignment horizontal="center" vertical="center" wrapText="1"/>
    </xf>
    <xf numFmtId="14" fontId="26" fillId="0" borderId="1" xfId="16" applyNumberFormat="1" applyFont="1" applyBorder="1" applyAlignment="1">
      <alignment horizontal="center" vertical="center"/>
    </xf>
    <xf numFmtId="0" fontId="26" fillId="0" borderId="1" xfId="16" applyFont="1" applyBorder="1" applyAlignment="1">
      <alignment horizontal="left"/>
    </xf>
    <xf numFmtId="0" fontId="8" fillId="0" borderId="0" xfId="16" applyAlignment="1">
      <alignment horizontal="left"/>
    </xf>
    <xf numFmtId="0" fontId="10" fillId="2" borderId="0" xfId="16" applyFont="1" applyFill="1" applyAlignment="1">
      <alignment horizontal="left" vertical="center" wrapText="1"/>
    </xf>
    <xf numFmtId="0" fontId="10" fillId="2" borderId="0" xfId="16" applyFont="1" applyFill="1" applyAlignment="1">
      <alignment vertical="center" wrapText="1"/>
    </xf>
    <xf numFmtId="0" fontId="10" fillId="6" borderId="1" xfId="16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0" fillId="6" borderId="16" xfId="0" applyFill="1" applyBorder="1" applyAlignment="1">
      <alignment horizontal="left" vertical="center"/>
    </xf>
    <xf numFmtId="0" fontId="0" fillId="6" borderId="17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6" borderId="18" xfId="0" applyFill="1" applyBorder="1" applyAlignment="1">
      <alignment vertical="center"/>
    </xf>
    <xf numFmtId="0" fontId="0" fillId="6" borderId="19" xfId="0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6" borderId="20" xfId="0" applyFill="1" applyBorder="1" applyAlignment="1">
      <alignment horizontal="left" vertical="center"/>
    </xf>
    <xf numFmtId="0" fontId="0" fillId="6" borderId="18" xfId="0" applyFill="1" applyBorder="1" applyAlignment="1">
      <alignment horizontal="left" vertical="center"/>
    </xf>
    <xf numFmtId="0" fontId="0" fillId="6" borderId="21" xfId="0" applyFill="1" applyBorder="1" applyAlignment="1">
      <alignment horizontal="left" vertical="center"/>
    </xf>
    <xf numFmtId="0" fontId="0" fillId="6" borderId="22" xfId="0" applyFill="1" applyBorder="1" applyAlignment="1">
      <alignment horizontal="left" vertical="center"/>
    </xf>
    <xf numFmtId="0" fontId="0" fillId="6" borderId="23" xfId="0" applyFill="1" applyBorder="1" applyAlignment="1">
      <alignment horizontal="left" vertical="center"/>
    </xf>
    <xf numFmtId="0" fontId="0" fillId="6" borderId="24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25" xfId="0" applyFill="1" applyBorder="1" applyAlignment="1">
      <alignment horizontal="left" vertical="center"/>
    </xf>
    <xf numFmtId="0" fontId="0" fillId="6" borderId="26" xfId="0" applyFill="1" applyBorder="1" applyAlignment="1">
      <alignment horizontal="left" vertical="center"/>
    </xf>
    <xf numFmtId="0" fontId="0" fillId="6" borderId="27" xfId="0" applyFill="1" applyBorder="1" applyAlignment="1">
      <alignment horizontal="left" vertical="center"/>
    </xf>
    <xf numFmtId="0" fontId="0" fillId="6" borderId="28" xfId="0" applyFill="1" applyBorder="1" applyAlignment="1">
      <alignment horizontal="left" vertical="center"/>
    </xf>
    <xf numFmtId="0" fontId="0" fillId="6" borderId="29" xfId="0" applyFill="1" applyBorder="1" applyAlignment="1">
      <alignment horizontal="left" vertical="center"/>
    </xf>
    <xf numFmtId="0" fontId="0" fillId="6" borderId="30" xfId="0" applyFill="1" applyBorder="1" applyAlignment="1">
      <alignment horizontal="left" vertical="center"/>
    </xf>
    <xf numFmtId="2" fontId="0" fillId="6" borderId="20" xfId="0" applyNumberFormat="1" applyFill="1" applyBorder="1" applyAlignment="1">
      <alignment horizontal="left" vertical="center"/>
    </xf>
    <xf numFmtId="2" fontId="0" fillId="0" borderId="0" xfId="0" applyNumberFormat="1"/>
    <xf numFmtId="0" fontId="0" fillId="0" borderId="0" xfId="0" quotePrefix="1"/>
    <xf numFmtId="0" fontId="22" fillId="2" borderId="1" xfId="16" applyFont="1" applyFill="1" applyBorder="1" applyAlignment="1">
      <alignment horizontal="left" vertical="center"/>
    </xf>
    <xf numFmtId="0" fontId="23" fillId="2" borderId="1" xfId="16" applyFont="1" applyFill="1" applyBorder="1" applyAlignment="1">
      <alignment horizontal="left" vertical="center"/>
    </xf>
    <xf numFmtId="0" fontId="8" fillId="2" borderId="0" xfId="16" applyFill="1"/>
    <xf numFmtId="0" fontId="27" fillId="2" borderId="0" xfId="16" applyFont="1" applyFill="1" applyAlignment="1">
      <alignment horizontal="center" vertical="center"/>
    </xf>
    <xf numFmtId="0" fontId="0" fillId="2" borderId="21" xfId="0" applyFill="1" applyBorder="1" applyAlignment="1">
      <alignment horizontal="left"/>
    </xf>
    <xf numFmtId="0" fontId="0" fillId="2" borderId="22" xfId="0" applyFill="1" applyBorder="1"/>
    <xf numFmtId="49" fontId="0" fillId="2" borderId="26" xfId="0" quotePrefix="1" applyNumberFormat="1" applyFill="1" applyBorder="1" applyAlignment="1">
      <alignment horizontal="left"/>
    </xf>
    <xf numFmtId="0" fontId="0" fillId="2" borderId="27" xfId="0" applyFill="1" applyBorder="1"/>
    <xf numFmtId="4" fontId="16" fillId="0" borderId="1" xfId="16" applyNumberFormat="1" applyFont="1" applyBorder="1" applyAlignment="1">
      <alignment horizontal="left" vertical="center"/>
    </xf>
    <xf numFmtId="4" fontId="16" fillId="2" borderId="1" xfId="16" applyNumberFormat="1" applyFont="1" applyFill="1" applyBorder="1" applyAlignment="1">
      <alignment horizontal="left" vertical="center"/>
    </xf>
    <xf numFmtId="0" fontId="17" fillId="0" borderId="1" xfId="16" applyFont="1" applyBorder="1" applyAlignment="1">
      <alignment horizontal="center" vertical="center" wrapText="1"/>
    </xf>
    <xf numFmtId="171" fontId="13" fillId="0" borderId="1" xfId="16" applyNumberFormat="1" applyFont="1" applyBorder="1" applyAlignment="1">
      <alignment horizontal="center" vertical="center"/>
    </xf>
    <xf numFmtId="172" fontId="13" fillId="0" borderId="1" xfId="16" applyNumberFormat="1" applyFont="1" applyBorder="1" applyAlignment="1">
      <alignment horizontal="center" vertical="center"/>
    </xf>
    <xf numFmtId="0" fontId="30" fillId="11" borderId="37" xfId="0" applyFont="1" applyFill="1" applyBorder="1" applyAlignment="1">
      <alignment horizontal="center" vertical="center"/>
    </xf>
    <xf numFmtId="0" fontId="30" fillId="11" borderId="38" xfId="0" applyFont="1" applyFill="1" applyBorder="1" applyAlignment="1">
      <alignment horizontal="center" vertical="center"/>
    </xf>
    <xf numFmtId="0" fontId="30" fillId="11" borderId="39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vertical="center"/>
    </xf>
    <xf numFmtId="0" fontId="29" fillId="11" borderId="15" xfId="0" applyFont="1" applyFill="1" applyBorder="1" applyAlignment="1">
      <alignment vertical="center" wrapText="1"/>
    </xf>
    <xf numFmtId="0" fontId="10" fillId="14" borderId="1" xfId="16" applyFont="1" applyFill="1" applyBorder="1" applyAlignment="1">
      <alignment horizontal="center" vertical="center"/>
    </xf>
    <xf numFmtId="0" fontId="43" fillId="0" borderId="1" xfId="16" applyFont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0" xfId="0" applyFill="1"/>
    <xf numFmtId="0" fontId="45" fillId="0" borderId="6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9" fillId="0" borderId="0" xfId="0" applyFont="1" applyAlignment="1">
      <alignment vertical="center"/>
    </xf>
    <xf numFmtId="0" fontId="0" fillId="0" borderId="0" xfId="20" applyFont="1" applyFill="1" applyBorder="1"/>
    <xf numFmtId="0" fontId="49" fillId="0" borderId="40" xfId="0" applyFont="1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40" xfId="0" applyBorder="1"/>
    <xf numFmtId="0" fontId="52" fillId="0" borderId="40" xfId="20" applyFont="1" applyFill="1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51" fillId="12" borderId="32" xfId="0" applyFont="1" applyFill="1" applyBorder="1" applyAlignment="1">
      <alignment horizontal="center" vertical="center"/>
    </xf>
    <xf numFmtId="173" fontId="51" fillId="12" borderId="33" xfId="0" applyNumberFormat="1" applyFont="1" applyFill="1" applyBorder="1" applyAlignment="1">
      <alignment horizontal="center" vertical="center"/>
    </xf>
    <xf numFmtId="0" fontId="0" fillId="0" borderId="24" xfId="0" applyBorder="1"/>
    <xf numFmtId="0" fontId="51" fillId="13" borderId="32" xfId="0" applyFont="1" applyFill="1" applyBorder="1" applyAlignment="1">
      <alignment horizontal="center" vertical="center"/>
    </xf>
    <xf numFmtId="173" fontId="51" fillId="13" borderId="33" xfId="0" applyNumberFormat="1" applyFont="1" applyFill="1" applyBorder="1" applyAlignment="1">
      <alignment horizontal="center" vertical="center"/>
    </xf>
    <xf numFmtId="0" fontId="52" fillId="0" borderId="0" xfId="20" applyFont="1" applyFill="1" applyBorder="1" applyAlignment="1">
      <alignment horizontal="center" vertical="center"/>
    </xf>
    <xf numFmtId="0" fontId="54" fillId="0" borderId="11" xfId="0" applyFont="1" applyBorder="1" applyAlignment="1">
      <alignment horizontal="center" vertical="center" wrapText="1"/>
    </xf>
    <xf numFmtId="0" fontId="54" fillId="0" borderId="10" xfId="0" applyFont="1" applyBorder="1" applyAlignment="1">
      <alignment horizontal="center" vertical="center" wrapText="1"/>
    </xf>
    <xf numFmtId="3" fontId="54" fillId="0" borderId="1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1" fillId="0" borderId="11" xfId="0" applyFont="1" applyBorder="1" applyAlignment="1">
      <alignment horizontal="center" vertical="center" wrapText="1"/>
    </xf>
    <xf numFmtId="0" fontId="35" fillId="11" borderId="46" xfId="0" applyFont="1" applyFill="1" applyBorder="1" applyAlignment="1">
      <alignment horizontal="center" vertical="center"/>
    </xf>
    <xf numFmtId="0" fontId="35" fillId="11" borderId="46" xfId="0" applyFont="1" applyFill="1" applyBorder="1" applyAlignment="1">
      <alignment horizontal="center" vertical="center" wrapText="1"/>
    </xf>
    <xf numFmtId="0" fontId="51" fillId="16" borderId="32" xfId="0" applyFont="1" applyFill="1" applyBorder="1" applyAlignment="1">
      <alignment horizontal="center" vertical="center"/>
    </xf>
    <xf numFmtId="0" fontId="49" fillId="12" borderId="43" xfId="0" applyFont="1" applyFill="1" applyBorder="1" applyAlignment="1">
      <alignment horizontal="center" vertical="center"/>
    </xf>
    <xf numFmtId="0" fontId="49" fillId="16" borderId="42" xfId="0" applyFont="1" applyFill="1" applyBorder="1" applyAlignment="1">
      <alignment horizontal="center" vertical="center"/>
    </xf>
    <xf numFmtId="173" fontId="51" fillId="16" borderId="33" xfId="0" applyNumberFormat="1" applyFont="1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52" fillId="16" borderId="42" xfId="20" applyFont="1" applyFill="1" applyBorder="1" applyAlignment="1">
      <alignment horizontal="center" vertical="center"/>
    </xf>
    <xf numFmtId="0" fontId="0" fillId="12" borderId="47" xfId="0" applyFill="1" applyBorder="1"/>
    <xf numFmtId="0" fontId="0" fillId="16" borderId="47" xfId="0" applyFill="1" applyBorder="1"/>
    <xf numFmtId="0" fontId="0" fillId="12" borderId="45" xfId="0" applyFill="1" applyBorder="1"/>
    <xf numFmtId="0" fontId="0" fillId="16" borderId="45" xfId="0" applyFill="1" applyBorder="1"/>
    <xf numFmtId="0" fontId="50" fillId="11" borderId="18" xfId="0" applyFont="1" applyFill="1" applyBorder="1" applyAlignment="1">
      <alignment horizontal="center" vertical="center"/>
    </xf>
    <xf numFmtId="0" fontId="51" fillId="11" borderId="32" xfId="0" applyFont="1" applyFill="1" applyBorder="1" applyAlignment="1">
      <alignment horizontal="center" vertical="center" wrapText="1"/>
    </xf>
    <xf numFmtId="0" fontId="51" fillId="11" borderId="32" xfId="0" applyFont="1" applyFill="1" applyBorder="1" applyAlignment="1">
      <alignment horizontal="center" vertical="center"/>
    </xf>
    <xf numFmtId="0" fontId="50" fillId="8" borderId="1" xfId="0" applyFont="1" applyFill="1" applyBorder="1" applyAlignment="1">
      <alignment vertical="center"/>
    </xf>
    <xf numFmtId="0" fontId="50" fillId="8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0" fillId="8" borderId="34" xfId="0" applyFont="1" applyFill="1" applyBorder="1" applyAlignment="1">
      <alignment horizontal="center" vertical="center"/>
    </xf>
    <xf numFmtId="0" fontId="50" fillId="8" borderId="34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0" fillId="6" borderId="5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170" fontId="15" fillId="8" borderId="1" xfId="16" applyNumberFormat="1" applyFont="1" applyFill="1" applyBorder="1" applyAlignment="1">
      <alignment horizontal="left" vertical="center" wrapText="1"/>
    </xf>
    <xf numFmtId="170" fontId="16" fillId="0" borderId="1" xfId="16" applyNumberFormat="1" applyFont="1" applyBorder="1" applyAlignment="1">
      <alignment horizontal="left" vertical="center"/>
    </xf>
    <xf numFmtId="170" fontId="16" fillId="0" borderId="1" xfId="17" applyNumberFormat="1" applyFont="1" applyFill="1" applyBorder="1" applyAlignment="1">
      <alignment horizontal="left" vertical="center"/>
    </xf>
    <xf numFmtId="170" fontId="16" fillId="2" borderId="1" xfId="16" applyNumberFormat="1" applyFont="1" applyFill="1" applyBorder="1" applyAlignment="1">
      <alignment horizontal="left" vertical="center"/>
    </xf>
    <xf numFmtId="170" fontId="16" fillId="2" borderId="1" xfId="17" applyNumberFormat="1" applyFont="1" applyFill="1" applyBorder="1" applyAlignment="1">
      <alignment horizontal="left" vertical="center"/>
    </xf>
    <xf numFmtId="170" fontId="17" fillId="8" borderId="6" xfId="17" applyNumberFormat="1" applyFont="1" applyFill="1" applyBorder="1" applyAlignment="1">
      <alignment horizontal="center" vertical="center"/>
    </xf>
    <xf numFmtId="170" fontId="0" fillId="0" borderId="0" xfId="0" applyNumberFormat="1"/>
    <xf numFmtId="170" fontId="0" fillId="2" borderId="28" xfId="0" applyNumberFormat="1" applyFill="1" applyBorder="1"/>
    <xf numFmtId="0" fontId="2" fillId="0" borderId="0" xfId="0" applyFont="1"/>
    <xf numFmtId="0" fontId="46" fillId="0" borderId="1" xfId="0" applyFont="1" applyBorder="1" applyAlignment="1">
      <alignment horizontal="center" vertical="center" textRotation="90" wrapText="1"/>
    </xf>
    <xf numFmtId="0" fontId="56" fillId="0" borderId="1" xfId="0" applyFont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/>
    </xf>
    <xf numFmtId="0" fontId="57" fillId="3" borderId="1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49" fillId="13" borderId="44" xfId="0" applyFont="1" applyFill="1" applyBorder="1" applyAlignment="1">
      <alignment horizontal="center" vertical="center"/>
    </xf>
    <xf numFmtId="173" fontId="51" fillId="13" borderId="54" xfId="0" applyNumberFormat="1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/>
    </xf>
    <xf numFmtId="0" fontId="51" fillId="18" borderId="32" xfId="0" applyFont="1" applyFill="1" applyBorder="1" applyAlignment="1">
      <alignment horizontal="center" vertical="center"/>
    </xf>
    <xf numFmtId="0" fontId="49" fillId="18" borderId="44" xfId="20" applyFont="1" applyFill="1" applyBorder="1" applyAlignment="1">
      <alignment horizontal="center" vertical="center"/>
    </xf>
    <xf numFmtId="173" fontId="51" fillId="18" borderId="33" xfId="0" applyNumberFormat="1" applyFont="1" applyFill="1" applyBorder="1" applyAlignment="1">
      <alignment horizontal="center" vertical="center"/>
    </xf>
    <xf numFmtId="0" fontId="50" fillId="11" borderId="19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" fillId="0" borderId="0" xfId="0" applyFont="1"/>
    <xf numFmtId="172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59" fillId="8" borderId="1" xfId="0" applyFont="1" applyFill="1" applyBorder="1" applyAlignment="1">
      <alignment vertical="center"/>
    </xf>
    <xf numFmtId="0" fontId="59" fillId="17" borderId="42" xfId="0" applyFont="1" applyFill="1" applyBorder="1" applyAlignment="1">
      <alignment horizontal="center" vertical="center"/>
    </xf>
    <xf numFmtId="173" fontId="59" fillId="17" borderId="33" xfId="0" applyNumberFormat="1" applyFont="1" applyFill="1" applyBorder="1" applyAlignment="1">
      <alignment horizontal="center" vertical="center"/>
    </xf>
    <xf numFmtId="173" fontId="34" fillId="0" borderId="1" xfId="0" applyNumberFormat="1" applyFont="1" applyBorder="1" applyAlignment="1">
      <alignment horizontal="center" vertical="center"/>
    </xf>
    <xf numFmtId="173" fontId="49" fillId="0" borderId="1" xfId="0" applyNumberFormat="1" applyFont="1" applyBorder="1" applyAlignment="1">
      <alignment horizontal="center" vertical="center"/>
    </xf>
    <xf numFmtId="0" fontId="59" fillId="19" borderId="42" xfId="0" applyFont="1" applyFill="1" applyBorder="1" applyAlignment="1">
      <alignment horizontal="center" vertical="center"/>
    </xf>
    <xf numFmtId="173" fontId="59" fillId="19" borderId="33" xfId="0" applyNumberFormat="1" applyFont="1" applyFill="1" applyBorder="1" applyAlignment="1">
      <alignment horizontal="center" vertical="center"/>
    </xf>
    <xf numFmtId="0" fontId="59" fillId="11" borderId="18" xfId="0" applyFont="1" applyFill="1" applyBorder="1" applyAlignment="1">
      <alignment horizontal="center" vertical="center"/>
    </xf>
    <xf numFmtId="173" fontId="61" fillId="12" borderId="12" xfId="0" applyNumberFormat="1" applyFont="1" applyFill="1" applyBorder="1" applyAlignment="1">
      <alignment horizontal="center" vertical="center"/>
    </xf>
    <xf numFmtId="173" fontId="61" fillId="12" borderId="36" xfId="0" applyNumberFormat="1" applyFont="1" applyFill="1" applyBorder="1" applyAlignment="1">
      <alignment horizontal="center" vertical="center"/>
    </xf>
    <xf numFmtId="173" fontId="61" fillId="13" borderId="12" xfId="0" applyNumberFormat="1" applyFont="1" applyFill="1" applyBorder="1" applyAlignment="1">
      <alignment horizontal="center" vertical="center"/>
    </xf>
    <xf numFmtId="173" fontId="61" fillId="13" borderId="17" xfId="0" applyNumberFormat="1" applyFont="1" applyFill="1" applyBorder="1" applyAlignment="1">
      <alignment horizontal="center" vertical="center"/>
    </xf>
    <xf numFmtId="173" fontId="61" fillId="16" borderId="50" xfId="0" applyNumberFormat="1" applyFont="1" applyFill="1" applyBorder="1" applyAlignment="1">
      <alignment horizontal="center" vertical="center"/>
    </xf>
    <xf numFmtId="173" fontId="61" fillId="16" borderId="17" xfId="0" applyNumberFormat="1" applyFont="1" applyFill="1" applyBorder="1" applyAlignment="1">
      <alignment horizontal="center" vertical="center"/>
    </xf>
    <xf numFmtId="0" fontId="57" fillId="12" borderId="42" xfId="0" applyFont="1" applyFill="1" applyBorder="1" applyAlignment="1">
      <alignment horizontal="center" vertical="center"/>
    </xf>
    <xf numFmtId="0" fontId="57" fillId="13" borderId="42" xfId="0" applyFont="1" applyFill="1" applyBorder="1" applyAlignment="1">
      <alignment horizontal="center" vertical="center"/>
    </xf>
    <xf numFmtId="0" fontId="57" fillId="12" borderId="43" xfId="0" applyFont="1" applyFill="1" applyBorder="1" applyAlignment="1">
      <alignment horizontal="center" vertical="center"/>
    </xf>
    <xf numFmtId="0" fontId="57" fillId="16" borderId="42" xfId="0" applyFont="1" applyFill="1" applyBorder="1" applyAlignment="1">
      <alignment horizontal="center" vertical="center"/>
    </xf>
    <xf numFmtId="0" fontId="57" fillId="13" borderId="44" xfId="20" applyFont="1" applyFill="1" applyBorder="1" applyAlignment="1">
      <alignment horizontal="center" vertical="center"/>
    </xf>
    <xf numFmtId="0" fontId="57" fillId="12" borderId="44" xfId="20" applyFont="1" applyFill="1" applyBorder="1" applyAlignment="1">
      <alignment horizontal="center" vertical="center"/>
    </xf>
    <xf numFmtId="173" fontId="57" fillId="12" borderId="33" xfId="0" applyNumberFormat="1" applyFont="1" applyFill="1" applyBorder="1" applyAlignment="1">
      <alignment horizontal="center" vertical="center"/>
    </xf>
    <xf numFmtId="173" fontId="57" fillId="13" borderId="33" xfId="0" applyNumberFormat="1" applyFont="1" applyFill="1" applyBorder="1" applyAlignment="1">
      <alignment horizontal="center" vertical="center"/>
    </xf>
    <xf numFmtId="173" fontId="57" fillId="16" borderId="33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173" fontId="34" fillId="16" borderId="1" xfId="0" applyNumberFormat="1" applyFont="1" applyFill="1" applyBorder="1" applyAlignment="1">
      <alignment horizontal="center" vertical="center"/>
    </xf>
    <xf numFmtId="173" fontId="34" fillId="18" borderId="1" xfId="0" applyNumberFormat="1" applyFont="1" applyFill="1" applyBorder="1" applyAlignment="1">
      <alignment horizontal="center" vertical="center"/>
    </xf>
    <xf numFmtId="0" fontId="10" fillId="2" borderId="3" xfId="16" applyFont="1" applyFill="1" applyBorder="1" applyAlignment="1">
      <alignment horizontal="center" vertical="center"/>
    </xf>
    <xf numFmtId="0" fontId="10" fillId="2" borderId="4" xfId="16" applyFont="1" applyFill="1" applyBorder="1" applyAlignment="1">
      <alignment horizontal="center" vertical="center"/>
    </xf>
    <xf numFmtId="0" fontId="11" fillId="5" borderId="7" xfId="16" applyFont="1" applyFill="1" applyBorder="1" applyAlignment="1">
      <alignment horizontal="center" vertical="center"/>
    </xf>
    <xf numFmtId="0" fontId="11" fillId="5" borderId="0" xfId="16" applyFont="1" applyFill="1" applyAlignment="1">
      <alignment horizontal="center" vertical="center"/>
    </xf>
    <xf numFmtId="0" fontId="11" fillId="5" borderId="1" xfId="16" applyFont="1" applyFill="1" applyBorder="1" applyAlignment="1">
      <alignment horizontal="center" vertical="center"/>
    </xf>
    <xf numFmtId="0" fontId="28" fillId="5" borderId="1" xfId="16" applyFont="1" applyFill="1" applyBorder="1" applyAlignment="1">
      <alignment horizontal="center" vertical="center"/>
    </xf>
    <xf numFmtId="0" fontId="11" fillId="9" borderId="3" xfId="19" applyFont="1" applyFill="1" applyBorder="1" applyAlignment="1">
      <alignment horizontal="center" vertical="center"/>
    </xf>
    <xf numFmtId="0" fontId="11" fillId="9" borderId="4" xfId="19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1" fontId="59" fillId="17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/>
    </xf>
    <xf numFmtId="172" fontId="59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8" fillId="9" borderId="0" xfId="0" applyFont="1" applyFill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59" fillId="0" borderId="34" xfId="0" applyFont="1" applyBorder="1" applyAlignment="1">
      <alignment horizontal="center" vertical="center"/>
    </xf>
    <xf numFmtId="0" fontId="59" fillId="0" borderId="6" xfId="0" applyFont="1" applyBorder="1" applyAlignment="1">
      <alignment horizontal="center" vertical="center"/>
    </xf>
    <xf numFmtId="14" fontId="32" fillId="0" borderId="10" xfId="0" applyNumberFormat="1" applyFont="1" applyBorder="1" applyAlignment="1">
      <alignment horizontal="center" vertical="center"/>
    </xf>
    <xf numFmtId="14" fontId="32" fillId="0" borderId="12" xfId="0" applyNumberFormat="1" applyFont="1" applyBorder="1" applyAlignment="1">
      <alignment horizontal="center" vertical="center"/>
    </xf>
    <xf numFmtId="2" fontId="59" fillId="17" borderId="2" xfId="0" applyNumberFormat="1" applyFont="1" applyFill="1" applyBorder="1" applyAlignment="1">
      <alignment horizontal="center" vertical="center"/>
    </xf>
    <xf numFmtId="2" fontId="59" fillId="17" borderId="34" xfId="0" applyNumberFormat="1" applyFont="1" applyFill="1" applyBorder="1" applyAlignment="1">
      <alignment horizontal="center" vertical="center"/>
    </xf>
    <xf numFmtId="2" fontId="59" fillId="17" borderId="6" xfId="0" applyNumberFormat="1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/>
    </xf>
    <xf numFmtId="0" fontId="60" fillId="0" borderId="34" xfId="0" applyFont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36" fillId="17" borderId="2" xfId="0" applyFont="1" applyFill="1" applyBorder="1" applyAlignment="1">
      <alignment horizontal="center" vertical="center"/>
    </xf>
    <xf numFmtId="0" fontId="36" fillId="17" borderId="34" xfId="0" applyFont="1" applyFill="1" applyBorder="1" applyAlignment="1">
      <alignment horizontal="center" vertical="center"/>
    </xf>
    <xf numFmtId="0" fontId="36" fillId="17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" xfId="0" applyBorder="1" applyAlignment="1">
      <alignment horizontal="center"/>
    </xf>
    <xf numFmtId="1" fontId="59" fillId="17" borderId="2" xfId="0" applyNumberFormat="1" applyFont="1" applyFill="1" applyBorder="1" applyAlignment="1">
      <alignment horizontal="center" vertical="center"/>
    </xf>
    <xf numFmtId="1" fontId="59" fillId="17" borderId="34" xfId="0" applyNumberFormat="1" applyFont="1" applyFill="1" applyBorder="1" applyAlignment="1">
      <alignment horizontal="center" vertical="center"/>
    </xf>
    <xf numFmtId="1" fontId="59" fillId="17" borderId="6" xfId="0" applyNumberFormat="1" applyFont="1" applyFill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1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29" fillId="11" borderId="35" xfId="0" applyFont="1" applyFill="1" applyBorder="1" applyAlignment="1">
      <alignment horizontal="center" vertical="center"/>
    </xf>
    <xf numFmtId="0" fontId="29" fillId="11" borderId="2" xfId="0" applyFont="1" applyFill="1" applyBorder="1" applyAlignment="1">
      <alignment horizontal="center" vertical="center"/>
    </xf>
    <xf numFmtId="0" fontId="29" fillId="11" borderId="36" xfId="0" applyFont="1" applyFill="1" applyBorder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59" fillId="0" borderId="34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59" fillId="0" borderId="2" xfId="21" applyNumberFormat="1" applyFont="1" applyBorder="1" applyAlignment="1">
      <alignment horizontal="center" vertical="center"/>
    </xf>
    <xf numFmtId="0" fontId="59" fillId="0" borderId="34" xfId="21" applyNumberFormat="1" applyFont="1" applyBorder="1" applyAlignment="1">
      <alignment horizontal="center" vertical="center"/>
    </xf>
    <xf numFmtId="0" fontId="59" fillId="0" borderId="6" xfId="21" applyNumberFormat="1" applyFont="1" applyBorder="1" applyAlignment="1">
      <alignment horizontal="center" vertical="center"/>
    </xf>
    <xf numFmtId="0" fontId="32" fillId="11" borderId="10" xfId="0" applyFont="1" applyFill="1" applyBorder="1" applyAlignment="1">
      <alignment horizontal="center" vertical="center"/>
    </xf>
    <xf numFmtId="0" fontId="32" fillId="11" borderId="12" xfId="0" applyFont="1" applyFill="1" applyBorder="1" applyAlignment="1">
      <alignment horizontal="center" vertical="center"/>
    </xf>
    <xf numFmtId="172" fontId="40" fillId="0" borderId="13" xfId="0" applyNumberFormat="1" applyFont="1" applyBorder="1" applyAlignment="1">
      <alignment horizontal="center" vertical="center"/>
    </xf>
    <xf numFmtId="172" fontId="40" fillId="0" borderId="14" xfId="0" applyNumberFormat="1" applyFont="1" applyBorder="1" applyAlignment="1">
      <alignment horizontal="center" vertical="center"/>
    </xf>
    <xf numFmtId="172" fontId="40" fillId="0" borderId="15" xfId="0" applyNumberFormat="1" applyFont="1" applyBorder="1" applyAlignment="1">
      <alignment horizontal="center" vertical="center"/>
    </xf>
    <xf numFmtId="172" fontId="40" fillId="0" borderId="17" xfId="0" applyNumberFormat="1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0" fillId="0" borderId="14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2" fillId="2" borderId="16" xfId="0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14" fontId="37" fillId="0" borderId="13" xfId="0" applyNumberFormat="1" applyFont="1" applyBorder="1" applyAlignment="1">
      <alignment horizontal="center" vertical="center"/>
    </xf>
    <xf numFmtId="14" fontId="37" fillId="0" borderId="14" xfId="0" applyNumberFormat="1" applyFont="1" applyBorder="1" applyAlignment="1">
      <alignment horizontal="center" vertical="center"/>
    </xf>
    <xf numFmtId="14" fontId="37" fillId="0" borderId="15" xfId="0" applyNumberFormat="1" applyFont="1" applyBorder="1" applyAlignment="1">
      <alignment horizontal="center" vertical="center"/>
    </xf>
    <xf numFmtId="14" fontId="37" fillId="0" borderId="17" xfId="0" applyNumberFormat="1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14" fontId="38" fillId="0" borderId="13" xfId="0" applyNumberFormat="1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57" fillId="0" borderId="2" xfId="0" applyFont="1" applyBorder="1" applyAlignment="1">
      <alignment horizontal="center" vertical="center"/>
    </xf>
    <xf numFmtId="0" fontId="57" fillId="0" borderId="34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172" fontId="59" fillId="0" borderId="2" xfId="0" applyNumberFormat="1" applyFont="1" applyBorder="1" applyAlignment="1">
      <alignment horizontal="center" vertical="center"/>
    </xf>
    <xf numFmtId="172" fontId="57" fillId="0" borderId="2" xfId="0" applyNumberFormat="1" applyFont="1" applyBorder="1" applyAlignment="1">
      <alignment horizontal="center" vertical="center"/>
    </xf>
    <xf numFmtId="172" fontId="57" fillId="0" borderId="34" xfId="0" applyNumberFormat="1" applyFont="1" applyBorder="1" applyAlignment="1">
      <alignment horizontal="center" vertical="center"/>
    </xf>
    <xf numFmtId="172" fontId="57" fillId="0" borderId="6" xfId="0" applyNumberFormat="1" applyFont="1" applyBorder="1" applyAlignment="1">
      <alignment horizontal="center" vertical="center"/>
    </xf>
    <xf numFmtId="172" fontId="59" fillId="0" borderId="34" xfId="0" applyNumberFormat="1" applyFont="1" applyBorder="1" applyAlignment="1">
      <alignment horizontal="center" vertical="center"/>
    </xf>
    <xf numFmtId="172" fontId="59" fillId="0" borderId="6" xfId="0" applyNumberFormat="1" applyFont="1" applyBorder="1" applyAlignment="1">
      <alignment horizontal="center" vertical="center"/>
    </xf>
    <xf numFmtId="2" fontId="59" fillId="11" borderId="18" xfId="0" applyNumberFormat="1" applyFont="1" applyFill="1" applyBorder="1" applyAlignment="1">
      <alignment horizontal="center" vertical="center"/>
    </xf>
    <xf numFmtId="2" fontId="59" fillId="11" borderId="19" xfId="0" applyNumberFormat="1" applyFont="1" applyFill="1" applyBorder="1" applyAlignment="1">
      <alignment horizontal="center" vertical="center"/>
    </xf>
    <xf numFmtId="0" fontId="60" fillId="0" borderId="18" xfId="0" applyFont="1" applyBorder="1" applyAlignment="1">
      <alignment horizontal="center"/>
    </xf>
    <xf numFmtId="0" fontId="60" fillId="0" borderId="19" xfId="0" applyFont="1" applyBorder="1" applyAlignment="1">
      <alignment horizontal="center"/>
    </xf>
    <xf numFmtId="0" fontId="36" fillId="11" borderId="18" xfId="0" applyFont="1" applyFill="1" applyBorder="1" applyAlignment="1">
      <alignment horizontal="center" vertical="center"/>
    </xf>
    <xf numFmtId="0" fontId="36" fillId="11" borderId="19" xfId="0" applyFont="1" applyFill="1" applyBorder="1" applyAlignment="1">
      <alignment horizontal="center" vertical="center"/>
    </xf>
    <xf numFmtId="0" fontId="59" fillId="0" borderId="18" xfId="0" applyFont="1" applyBorder="1" applyAlignment="1">
      <alignment horizontal="center" vertical="center"/>
    </xf>
    <xf numFmtId="0" fontId="59" fillId="0" borderId="19" xfId="0" applyFont="1" applyBorder="1" applyAlignment="1">
      <alignment horizontal="center" vertical="center"/>
    </xf>
    <xf numFmtId="0" fontId="36" fillId="11" borderId="37" xfId="0" applyFont="1" applyFill="1" applyBorder="1" applyAlignment="1">
      <alignment horizontal="center" vertical="center"/>
    </xf>
    <xf numFmtId="0" fontId="36" fillId="11" borderId="48" xfId="0" applyFont="1" applyFill="1" applyBorder="1" applyAlignment="1">
      <alignment horizontal="center" vertical="center"/>
    </xf>
    <xf numFmtId="2" fontId="59" fillId="11" borderId="20" xfId="0" applyNumberFormat="1" applyFont="1" applyFill="1" applyBorder="1" applyAlignment="1">
      <alignment horizontal="center" vertical="center"/>
    </xf>
    <xf numFmtId="0" fontId="60" fillId="0" borderId="20" xfId="0" applyFont="1" applyBorder="1" applyAlignment="1">
      <alignment horizontal="center"/>
    </xf>
    <xf numFmtId="0" fontId="36" fillId="11" borderId="10" xfId="0" applyFont="1" applyFill="1" applyBorder="1" applyAlignment="1">
      <alignment horizontal="center" vertical="center"/>
    </xf>
    <xf numFmtId="0" fontId="36" fillId="11" borderId="13" xfId="0" applyFont="1" applyFill="1" applyBorder="1" applyAlignment="1">
      <alignment horizontal="center" vertical="center"/>
    </xf>
    <xf numFmtId="0" fontId="36" fillId="11" borderId="1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1" xfId="0" applyBorder="1" applyAlignment="1">
      <alignment horizontal="center"/>
    </xf>
    <xf numFmtId="0" fontId="61" fillId="12" borderId="10" xfId="0" applyFont="1" applyFill="1" applyBorder="1" applyAlignment="1">
      <alignment horizontal="center" vertical="center"/>
    </xf>
    <xf numFmtId="0" fontId="61" fillId="12" borderId="35" xfId="0" applyFont="1" applyFill="1" applyBorder="1" applyAlignment="1">
      <alignment horizontal="center" vertical="center"/>
    </xf>
    <xf numFmtId="0" fontId="61" fillId="13" borderId="10" xfId="0" applyFont="1" applyFill="1" applyBorder="1" applyAlignment="1">
      <alignment horizontal="center" vertical="center"/>
    </xf>
    <xf numFmtId="0" fontId="61" fillId="13" borderId="1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7" xfId="0" applyBorder="1" applyAlignment="1">
      <alignment horizontal="center"/>
    </xf>
    <xf numFmtId="1" fontId="59" fillId="11" borderId="18" xfId="0" applyNumberFormat="1" applyFont="1" applyFill="1" applyBorder="1" applyAlignment="1">
      <alignment horizontal="center" vertical="center"/>
    </xf>
    <xf numFmtId="1" fontId="59" fillId="11" borderId="19" xfId="0" applyNumberFormat="1" applyFont="1" applyFill="1" applyBorder="1" applyAlignment="1">
      <alignment horizontal="center" vertical="center"/>
    </xf>
    <xf numFmtId="1" fontId="59" fillId="11" borderId="20" xfId="0" applyNumberFormat="1" applyFont="1" applyFill="1" applyBorder="1" applyAlignment="1">
      <alignment horizontal="center" vertical="center"/>
    </xf>
    <xf numFmtId="0" fontId="59" fillId="0" borderId="20" xfId="0" applyFont="1" applyBorder="1" applyAlignment="1">
      <alignment horizontal="center" vertical="center"/>
    </xf>
    <xf numFmtId="0" fontId="61" fillId="16" borderId="49" xfId="0" applyFont="1" applyFill="1" applyBorder="1" applyAlignment="1">
      <alignment horizontal="center" vertical="center"/>
    </xf>
    <xf numFmtId="0" fontId="61" fillId="16" borderId="15" xfId="0" applyFont="1" applyFill="1" applyBorder="1" applyAlignment="1">
      <alignment horizontal="center" vertical="center"/>
    </xf>
    <xf numFmtId="0" fontId="59" fillId="0" borderId="18" xfId="0" applyFont="1" applyBorder="1" applyAlignment="1">
      <alignment horizontal="center" vertical="center" wrapText="1"/>
    </xf>
    <xf numFmtId="0" fontId="59" fillId="0" borderId="19" xfId="0" applyFont="1" applyBorder="1" applyAlignment="1">
      <alignment horizontal="center" vertical="center" wrapText="1"/>
    </xf>
    <xf numFmtId="0" fontId="59" fillId="0" borderId="20" xfId="0" applyFont="1" applyBorder="1" applyAlignment="1">
      <alignment horizontal="center" vertical="center" wrapText="1"/>
    </xf>
    <xf numFmtId="0" fontId="59" fillId="0" borderId="18" xfId="21" applyNumberFormat="1" applyFont="1" applyBorder="1" applyAlignment="1">
      <alignment horizontal="center" vertical="center"/>
    </xf>
    <xf numFmtId="0" fontId="59" fillId="0" borderId="19" xfId="21" applyNumberFormat="1" applyFont="1" applyBorder="1" applyAlignment="1">
      <alignment horizontal="center" vertical="center"/>
    </xf>
    <xf numFmtId="0" fontId="59" fillId="0" borderId="20" xfId="21" applyNumberFormat="1" applyFont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/>
    </xf>
    <xf numFmtId="1" fontId="57" fillId="1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2" fontId="57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2" fontId="57" fillId="11" borderId="18" xfId="0" applyNumberFormat="1" applyFont="1" applyFill="1" applyBorder="1" applyAlignment="1">
      <alignment horizontal="center" vertical="center"/>
    </xf>
    <xf numFmtId="2" fontId="57" fillId="11" borderId="19" xfId="0" applyNumberFormat="1" applyFont="1" applyFill="1" applyBorder="1" applyAlignment="1">
      <alignment horizontal="center" vertical="center"/>
    </xf>
    <xf numFmtId="2" fontId="57" fillId="11" borderId="20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57" fillId="0" borderId="18" xfId="0" applyFont="1" applyBorder="1" applyAlignment="1">
      <alignment horizontal="center" vertical="center" wrapText="1"/>
    </xf>
    <xf numFmtId="0" fontId="57" fillId="0" borderId="19" xfId="0" applyFont="1" applyBorder="1" applyAlignment="1">
      <alignment horizontal="center" vertical="center" wrapText="1"/>
    </xf>
    <xf numFmtId="0" fontId="57" fillId="0" borderId="20" xfId="0" applyFont="1" applyBorder="1" applyAlignment="1">
      <alignment horizontal="center" vertical="center" wrapText="1"/>
    </xf>
    <xf numFmtId="0" fontId="57" fillId="0" borderId="18" xfId="21" applyNumberFormat="1" applyFont="1" applyBorder="1" applyAlignment="1">
      <alignment horizontal="center" vertical="center"/>
    </xf>
    <xf numFmtId="0" fontId="57" fillId="0" borderId="19" xfId="21" applyNumberFormat="1" applyFont="1" applyBorder="1" applyAlignment="1">
      <alignment horizontal="center" vertical="center"/>
    </xf>
    <xf numFmtId="0" fontId="57" fillId="0" borderId="20" xfId="21" applyNumberFormat="1" applyFont="1" applyBorder="1" applyAlignment="1">
      <alignment horizontal="center" vertical="center"/>
    </xf>
    <xf numFmtId="1" fontId="57" fillId="11" borderId="18" xfId="0" applyNumberFormat="1" applyFont="1" applyFill="1" applyBorder="1" applyAlignment="1">
      <alignment horizontal="center" vertical="center"/>
    </xf>
    <xf numFmtId="1" fontId="57" fillId="11" borderId="19" xfId="0" applyNumberFormat="1" applyFont="1" applyFill="1" applyBorder="1" applyAlignment="1">
      <alignment horizontal="center" vertical="center"/>
    </xf>
    <xf numFmtId="1" fontId="57" fillId="11" borderId="20" xfId="0" applyNumberFormat="1" applyFont="1" applyFill="1" applyBorder="1" applyAlignment="1">
      <alignment horizontal="center" vertical="center"/>
    </xf>
    <xf numFmtId="0" fontId="57" fillId="0" borderId="20" xfId="0" applyFont="1" applyBorder="1" applyAlignment="1">
      <alignment horizontal="center" vertical="center"/>
    </xf>
    <xf numFmtId="1" fontId="34" fillId="12" borderId="2" xfId="0" applyNumberFormat="1" applyFont="1" applyFill="1" applyBorder="1" applyAlignment="1">
      <alignment horizontal="center" vertical="center"/>
    </xf>
    <xf numFmtId="1" fontId="34" fillId="12" borderId="6" xfId="0" applyNumberFormat="1" applyFont="1" applyFill="1" applyBorder="1" applyAlignment="1">
      <alignment horizontal="center" vertical="center"/>
    </xf>
    <xf numFmtId="1" fontId="34" fillId="13" borderId="1" xfId="0" applyNumberFormat="1" applyFont="1" applyFill="1" applyBorder="1" applyAlignment="1">
      <alignment horizontal="center" vertical="center"/>
    </xf>
    <xf numFmtId="1" fontId="34" fillId="16" borderId="2" xfId="0" applyNumberFormat="1" applyFont="1" applyFill="1" applyBorder="1" applyAlignment="1">
      <alignment horizontal="center" vertical="center"/>
    </xf>
    <xf numFmtId="1" fontId="34" fillId="16" borderId="6" xfId="0" applyNumberFormat="1" applyFont="1" applyFill="1" applyBorder="1" applyAlignment="1">
      <alignment horizontal="center" vertical="center"/>
    </xf>
    <xf numFmtId="1" fontId="34" fillId="18" borderId="2" xfId="0" applyNumberFormat="1" applyFont="1" applyFill="1" applyBorder="1" applyAlignment="1">
      <alignment horizontal="center" vertical="center"/>
    </xf>
    <xf numFmtId="1" fontId="34" fillId="18" borderId="6" xfId="0" applyNumberFormat="1" applyFont="1" applyFill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1" fontId="53" fillId="11" borderId="18" xfId="0" applyNumberFormat="1" applyFont="1" applyFill="1" applyBorder="1" applyAlignment="1">
      <alignment horizontal="center" vertical="center"/>
    </xf>
    <xf numFmtId="1" fontId="53" fillId="11" borderId="19" xfId="0" applyNumberFormat="1" applyFont="1" applyFill="1" applyBorder="1" applyAlignment="1">
      <alignment horizontal="center" vertical="center"/>
    </xf>
    <xf numFmtId="1" fontId="53" fillId="11" borderId="20" xfId="0" applyNumberFormat="1" applyFont="1" applyFill="1" applyBorder="1" applyAlignment="1">
      <alignment horizontal="center" vertical="center"/>
    </xf>
    <xf numFmtId="0" fontId="19" fillId="0" borderId="2" xfId="16" applyFont="1" applyBorder="1" applyAlignment="1">
      <alignment horizontal="center" vertical="center" wrapText="1"/>
    </xf>
    <xf numFmtId="0" fontId="19" fillId="0" borderId="6" xfId="16" applyFont="1" applyBorder="1" applyAlignment="1">
      <alignment horizontal="center" vertical="center" wrapText="1"/>
    </xf>
    <xf numFmtId="0" fontId="20" fillId="0" borderId="2" xfId="16" applyFont="1" applyBorder="1" applyAlignment="1">
      <alignment horizontal="center" vertical="center" wrapText="1"/>
    </xf>
    <xf numFmtId="0" fontId="20" fillId="0" borderId="6" xfId="16" applyFont="1" applyBorder="1" applyAlignment="1">
      <alignment horizontal="center" vertical="center" wrapText="1"/>
    </xf>
    <xf numFmtId="0" fontId="26" fillId="0" borderId="3" xfId="16" applyFont="1" applyBorder="1" applyAlignment="1">
      <alignment horizontal="center" vertical="center"/>
    </xf>
    <xf numFmtId="0" fontId="26" fillId="0" borderId="5" xfId="16" applyFont="1" applyBorder="1" applyAlignment="1">
      <alignment horizontal="center" vertical="center"/>
    </xf>
    <xf numFmtId="0" fontId="26" fillId="0" borderId="4" xfId="16" applyFont="1" applyBorder="1" applyAlignment="1">
      <alignment horizontal="center" vertical="center"/>
    </xf>
    <xf numFmtId="0" fontId="17" fillId="0" borderId="3" xfId="16" applyFont="1" applyBorder="1" applyAlignment="1">
      <alignment horizontal="center"/>
    </xf>
    <xf numFmtId="0" fontId="17" fillId="0" borderId="4" xfId="16" applyFont="1" applyBorder="1" applyAlignment="1">
      <alignment horizontal="center"/>
    </xf>
    <xf numFmtId="0" fontId="17" fillId="0" borderId="1" xfId="16" applyFont="1" applyBorder="1" applyAlignment="1">
      <alignment horizontal="center" vertical="center"/>
    </xf>
    <xf numFmtId="14" fontId="17" fillId="0" borderId="1" xfId="16" applyNumberFormat="1" applyFont="1" applyBorder="1" applyAlignment="1">
      <alignment horizontal="center" vertical="center"/>
    </xf>
    <xf numFmtId="14" fontId="17" fillId="0" borderId="0" xfId="16" applyNumberFormat="1" applyFont="1" applyAlignment="1">
      <alignment horizontal="center" vertical="center"/>
    </xf>
    <xf numFmtId="0" fontId="20" fillId="0" borderId="1" xfId="16" applyFont="1" applyBorder="1" applyAlignment="1">
      <alignment horizontal="center" vertical="center" wrapText="1"/>
    </xf>
    <xf numFmtId="0" fontId="25" fillId="0" borderId="3" xfId="16" applyFont="1" applyBorder="1" applyAlignment="1">
      <alignment horizontal="center" vertical="center" wrapText="1"/>
    </xf>
    <xf numFmtId="0" fontId="25" fillId="0" borderId="4" xfId="16" applyFont="1" applyBorder="1" applyAlignment="1">
      <alignment horizontal="center" vertical="center" wrapText="1"/>
    </xf>
    <xf numFmtId="0" fontId="25" fillId="0" borderId="3" xfId="16" applyFont="1" applyBorder="1" applyAlignment="1">
      <alignment horizontal="center" vertical="center"/>
    </xf>
    <xf numFmtId="0" fontId="25" fillId="0" borderId="5" xfId="16" applyFont="1" applyBorder="1" applyAlignment="1">
      <alignment horizontal="center" vertical="center"/>
    </xf>
    <xf numFmtId="0" fontId="25" fillId="0" borderId="4" xfId="16" applyFont="1" applyBorder="1" applyAlignment="1">
      <alignment horizontal="center" vertical="center"/>
    </xf>
    <xf numFmtId="14" fontId="26" fillId="0" borderId="3" xfId="16" applyNumberFormat="1" applyFont="1" applyBorder="1" applyAlignment="1">
      <alignment horizontal="center" vertical="center"/>
    </xf>
    <xf numFmtId="14" fontId="26" fillId="0" borderId="5" xfId="16" applyNumberFormat="1" applyFont="1" applyBorder="1" applyAlignment="1">
      <alignment horizontal="center" vertical="center"/>
    </xf>
    <xf numFmtId="14" fontId="26" fillId="0" borderId="4" xfId="16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textRotation="90"/>
    </xf>
    <xf numFmtId="0" fontId="9" fillId="7" borderId="1" xfId="16" applyFont="1" applyFill="1" applyBorder="1" applyAlignment="1">
      <alignment horizontal="center" vertical="center" wrapText="1"/>
    </xf>
  </cellXfs>
  <cellStyles count="22">
    <cellStyle name="Normal" xfId="0" builtinId="0"/>
    <cellStyle name="Normal 2" xfId="16" xr:uid="{00000000-0005-0000-0000-000001000000}"/>
    <cellStyle name="Normal 3" xfId="19" xr:uid="{00000000-0005-0000-0000-000002000000}"/>
    <cellStyle name="Notă" xfId="20" builtinId="10"/>
    <cellStyle name="ParaBirimi 2" xfId="1" xr:uid="{00000000-0005-0000-0000-000004000000}"/>
    <cellStyle name="ParaBirimi 2 2" xfId="3" xr:uid="{00000000-0005-0000-0000-000005000000}"/>
    <cellStyle name="ParaBirimi 2 2 2" xfId="7" xr:uid="{00000000-0005-0000-0000-000006000000}"/>
    <cellStyle name="ParaBirimi 2 2 2 2" xfId="15" xr:uid="{00000000-0005-0000-0000-000007000000}"/>
    <cellStyle name="ParaBirimi 2 2 3" xfId="11" xr:uid="{00000000-0005-0000-0000-000008000000}"/>
    <cellStyle name="ParaBirimi 2 3" xfId="5" xr:uid="{00000000-0005-0000-0000-000009000000}"/>
    <cellStyle name="ParaBirimi 2 3 2" xfId="13" xr:uid="{00000000-0005-0000-0000-00000A000000}"/>
    <cellStyle name="ParaBirimi 2 4" xfId="9" xr:uid="{00000000-0005-0000-0000-00000B000000}"/>
    <cellStyle name="ParaBirimi 3" xfId="2" xr:uid="{00000000-0005-0000-0000-00000C000000}"/>
    <cellStyle name="ParaBirimi 3 2" xfId="6" xr:uid="{00000000-0005-0000-0000-00000D000000}"/>
    <cellStyle name="ParaBirimi 3 2 2" xfId="14" xr:uid="{00000000-0005-0000-0000-00000E000000}"/>
    <cellStyle name="ParaBirimi 3 3" xfId="10" xr:uid="{00000000-0005-0000-0000-00000F000000}"/>
    <cellStyle name="ParaBirimi 3 4" xfId="17" xr:uid="{00000000-0005-0000-0000-000010000000}"/>
    <cellStyle name="ParaBirimi 4" xfId="4" xr:uid="{00000000-0005-0000-0000-000011000000}"/>
    <cellStyle name="ParaBirimi 4 2" xfId="12" xr:uid="{00000000-0005-0000-0000-000012000000}"/>
    <cellStyle name="ParaBirimi 5" xfId="8" xr:uid="{00000000-0005-0000-0000-000013000000}"/>
    <cellStyle name="Virgül 2" xfId="21" xr:uid="{00000000-0005-0000-0000-000014000000}"/>
    <cellStyle name="Yüzde 2" xfId="18" xr:uid="{00000000-0005-0000-0000-000015000000}"/>
  </cellStyles>
  <dxfs count="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8.png"/><Relationship Id="rId4" Type="http://schemas.openxmlformats.org/officeDocument/2006/relationships/image" Target="../media/image4.emf"/><Relationship Id="rId9" Type="http://schemas.openxmlformats.org/officeDocument/2006/relationships/image" Target="../media/image10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4.emf"/><Relationship Id="rId7" Type="http://schemas.openxmlformats.org/officeDocument/2006/relationships/image" Target="../media/image6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5.emf"/><Relationship Id="rId5" Type="http://schemas.openxmlformats.org/officeDocument/2006/relationships/image" Target="../media/image12.emf"/><Relationship Id="rId10" Type="http://schemas.openxmlformats.org/officeDocument/2006/relationships/image" Target="../media/image8.png"/><Relationship Id="rId4" Type="http://schemas.openxmlformats.org/officeDocument/2006/relationships/image" Target="../media/image11.emf"/><Relationship Id="rId9" Type="http://schemas.openxmlformats.org/officeDocument/2006/relationships/image" Target="../media/image13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4.emf"/><Relationship Id="rId7" Type="http://schemas.openxmlformats.org/officeDocument/2006/relationships/image" Target="../media/image6.emf"/><Relationship Id="rId12" Type="http://schemas.openxmlformats.org/officeDocument/2006/relationships/image" Target="../media/image8.png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5.emf"/><Relationship Id="rId11" Type="http://schemas.openxmlformats.org/officeDocument/2006/relationships/image" Target="../media/image15.png"/><Relationship Id="rId5" Type="http://schemas.openxmlformats.org/officeDocument/2006/relationships/image" Target="../media/image12.emf"/><Relationship Id="rId10" Type="http://schemas.openxmlformats.org/officeDocument/2006/relationships/image" Target="../media/image14.png"/><Relationship Id="rId4" Type="http://schemas.openxmlformats.org/officeDocument/2006/relationships/image" Target="../media/image11.emf"/><Relationship Id="rId9" Type="http://schemas.openxmlformats.org/officeDocument/2006/relationships/image" Target="../media/image13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emf"/><Relationship Id="rId13" Type="http://schemas.openxmlformats.org/officeDocument/2006/relationships/image" Target="../media/image28.emf"/><Relationship Id="rId3" Type="http://schemas.openxmlformats.org/officeDocument/2006/relationships/image" Target="../media/image20.emf"/><Relationship Id="rId7" Type="http://schemas.openxmlformats.org/officeDocument/2006/relationships/image" Target="../media/image24.png"/><Relationship Id="rId12" Type="http://schemas.openxmlformats.org/officeDocument/2006/relationships/image" Target="../media/image10.emf"/><Relationship Id="rId2" Type="http://schemas.openxmlformats.org/officeDocument/2006/relationships/image" Target="../media/image19.png"/><Relationship Id="rId16" Type="http://schemas.openxmlformats.org/officeDocument/2006/relationships/image" Target="../media/image31.emf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9.emf"/><Relationship Id="rId5" Type="http://schemas.openxmlformats.org/officeDocument/2006/relationships/image" Target="../media/image22.png"/><Relationship Id="rId15" Type="http://schemas.openxmlformats.org/officeDocument/2006/relationships/image" Target="../media/image30.emf"/><Relationship Id="rId10" Type="http://schemas.openxmlformats.org/officeDocument/2006/relationships/image" Target="../media/image27.emf"/><Relationship Id="rId4" Type="http://schemas.openxmlformats.org/officeDocument/2006/relationships/image" Target="../media/image21.emf"/><Relationship Id="rId9" Type="http://schemas.openxmlformats.org/officeDocument/2006/relationships/image" Target="../media/image26.emf"/><Relationship Id="rId14" Type="http://schemas.openxmlformats.org/officeDocument/2006/relationships/image" Target="../media/image2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20</xdr:row>
      <xdr:rowOff>70485</xdr:rowOff>
    </xdr:from>
    <xdr:to>
      <xdr:col>1</xdr:col>
      <xdr:colOff>1257300</xdr:colOff>
      <xdr:row>23</xdr:row>
      <xdr:rowOff>116205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2BE761A-7DBC-47F5-8878-8C4063B0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6" y="4528185"/>
          <a:ext cx="952499" cy="645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421006</xdr:colOff>
      <xdr:row>25</xdr:row>
      <xdr:rowOff>57151</xdr:rowOff>
    </xdr:from>
    <xdr:to>
      <xdr:col>1</xdr:col>
      <xdr:colOff>1144906</xdr:colOff>
      <xdr:row>27</xdr:row>
      <xdr:rowOff>156418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95F0042-A2A9-460E-A341-4CBBEBF83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631" y="5514976"/>
          <a:ext cx="723900" cy="48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299086</xdr:colOff>
      <xdr:row>16</xdr:row>
      <xdr:rowOff>175261</xdr:rowOff>
    </xdr:from>
    <xdr:ext cx="781049" cy="439967"/>
    <xdr:pic>
      <xdr:nvPicPr>
        <xdr:cNvPr id="4" name="Resim 20">
          <a:extLst>
            <a:ext uri="{FF2B5EF4-FFF2-40B4-BE49-F238E27FC236}">
              <a16:creationId xmlns:a16="http://schemas.microsoft.com/office/drawing/2014/main" id="{4888A8A1-F67E-4C5A-9A5A-9455580FD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2036" y="3842386"/>
          <a:ext cx="781049" cy="439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504830</xdr:colOff>
      <xdr:row>20</xdr:row>
      <xdr:rowOff>36112</xdr:rowOff>
    </xdr:from>
    <xdr:ext cx="321484" cy="720171"/>
    <xdr:pic>
      <xdr:nvPicPr>
        <xdr:cNvPr id="5" name="Resim 22">
          <a:extLst>
            <a:ext uri="{FF2B5EF4-FFF2-40B4-BE49-F238E27FC236}">
              <a16:creationId xmlns:a16="http://schemas.microsoft.com/office/drawing/2014/main" id="{53B8FDFC-E5AE-45FD-9392-6133B1881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8668436" y="4693156"/>
          <a:ext cx="720171" cy="321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392206</xdr:colOff>
      <xdr:row>12</xdr:row>
      <xdr:rowOff>78442</xdr:rowOff>
    </xdr:from>
    <xdr:to>
      <xdr:col>1</xdr:col>
      <xdr:colOff>1182781</xdr:colOff>
      <xdr:row>14</xdr:row>
      <xdr:rowOff>173692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4168B60F-0C03-4EC2-8FB6-3B8019FCB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831" y="2983567"/>
          <a:ext cx="7905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257736</xdr:colOff>
      <xdr:row>16</xdr:row>
      <xdr:rowOff>145677</xdr:rowOff>
    </xdr:from>
    <xdr:to>
      <xdr:col>1</xdr:col>
      <xdr:colOff>1124511</xdr:colOff>
      <xdr:row>18</xdr:row>
      <xdr:rowOff>115421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F68832F9-60F3-4334-B889-E75A33197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8361" y="3812802"/>
          <a:ext cx="866775" cy="407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235324</xdr:colOff>
      <xdr:row>12</xdr:row>
      <xdr:rowOff>78441</xdr:rowOff>
    </xdr:from>
    <xdr:to>
      <xdr:col>6</xdr:col>
      <xdr:colOff>987799</xdr:colOff>
      <xdr:row>14</xdr:row>
      <xdr:rowOff>164166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386F65B5-6745-41CC-8B31-C4F702A06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274" y="2983566"/>
          <a:ext cx="75247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29</xdr:row>
      <xdr:rowOff>152401</xdr:rowOff>
    </xdr:from>
    <xdr:to>
      <xdr:col>1</xdr:col>
      <xdr:colOff>1184644</xdr:colOff>
      <xdr:row>32</xdr:row>
      <xdr:rowOff>1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31104F61-C3A5-44D7-B304-29D9DF3F5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5400" y="6600826"/>
          <a:ext cx="1079869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20</xdr:row>
      <xdr:rowOff>70485</xdr:rowOff>
    </xdr:from>
    <xdr:to>
      <xdr:col>1</xdr:col>
      <xdr:colOff>1257300</xdr:colOff>
      <xdr:row>23</xdr:row>
      <xdr:rowOff>116205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79B4D60-B979-4901-AE18-56DB36217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6" y="4756785"/>
          <a:ext cx="952499" cy="645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421006</xdr:colOff>
      <xdr:row>25</xdr:row>
      <xdr:rowOff>57151</xdr:rowOff>
    </xdr:from>
    <xdr:to>
      <xdr:col>1</xdr:col>
      <xdr:colOff>1144906</xdr:colOff>
      <xdr:row>27</xdr:row>
      <xdr:rowOff>156418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2AB0159-5C5B-46ED-A8A3-7F653AEF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631" y="5743576"/>
          <a:ext cx="723900" cy="48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299086</xdr:colOff>
      <xdr:row>16</xdr:row>
      <xdr:rowOff>175261</xdr:rowOff>
    </xdr:from>
    <xdr:ext cx="781049" cy="439967"/>
    <xdr:pic>
      <xdr:nvPicPr>
        <xdr:cNvPr id="4" name="Resim 20">
          <a:extLst>
            <a:ext uri="{FF2B5EF4-FFF2-40B4-BE49-F238E27FC236}">
              <a16:creationId xmlns:a16="http://schemas.microsoft.com/office/drawing/2014/main" id="{D31AFB4D-F433-4387-8735-23A7B7DD5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2036" y="4070986"/>
          <a:ext cx="781049" cy="439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504830</xdr:colOff>
      <xdr:row>20</xdr:row>
      <xdr:rowOff>36112</xdr:rowOff>
    </xdr:from>
    <xdr:ext cx="321484" cy="720171"/>
    <xdr:pic>
      <xdr:nvPicPr>
        <xdr:cNvPr id="5" name="Resim 22">
          <a:extLst>
            <a:ext uri="{FF2B5EF4-FFF2-40B4-BE49-F238E27FC236}">
              <a16:creationId xmlns:a16="http://schemas.microsoft.com/office/drawing/2014/main" id="{3D54F8B5-8432-4936-AE0C-393E794AA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8668436" y="4921756"/>
          <a:ext cx="720171" cy="321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392206</xdr:colOff>
      <xdr:row>12</xdr:row>
      <xdr:rowOff>78442</xdr:rowOff>
    </xdr:from>
    <xdr:to>
      <xdr:col>1</xdr:col>
      <xdr:colOff>1182781</xdr:colOff>
      <xdr:row>14</xdr:row>
      <xdr:rowOff>173692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74F0CD4F-EDD1-4D4E-BC40-ADF86DD8F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831" y="3212167"/>
          <a:ext cx="7905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257736</xdr:colOff>
      <xdr:row>16</xdr:row>
      <xdr:rowOff>145677</xdr:rowOff>
    </xdr:from>
    <xdr:to>
      <xdr:col>1</xdr:col>
      <xdr:colOff>1124511</xdr:colOff>
      <xdr:row>18</xdr:row>
      <xdr:rowOff>115421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63DD4C55-9615-4351-9F69-6BA901EEE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8361" y="4041402"/>
          <a:ext cx="866775" cy="407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235324</xdr:colOff>
      <xdr:row>12</xdr:row>
      <xdr:rowOff>78441</xdr:rowOff>
    </xdr:from>
    <xdr:to>
      <xdr:col>6</xdr:col>
      <xdr:colOff>987799</xdr:colOff>
      <xdr:row>14</xdr:row>
      <xdr:rowOff>164166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4EF9B466-C402-421D-A36D-3E2B6F6C8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274" y="3212166"/>
          <a:ext cx="75247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314325</xdr:colOff>
      <xdr:row>30</xdr:row>
      <xdr:rowOff>38100</xdr:rowOff>
    </xdr:from>
    <xdr:to>
      <xdr:col>1</xdr:col>
      <xdr:colOff>1019175</xdr:colOff>
      <xdr:row>33</xdr:row>
      <xdr:rowOff>85725</xdr:rowOff>
    </xdr:to>
    <xdr:pic>
      <xdr:nvPicPr>
        <xdr:cNvPr id="13" name="Resim 18">
          <a:extLst>
            <a:ext uri="{FF2B5EF4-FFF2-40B4-BE49-F238E27FC236}">
              <a16:creationId xmlns:a16="http://schemas.microsoft.com/office/drawing/2014/main" id="{888AF546-F251-4745-9C57-B3B0D5E1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6696075"/>
          <a:ext cx="7048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35</xdr:row>
      <xdr:rowOff>95429</xdr:rowOff>
    </xdr:from>
    <xdr:to>
      <xdr:col>1</xdr:col>
      <xdr:colOff>1314450</xdr:colOff>
      <xdr:row>37</xdr:row>
      <xdr:rowOff>143054</xdr:rowOff>
    </xdr:to>
    <xdr:pic>
      <xdr:nvPicPr>
        <xdr:cNvPr id="14" name="Resim 20">
          <a:extLst>
            <a:ext uri="{FF2B5EF4-FFF2-40B4-BE49-F238E27FC236}">
              <a16:creationId xmlns:a16="http://schemas.microsoft.com/office/drawing/2014/main" id="{0595765B-3FAD-4DC7-8B9E-5EAD08F65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7705904"/>
          <a:ext cx="11049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39</xdr:row>
      <xdr:rowOff>152401</xdr:rowOff>
    </xdr:from>
    <xdr:to>
      <xdr:col>1</xdr:col>
      <xdr:colOff>1184644</xdr:colOff>
      <xdr:row>42</xdr:row>
      <xdr:rowOff>9526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E6C73514-20F9-4F71-93F2-8095A32BB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95400" y="6600826"/>
          <a:ext cx="1079869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161926</xdr:colOff>
      <xdr:row>32</xdr:row>
      <xdr:rowOff>57151</xdr:rowOff>
    </xdr:from>
    <xdr:to>
      <xdr:col>1</xdr:col>
      <xdr:colOff>891541</xdr:colOff>
      <xdr:row>34</xdr:row>
      <xdr:rowOff>49417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C9E5D16-383B-4891-B12A-258924665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6" y="6553201"/>
          <a:ext cx="729615" cy="472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155763</xdr:colOff>
      <xdr:row>22</xdr:row>
      <xdr:rowOff>139513</xdr:rowOff>
    </xdr:from>
    <xdr:ext cx="781049" cy="439967"/>
    <xdr:pic>
      <xdr:nvPicPr>
        <xdr:cNvPr id="3" name="Resim 2">
          <a:extLst>
            <a:ext uri="{FF2B5EF4-FFF2-40B4-BE49-F238E27FC236}">
              <a16:creationId xmlns:a16="http://schemas.microsoft.com/office/drawing/2014/main" id="{C00A2C8D-45D0-44C7-930C-25AE09781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2788" y="4644838"/>
          <a:ext cx="781049" cy="439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368768</xdr:colOff>
      <xdr:row>28</xdr:row>
      <xdr:rowOff>38100</xdr:rowOff>
    </xdr:from>
    <xdr:ext cx="408842" cy="915865"/>
    <xdr:pic>
      <xdr:nvPicPr>
        <xdr:cNvPr id="6" name="Resim 5">
          <a:extLst>
            <a:ext uri="{FF2B5EF4-FFF2-40B4-BE49-F238E27FC236}">
              <a16:creationId xmlns:a16="http://schemas.microsoft.com/office/drawing/2014/main" id="{67D4BA46-B1AE-4756-B8BA-AB9B21937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792281" y="5997087"/>
          <a:ext cx="915865" cy="40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115981</xdr:colOff>
      <xdr:row>36</xdr:row>
      <xdr:rowOff>171450</xdr:rowOff>
    </xdr:from>
    <xdr:to>
      <xdr:col>2</xdr:col>
      <xdr:colOff>1681</xdr:colOff>
      <xdr:row>40</xdr:row>
      <xdr:rowOff>20823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EF503662-71B5-45CE-8845-0E10FF176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881" y="7458075"/>
          <a:ext cx="933450" cy="639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169208</xdr:colOff>
      <xdr:row>10</xdr:row>
      <xdr:rowOff>53899</xdr:rowOff>
    </xdr:from>
    <xdr:to>
      <xdr:col>5</xdr:col>
      <xdr:colOff>1125518</xdr:colOff>
      <xdr:row>13</xdr:row>
      <xdr:rowOff>136692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AD1A676B-6CEB-4302-ABD4-6692F8468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7033" y="2197024"/>
          <a:ext cx="956310" cy="663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10</xdr:row>
      <xdr:rowOff>180975</xdr:rowOff>
    </xdr:from>
    <xdr:to>
      <xdr:col>4</xdr:col>
      <xdr:colOff>1057275</xdr:colOff>
      <xdr:row>13</xdr:row>
      <xdr:rowOff>104775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CCB7CE16-5CC9-4977-9947-3DF1385CA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2324100"/>
          <a:ext cx="8667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16</xdr:row>
      <xdr:rowOff>95250</xdr:rowOff>
    </xdr:from>
    <xdr:to>
      <xdr:col>1</xdr:col>
      <xdr:colOff>895350</xdr:colOff>
      <xdr:row>19</xdr:row>
      <xdr:rowOff>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F9ED1822-E220-41CD-B0DB-4CB6B44CF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" y="3429000"/>
          <a:ext cx="7905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21</xdr:row>
      <xdr:rowOff>114300</xdr:rowOff>
    </xdr:from>
    <xdr:to>
      <xdr:col>1</xdr:col>
      <xdr:colOff>971550</xdr:colOff>
      <xdr:row>23</xdr:row>
      <xdr:rowOff>123825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C4327621-96FA-480A-AA71-DED24FF36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" y="4419600"/>
          <a:ext cx="8667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16</xdr:row>
      <xdr:rowOff>95250</xdr:rowOff>
    </xdr:from>
    <xdr:to>
      <xdr:col>6</xdr:col>
      <xdr:colOff>895350</xdr:colOff>
      <xdr:row>18</xdr:row>
      <xdr:rowOff>180976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3B4FE777-2D7C-4B4B-980F-8BD2AC00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3429000"/>
          <a:ext cx="75247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107674</xdr:colOff>
      <xdr:row>25</xdr:row>
      <xdr:rowOff>160277</xdr:rowOff>
    </xdr:from>
    <xdr:to>
      <xdr:col>1</xdr:col>
      <xdr:colOff>1018761</xdr:colOff>
      <xdr:row>29</xdr:row>
      <xdr:rowOff>84069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822E4BEC-794F-4C25-B9D6-AA8DE7F4F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74" y="5265677"/>
          <a:ext cx="911087" cy="72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116251</xdr:colOff>
      <xdr:row>42</xdr:row>
      <xdr:rowOff>3214</xdr:rowOff>
    </xdr:from>
    <xdr:to>
      <xdr:col>1</xdr:col>
      <xdr:colOff>921995</xdr:colOff>
      <xdr:row>43</xdr:row>
      <xdr:rowOff>160663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4082F280-E6F2-48AA-A102-E50E5483B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7938" y="8851136"/>
          <a:ext cx="805744" cy="352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161926</xdr:colOff>
      <xdr:row>36</xdr:row>
      <xdr:rowOff>57151</xdr:rowOff>
    </xdr:from>
    <xdr:to>
      <xdr:col>1</xdr:col>
      <xdr:colOff>891541</xdr:colOff>
      <xdr:row>38</xdr:row>
      <xdr:rowOff>129749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EBB314E-0FAC-4919-8181-E4B66B842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6" y="7019926"/>
          <a:ext cx="729615" cy="472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155763</xdr:colOff>
      <xdr:row>22</xdr:row>
      <xdr:rowOff>139513</xdr:rowOff>
    </xdr:from>
    <xdr:ext cx="781049" cy="439967"/>
    <xdr:pic>
      <xdr:nvPicPr>
        <xdr:cNvPr id="3" name="Resim 2">
          <a:extLst>
            <a:ext uri="{FF2B5EF4-FFF2-40B4-BE49-F238E27FC236}">
              <a16:creationId xmlns:a16="http://schemas.microsoft.com/office/drawing/2014/main" id="{C2E00A75-A0AF-49F1-A733-49948FA9F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2788" y="5111563"/>
          <a:ext cx="781049" cy="439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368768</xdr:colOff>
      <xdr:row>30</xdr:row>
      <xdr:rowOff>38100</xdr:rowOff>
    </xdr:from>
    <xdr:ext cx="408842" cy="915865"/>
    <xdr:pic>
      <xdr:nvPicPr>
        <xdr:cNvPr id="4" name="Resim 3">
          <a:extLst>
            <a:ext uri="{FF2B5EF4-FFF2-40B4-BE49-F238E27FC236}">
              <a16:creationId xmlns:a16="http://schemas.microsoft.com/office/drawing/2014/main" id="{11482B03-D0BF-4218-B7C7-21A25C047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792281" y="6463812"/>
          <a:ext cx="915865" cy="40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115981</xdr:colOff>
      <xdr:row>40</xdr:row>
      <xdr:rowOff>171450</xdr:rowOff>
    </xdr:from>
    <xdr:to>
      <xdr:col>2</xdr:col>
      <xdr:colOff>1681</xdr:colOff>
      <xdr:row>44</xdr:row>
      <xdr:rowOff>20823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69B6C91E-B0C8-4515-A80D-734138561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881" y="7924800"/>
          <a:ext cx="933450" cy="639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169208</xdr:colOff>
      <xdr:row>10</xdr:row>
      <xdr:rowOff>53899</xdr:rowOff>
    </xdr:from>
    <xdr:to>
      <xdr:col>5</xdr:col>
      <xdr:colOff>1125518</xdr:colOff>
      <xdr:row>13</xdr:row>
      <xdr:rowOff>125216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CDDA245C-14C6-4640-9491-863A5B4E8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7033" y="2663749"/>
          <a:ext cx="956310" cy="663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10</xdr:row>
      <xdr:rowOff>180975</xdr:rowOff>
    </xdr:from>
    <xdr:to>
      <xdr:col>4</xdr:col>
      <xdr:colOff>1057275</xdr:colOff>
      <xdr:row>13</xdr:row>
      <xdr:rowOff>93299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6C700B54-4B74-4756-873E-C4F534F96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2790825"/>
          <a:ext cx="8667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16</xdr:row>
      <xdr:rowOff>95250</xdr:rowOff>
    </xdr:from>
    <xdr:to>
      <xdr:col>1</xdr:col>
      <xdr:colOff>895350</xdr:colOff>
      <xdr:row>19</xdr:row>
      <xdr:rowOff>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6CAE3BF1-58B0-4AEF-88AF-2FB9C24CC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" y="3895725"/>
          <a:ext cx="7905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21</xdr:row>
      <xdr:rowOff>114300</xdr:rowOff>
    </xdr:from>
    <xdr:to>
      <xdr:col>1</xdr:col>
      <xdr:colOff>971550</xdr:colOff>
      <xdr:row>23</xdr:row>
      <xdr:rowOff>123825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29CDA576-2D30-4580-9CD2-CEEA6F328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" y="4886325"/>
          <a:ext cx="8667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16</xdr:row>
      <xdr:rowOff>95250</xdr:rowOff>
    </xdr:from>
    <xdr:to>
      <xdr:col>6</xdr:col>
      <xdr:colOff>895350</xdr:colOff>
      <xdr:row>18</xdr:row>
      <xdr:rowOff>180975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252BD76D-B335-4E6C-9C43-19907C0E7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3895725"/>
          <a:ext cx="75247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107674</xdr:colOff>
      <xdr:row>27</xdr:row>
      <xdr:rowOff>160277</xdr:rowOff>
    </xdr:from>
    <xdr:to>
      <xdr:col>1</xdr:col>
      <xdr:colOff>1018761</xdr:colOff>
      <xdr:row>31</xdr:row>
      <xdr:rowOff>84068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FD35734B-05BF-4FB7-A1C1-810CDEA08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74" y="5732402"/>
          <a:ext cx="911087" cy="72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149185</xdr:colOff>
      <xdr:row>46</xdr:row>
      <xdr:rowOff>183616</xdr:rowOff>
    </xdr:from>
    <xdr:to>
      <xdr:col>1</xdr:col>
      <xdr:colOff>932498</xdr:colOff>
      <xdr:row>48</xdr:row>
      <xdr:rowOff>68857</xdr:rowOff>
    </xdr:to>
    <xdr:pic>
      <xdr:nvPicPr>
        <xdr:cNvPr id="16" name="Picture 13">
          <a:extLst>
            <a:ext uri="{FF2B5EF4-FFF2-40B4-BE49-F238E27FC236}">
              <a16:creationId xmlns:a16="http://schemas.microsoft.com/office/drawing/2014/main" id="{BD4D6B42-505E-48D4-B430-DAFE57487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504818" y="9546477"/>
          <a:ext cx="275422" cy="783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240994</xdr:colOff>
      <xdr:row>45</xdr:row>
      <xdr:rowOff>103283</xdr:rowOff>
    </xdr:from>
    <xdr:to>
      <xdr:col>6</xdr:col>
      <xdr:colOff>793444</xdr:colOff>
      <xdr:row>49</xdr:row>
      <xdr:rowOff>60520</xdr:rowOff>
    </xdr:to>
    <xdr:pic>
      <xdr:nvPicPr>
        <xdr:cNvPr id="17" name="Picture 14">
          <a:extLst>
            <a:ext uri="{FF2B5EF4-FFF2-40B4-BE49-F238E27FC236}">
              <a16:creationId xmlns:a16="http://schemas.microsoft.com/office/drawing/2014/main" id="{3CC1849F-3F45-4990-BDD3-0F081A460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7018" y="9525000"/>
          <a:ext cx="552450" cy="737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116251</xdr:colOff>
      <xdr:row>51</xdr:row>
      <xdr:rowOff>3214</xdr:rowOff>
    </xdr:from>
    <xdr:to>
      <xdr:col>1</xdr:col>
      <xdr:colOff>921995</xdr:colOff>
      <xdr:row>52</xdr:row>
      <xdr:rowOff>170188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BC547160-34F2-4750-AB82-18779EB34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1151" y="8947189"/>
          <a:ext cx="805744" cy="3574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1047750</xdr:colOff>
      <xdr:row>4</xdr:row>
      <xdr:rowOff>28576</xdr:rowOff>
    </xdr:from>
    <xdr:to>
      <xdr:col>6</xdr:col>
      <xdr:colOff>1983797</xdr:colOff>
      <xdr:row>4</xdr:row>
      <xdr:rowOff>942976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13B8705-AA25-4834-BA59-6E6D115E2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2247901"/>
          <a:ext cx="3317297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597695</xdr:colOff>
      <xdr:row>4</xdr:row>
      <xdr:rowOff>85725</xdr:rowOff>
    </xdr:from>
    <xdr:to>
      <xdr:col>1</xdr:col>
      <xdr:colOff>1905866</xdr:colOff>
      <xdr:row>4</xdr:row>
      <xdr:rowOff>933950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1E1A0A9-53A8-4B4F-AD56-75FCF8878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695" y="2305050"/>
          <a:ext cx="2022546" cy="84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5</xdr:row>
      <xdr:rowOff>85725</xdr:rowOff>
    </xdr:from>
    <xdr:to>
      <xdr:col>3</xdr:col>
      <xdr:colOff>1381125</xdr:colOff>
      <xdr:row>5</xdr:row>
      <xdr:rowOff>619125</xdr:rowOff>
    </xdr:to>
    <xdr:pic>
      <xdr:nvPicPr>
        <xdr:cNvPr id="2" name="Resim 9">
          <a:extLst>
            <a:ext uri="{FF2B5EF4-FFF2-40B4-BE49-F238E27FC236}">
              <a16:creationId xmlns:a16="http://schemas.microsoft.com/office/drawing/2014/main" id="{9F373EE6-EC91-4228-816E-D9D13F1C1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1914525"/>
          <a:ext cx="10191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476250</xdr:colOff>
      <xdr:row>10</xdr:row>
      <xdr:rowOff>209550</xdr:rowOff>
    </xdr:from>
    <xdr:to>
      <xdr:col>3</xdr:col>
      <xdr:colOff>1057275</xdr:colOff>
      <xdr:row>10</xdr:row>
      <xdr:rowOff>609600</xdr:rowOff>
    </xdr:to>
    <xdr:pic>
      <xdr:nvPicPr>
        <xdr:cNvPr id="3" name="Resim 14">
          <a:extLst>
            <a:ext uri="{FF2B5EF4-FFF2-40B4-BE49-F238E27FC236}">
              <a16:creationId xmlns:a16="http://schemas.microsoft.com/office/drawing/2014/main" id="{4CCDA806-B766-46FA-AE9B-048919C4D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5848350"/>
          <a:ext cx="5810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1181100</xdr:colOff>
      <xdr:row>21</xdr:row>
      <xdr:rowOff>0</xdr:rowOff>
    </xdr:to>
    <xdr:pic>
      <xdr:nvPicPr>
        <xdr:cNvPr id="4" name="Resim 8">
          <a:extLst>
            <a:ext uri="{FF2B5EF4-FFF2-40B4-BE49-F238E27FC236}">
              <a16:creationId xmlns:a16="http://schemas.microsoft.com/office/drawing/2014/main" id="{70B80420-37ED-4ECC-9818-F0FCC1F9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3239750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342900</xdr:colOff>
      <xdr:row>9</xdr:row>
      <xdr:rowOff>152400</xdr:rowOff>
    </xdr:from>
    <xdr:to>
      <xdr:col>3</xdr:col>
      <xdr:colOff>1238250</xdr:colOff>
      <xdr:row>9</xdr:row>
      <xdr:rowOff>685800</xdr:rowOff>
    </xdr:to>
    <xdr:pic>
      <xdr:nvPicPr>
        <xdr:cNvPr id="5" name="Resim 19">
          <a:extLst>
            <a:ext uri="{FF2B5EF4-FFF2-40B4-BE49-F238E27FC236}">
              <a16:creationId xmlns:a16="http://schemas.microsoft.com/office/drawing/2014/main" id="{1FD6FF9E-4DB5-49CD-B1EB-5C8D2DDF4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5029200"/>
          <a:ext cx="8953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11</xdr:row>
      <xdr:rowOff>142875</xdr:rowOff>
    </xdr:from>
    <xdr:to>
      <xdr:col>3</xdr:col>
      <xdr:colOff>1219200</xdr:colOff>
      <xdr:row>11</xdr:row>
      <xdr:rowOff>514350</xdr:rowOff>
    </xdr:to>
    <xdr:pic>
      <xdr:nvPicPr>
        <xdr:cNvPr id="6" name="Resim 12">
          <a:extLst>
            <a:ext uri="{FF2B5EF4-FFF2-40B4-BE49-F238E27FC236}">
              <a16:creationId xmlns:a16="http://schemas.microsoft.com/office/drawing/2014/main" id="{B3A1E5FB-84F2-4178-9360-059834EA8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6543675"/>
          <a:ext cx="9048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323850</xdr:colOff>
      <xdr:row>6</xdr:row>
      <xdr:rowOff>133350</xdr:rowOff>
    </xdr:from>
    <xdr:to>
      <xdr:col>3</xdr:col>
      <xdr:colOff>1295400</xdr:colOff>
      <xdr:row>6</xdr:row>
      <xdr:rowOff>590550</xdr:rowOff>
    </xdr:to>
    <xdr:pic>
      <xdr:nvPicPr>
        <xdr:cNvPr id="7" name="Resim 13">
          <a:extLst>
            <a:ext uri="{FF2B5EF4-FFF2-40B4-BE49-F238E27FC236}">
              <a16:creationId xmlns:a16="http://schemas.microsoft.com/office/drawing/2014/main" id="{0353AC8F-4697-4E2C-90EF-E504B92B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2724150"/>
          <a:ext cx="9715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276225</xdr:colOff>
      <xdr:row>7</xdr:row>
      <xdr:rowOff>219075</xdr:rowOff>
    </xdr:from>
    <xdr:to>
      <xdr:col>3</xdr:col>
      <xdr:colOff>1400175</xdr:colOff>
      <xdr:row>7</xdr:row>
      <xdr:rowOff>581025</xdr:rowOff>
    </xdr:to>
    <xdr:pic>
      <xdr:nvPicPr>
        <xdr:cNvPr id="8" name="Resim 15">
          <a:extLst>
            <a:ext uri="{FF2B5EF4-FFF2-40B4-BE49-F238E27FC236}">
              <a16:creationId xmlns:a16="http://schemas.microsoft.com/office/drawing/2014/main" id="{45CD300A-62E7-4986-B03E-19A9016DA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3571875"/>
          <a:ext cx="1123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13</xdr:row>
      <xdr:rowOff>104775</xdr:rowOff>
    </xdr:from>
    <xdr:to>
      <xdr:col>3</xdr:col>
      <xdr:colOff>1209675</xdr:colOff>
      <xdr:row>13</xdr:row>
      <xdr:rowOff>685800</xdr:rowOff>
    </xdr:to>
    <xdr:pic>
      <xdr:nvPicPr>
        <xdr:cNvPr id="9" name="Resim 16">
          <a:extLst>
            <a:ext uri="{FF2B5EF4-FFF2-40B4-BE49-F238E27FC236}">
              <a16:creationId xmlns:a16="http://schemas.microsoft.com/office/drawing/2014/main" id="{1DC953A7-55C1-4ADD-9A32-05A32995C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7267575"/>
          <a:ext cx="8572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209550</xdr:colOff>
      <xdr:row>14</xdr:row>
      <xdr:rowOff>314325</xdr:rowOff>
    </xdr:from>
    <xdr:to>
      <xdr:col>3</xdr:col>
      <xdr:colOff>1390650</xdr:colOff>
      <xdr:row>14</xdr:row>
      <xdr:rowOff>609600</xdr:rowOff>
    </xdr:to>
    <xdr:pic>
      <xdr:nvPicPr>
        <xdr:cNvPr id="10" name="Resim 17">
          <a:extLst>
            <a:ext uri="{FF2B5EF4-FFF2-40B4-BE49-F238E27FC236}">
              <a16:creationId xmlns:a16="http://schemas.microsoft.com/office/drawing/2014/main" id="{5E47BD99-7815-44FD-AB31-8960568AE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8239125"/>
          <a:ext cx="11811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295275</xdr:colOff>
      <xdr:row>15</xdr:row>
      <xdr:rowOff>47625</xdr:rowOff>
    </xdr:from>
    <xdr:to>
      <xdr:col>3</xdr:col>
      <xdr:colOff>1362075</xdr:colOff>
      <xdr:row>15</xdr:row>
      <xdr:rowOff>742950</xdr:rowOff>
    </xdr:to>
    <xdr:pic>
      <xdr:nvPicPr>
        <xdr:cNvPr id="11" name="Resim 28">
          <a:extLst>
            <a:ext uri="{FF2B5EF4-FFF2-40B4-BE49-F238E27FC236}">
              <a16:creationId xmlns:a16="http://schemas.microsoft.com/office/drawing/2014/main" id="{3FE3E28C-2BFF-4315-A455-1B7704A3B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8734425"/>
          <a:ext cx="1066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276225</xdr:colOff>
      <xdr:row>8</xdr:row>
      <xdr:rowOff>57150</xdr:rowOff>
    </xdr:from>
    <xdr:to>
      <xdr:col>3</xdr:col>
      <xdr:colOff>1314450</xdr:colOff>
      <xdr:row>8</xdr:row>
      <xdr:rowOff>752475</xdr:rowOff>
    </xdr:to>
    <xdr:pic>
      <xdr:nvPicPr>
        <xdr:cNvPr id="12" name="Resim 29">
          <a:extLst>
            <a:ext uri="{FF2B5EF4-FFF2-40B4-BE49-F238E27FC236}">
              <a16:creationId xmlns:a16="http://schemas.microsoft.com/office/drawing/2014/main" id="{1E582485-FD1A-4A0A-A16D-4653341A1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4171950"/>
          <a:ext cx="10382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333375</xdr:colOff>
      <xdr:row>16</xdr:row>
      <xdr:rowOff>123825</xdr:rowOff>
    </xdr:from>
    <xdr:to>
      <xdr:col>3</xdr:col>
      <xdr:colOff>1038225</xdr:colOff>
      <xdr:row>16</xdr:row>
      <xdr:rowOff>742950</xdr:rowOff>
    </xdr:to>
    <xdr:pic>
      <xdr:nvPicPr>
        <xdr:cNvPr id="13" name="Resim 18">
          <a:extLst>
            <a:ext uri="{FF2B5EF4-FFF2-40B4-BE49-F238E27FC236}">
              <a16:creationId xmlns:a16="http://schemas.microsoft.com/office/drawing/2014/main" id="{68DDE10A-023A-4655-A4D0-8F3602AB8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9572625"/>
          <a:ext cx="7048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17</xdr:row>
      <xdr:rowOff>152400</xdr:rowOff>
    </xdr:from>
    <xdr:to>
      <xdr:col>3</xdr:col>
      <xdr:colOff>1295400</xdr:colOff>
      <xdr:row>17</xdr:row>
      <xdr:rowOff>581025</xdr:rowOff>
    </xdr:to>
    <xdr:pic>
      <xdr:nvPicPr>
        <xdr:cNvPr id="14" name="Resim 20">
          <a:extLst>
            <a:ext uri="{FF2B5EF4-FFF2-40B4-BE49-F238E27FC236}">
              <a16:creationId xmlns:a16="http://schemas.microsoft.com/office/drawing/2014/main" id="{33630C0A-B119-40D3-802F-8ECA2EED5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391775"/>
          <a:ext cx="11049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333375</xdr:colOff>
      <xdr:row>18</xdr:row>
      <xdr:rowOff>47625</xdr:rowOff>
    </xdr:from>
    <xdr:to>
      <xdr:col>3</xdr:col>
      <xdr:colOff>1304925</xdr:colOff>
      <xdr:row>18</xdr:row>
      <xdr:rowOff>714375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44ECBB6E-903C-4BCB-B1BD-30CE0D7B8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11010900"/>
          <a:ext cx="9715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447675</xdr:colOff>
      <xdr:row>20</xdr:row>
      <xdr:rowOff>161925</xdr:rowOff>
    </xdr:from>
    <xdr:to>
      <xdr:col>3</xdr:col>
      <xdr:colOff>1495425</xdr:colOff>
      <xdr:row>20</xdr:row>
      <xdr:rowOff>485775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06495624-32DE-4727-9EA3-2BE4A71E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12677775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466725</xdr:colOff>
      <xdr:row>19</xdr:row>
      <xdr:rowOff>47625</xdr:rowOff>
    </xdr:from>
    <xdr:to>
      <xdr:col>3</xdr:col>
      <xdr:colOff>1095375</xdr:colOff>
      <xdr:row>19</xdr:row>
      <xdr:rowOff>762000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2777C144-C177-4A1F-BD52-64B645698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11772900"/>
          <a:ext cx="6286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12</xdr:row>
      <xdr:rowOff>276225</xdr:rowOff>
    </xdr:from>
    <xdr:to>
      <xdr:col>3</xdr:col>
      <xdr:colOff>1552575</xdr:colOff>
      <xdr:row>12</xdr:row>
      <xdr:rowOff>600075</xdr:rowOff>
    </xdr:to>
    <xdr:pic>
      <xdr:nvPicPr>
        <xdr:cNvPr id="18" name="Resim 21">
          <a:extLst>
            <a:ext uri="{FF2B5EF4-FFF2-40B4-BE49-F238E27FC236}">
              <a16:creationId xmlns:a16="http://schemas.microsoft.com/office/drawing/2014/main" id="{909BFC46-3325-4637-B168-93624714B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7439025"/>
          <a:ext cx="1447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778"/>
  <sheetViews>
    <sheetView tabSelected="1" view="pageBreakPreview" zoomScale="85" zoomScaleNormal="109" zoomScaleSheetLayoutView="85" workbookViewId="0">
      <selection activeCell="H7" sqref="H7"/>
    </sheetView>
  </sheetViews>
  <sheetFormatPr defaultColWidth="9.140625" defaultRowHeight="26.25" x14ac:dyDescent="0.4"/>
  <cols>
    <col min="1" max="1" width="10.140625" style="4" bestFit="1" customWidth="1"/>
    <col min="2" max="2" width="48.140625" style="8" bestFit="1" customWidth="1"/>
    <col min="3" max="3" width="35.42578125" style="8" customWidth="1"/>
    <col min="4" max="4" width="14.85546875" style="8" bestFit="1" customWidth="1"/>
    <col min="5" max="5" width="28.85546875" style="8" customWidth="1"/>
    <col min="6" max="6" width="25.28515625" style="8" customWidth="1"/>
    <col min="7" max="7" width="14.5703125" style="8" customWidth="1"/>
    <col min="8" max="8" width="47.28515625" style="4" customWidth="1"/>
    <col min="9" max="9" width="18.140625" style="4" customWidth="1"/>
    <col min="10" max="31" width="9.140625" style="4"/>
    <col min="32" max="16384" width="9.140625" style="8"/>
  </cols>
  <sheetData>
    <row r="1" spans="1:33" ht="26.25" customHeight="1" x14ac:dyDescent="0.4">
      <c r="B1" s="1" t="s">
        <v>306</v>
      </c>
      <c r="C1" s="2">
        <f ca="1">TODAY()</f>
        <v>46077</v>
      </c>
      <c r="D1" s="3"/>
      <c r="E1" s="225" t="s">
        <v>317</v>
      </c>
      <c r="F1" s="225"/>
      <c r="G1" s="3"/>
      <c r="H1" s="3"/>
      <c r="I1" s="59"/>
    </row>
    <row r="2" spans="1:33" x14ac:dyDescent="0.4">
      <c r="B2" s="1" t="s">
        <v>307</v>
      </c>
      <c r="C2" s="5"/>
      <c r="D2" s="3"/>
      <c r="E2" s="1" t="s">
        <v>328</v>
      </c>
      <c r="F2" s="104"/>
      <c r="G2" s="3"/>
      <c r="H2" s="3"/>
      <c r="I2" s="59"/>
    </row>
    <row r="3" spans="1:33" x14ac:dyDescent="0.4">
      <c r="B3" s="1" t="s">
        <v>308</v>
      </c>
      <c r="C3" s="7"/>
      <c r="D3" s="3"/>
      <c r="E3" s="1" t="s">
        <v>315</v>
      </c>
      <c r="F3" s="104"/>
      <c r="G3" s="3"/>
      <c r="H3" s="3"/>
      <c r="I3" s="59"/>
    </row>
    <row r="4" spans="1:33" x14ac:dyDescent="0.4">
      <c r="B4" s="224" t="s">
        <v>309</v>
      </c>
      <c r="C4" s="224"/>
      <c r="D4" s="3"/>
      <c r="E4" s="1" t="s">
        <v>316</v>
      </c>
      <c r="F4" s="104"/>
      <c r="G4" s="3"/>
      <c r="H4" s="3"/>
      <c r="I4" s="59"/>
    </row>
    <row r="5" spans="1:33" x14ac:dyDescent="0.4">
      <c r="B5" s="1" t="s">
        <v>310</v>
      </c>
      <c r="C5" s="6"/>
      <c r="D5" s="3"/>
      <c r="E5" s="3"/>
      <c r="F5" s="3"/>
      <c r="G5" s="3"/>
      <c r="H5" s="3"/>
      <c r="I5" s="59"/>
    </row>
    <row r="6" spans="1:33" x14ac:dyDescent="0.4">
      <c r="B6" s="1" t="s">
        <v>311</v>
      </c>
      <c r="C6" s="6"/>
      <c r="D6" s="3"/>
      <c r="E6" s="226" t="s">
        <v>318</v>
      </c>
      <c r="F6" s="227"/>
      <c r="G6" s="3"/>
      <c r="H6" s="3"/>
      <c r="I6" s="59"/>
    </row>
    <row r="7" spans="1:33" s="4" customFormat="1" x14ac:dyDescent="0.4">
      <c r="B7" s="1" t="s">
        <v>312</v>
      </c>
      <c r="C7" s="6"/>
      <c r="D7" s="3"/>
      <c r="E7" s="220" t="s">
        <v>319</v>
      </c>
      <c r="F7" s="221"/>
      <c r="G7" s="3"/>
      <c r="H7" s="3"/>
      <c r="I7" s="59"/>
      <c r="AF7" s="8"/>
      <c r="AG7" s="8"/>
    </row>
    <row r="8" spans="1:33" s="4" customFormat="1" x14ac:dyDescent="0.4">
      <c r="B8" s="224" t="s">
        <v>313</v>
      </c>
      <c r="C8" s="224"/>
      <c r="D8" s="3"/>
      <c r="E8" s="220"/>
      <c r="F8" s="221"/>
      <c r="G8" s="3"/>
      <c r="H8" s="3"/>
      <c r="I8" s="58"/>
      <c r="AF8" s="8"/>
      <c r="AG8" s="8"/>
    </row>
    <row r="9" spans="1:33" s="4" customFormat="1" x14ac:dyDescent="0.4">
      <c r="B9" s="1" t="s">
        <v>314</v>
      </c>
      <c r="C9" s="6"/>
      <c r="D9" s="3"/>
      <c r="E9" s="220"/>
      <c r="F9" s="221"/>
      <c r="G9" s="3"/>
      <c r="H9" s="3"/>
      <c r="I9" s="58"/>
      <c r="AF9" s="8"/>
      <c r="AG9" s="8"/>
    </row>
    <row r="10" spans="1:33" s="4" customFormat="1" x14ac:dyDescent="0.4"/>
    <row r="11" spans="1:33" s="4" customFormat="1" x14ac:dyDescent="0.4">
      <c r="B11" s="222" t="s">
        <v>30</v>
      </c>
      <c r="C11" s="223"/>
      <c r="D11" s="223"/>
      <c r="E11" s="223"/>
      <c r="F11" s="223"/>
      <c r="G11" s="223"/>
      <c r="H11" s="223"/>
      <c r="AF11" s="8"/>
      <c r="AG11" s="8"/>
    </row>
    <row r="12" spans="1:33" s="4" customFormat="1" ht="41.25" customHeight="1" x14ac:dyDescent="0.4">
      <c r="A12" s="10" t="s">
        <v>36</v>
      </c>
      <c r="B12" s="10" t="s">
        <v>320</v>
      </c>
      <c r="C12" s="10" t="s">
        <v>321</v>
      </c>
      <c r="D12" s="10" t="s">
        <v>322</v>
      </c>
      <c r="E12" s="10" t="s">
        <v>323</v>
      </c>
      <c r="F12" s="10" t="s">
        <v>324</v>
      </c>
      <c r="G12" s="10" t="s">
        <v>325</v>
      </c>
      <c r="H12" s="10" t="s">
        <v>326</v>
      </c>
      <c r="I12" s="418" t="s">
        <v>327</v>
      </c>
      <c r="AF12" s="8"/>
      <c r="AG12" s="8"/>
    </row>
    <row r="13" spans="1:33" s="4" customFormat="1" x14ac:dyDescent="0.4">
      <c r="A13" s="10" t="s">
        <v>163</v>
      </c>
      <c r="B13" s="103"/>
      <c r="C13" s="103"/>
      <c r="D13" s="110" t="s">
        <v>48</v>
      </c>
      <c r="E13" s="110" t="s">
        <v>52</v>
      </c>
      <c r="F13" s="60">
        <v>3</v>
      </c>
      <c r="G13" s="11">
        <v>1</v>
      </c>
      <c r="H13" s="111" t="s">
        <v>305</v>
      </c>
      <c r="I13" s="60" t="s">
        <v>297</v>
      </c>
      <c r="AF13" s="8"/>
      <c r="AG13" s="8"/>
    </row>
    <row r="14" spans="1:33" s="4" customFormat="1" x14ac:dyDescent="0.4">
      <c r="A14" s="10" t="s">
        <v>164</v>
      </c>
      <c r="B14" s="103"/>
      <c r="C14" s="103"/>
      <c r="D14" s="110" t="s">
        <v>48</v>
      </c>
      <c r="E14" s="110" t="s">
        <v>52</v>
      </c>
      <c r="F14" s="60"/>
      <c r="G14" s="11"/>
      <c r="H14" s="111"/>
      <c r="I14" s="60" t="s">
        <v>298</v>
      </c>
      <c r="AF14" s="8"/>
      <c r="AG14" s="8"/>
    </row>
    <row r="15" spans="1:33" s="4" customFormat="1" x14ac:dyDescent="0.4">
      <c r="A15" s="10" t="s">
        <v>165</v>
      </c>
      <c r="B15" s="103"/>
      <c r="C15" s="103"/>
      <c r="D15" s="110" t="s">
        <v>48</v>
      </c>
      <c r="E15" s="110" t="s">
        <v>52</v>
      </c>
      <c r="F15" s="60"/>
      <c r="G15" s="11"/>
      <c r="H15" s="111"/>
      <c r="I15" s="60" t="s">
        <v>298</v>
      </c>
      <c r="AF15" s="8"/>
      <c r="AG15" s="8"/>
    </row>
    <row r="16" spans="1:33" s="4" customFormat="1" x14ac:dyDescent="0.4">
      <c r="A16" s="10" t="s">
        <v>166</v>
      </c>
      <c r="B16" s="103"/>
      <c r="C16" s="103"/>
      <c r="D16" s="110" t="s">
        <v>48</v>
      </c>
      <c r="E16" s="110" t="s">
        <v>52</v>
      </c>
      <c r="F16" s="60"/>
      <c r="G16" s="11"/>
      <c r="H16" s="111"/>
      <c r="I16" s="60" t="s">
        <v>298</v>
      </c>
      <c r="AF16" s="8"/>
      <c r="AG16" s="8"/>
    </row>
    <row r="17" spans="1:33" s="4" customFormat="1" x14ac:dyDescent="0.4">
      <c r="A17" s="10" t="s">
        <v>167</v>
      </c>
      <c r="B17" s="103"/>
      <c r="C17" s="103"/>
      <c r="D17" s="110" t="s">
        <v>48</v>
      </c>
      <c r="E17" s="110" t="s">
        <v>52</v>
      </c>
      <c r="F17" s="60"/>
      <c r="G17" s="11"/>
      <c r="H17" s="111"/>
      <c r="I17" s="60" t="s">
        <v>298</v>
      </c>
      <c r="AF17" s="8"/>
      <c r="AG17" s="8"/>
    </row>
    <row r="18" spans="1:33" s="4" customFormat="1" x14ac:dyDescent="0.4">
      <c r="A18" s="10" t="s">
        <v>168</v>
      </c>
      <c r="B18" s="103"/>
      <c r="C18" s="103"/>
      <c r="D18" s="110" t="s">
        <v>48</v>
      </c>
      <c r="E18" s="110" t="s">
        <v>52</v>
      </c>
      <c r="F18" s="60"/>
      <c r="G18" s="11"/>
      <c r="H18" s="111"/>
      <c r="I18" s="60" t="s">
        <v>298</v>
      </c>
      <c r="AF18" s="8"/>
      <c r="AG18" s="8"/>
    </row>
    <row r="19" spans="1:33" s="4" customFormat="1" x14ac:dyDescent="0.4">
      <c r="A19" s="10" t="s">
        <v>169</v>
      </c>
      <c r="B19" s="103"/>
      <c r="C19" s="103"/>
      <c r="D19" s="110" t="s">
        <v>48</v>
      </c>
      <c r="E19" s="110" t="s">
        <v>52</v>
      </c>
      <c r="F19" s="60"/>
      <c r="G19" s="11"/>
      <c r="H19" s="111"/>
      <c r="I19" s="60" t="s">
        <v>298</v>
      </c>
      <c r="AF19" s="8"/>
      <c r="AG19" s="8"/>
    </row>
    <row r="20" spans="1:33" s="4" customFormat="1" x14ac:dyDescent="0.4">
      <c r="A20" s="10" t="s">
        <v>170</v>
      </c>
      <c r="B20" s="103"/>
      <c r="C20" s="103"/>
      <c r="D20" s="110" t="s">
        <v>48</v>
      </c>
      <c r="E20" s="110" t="s">
        <v>52</v>
      </c>
      <c r="F20" s="60"/>
      <c r="G20" s="11"/>
      <c r="H20" s="111"/>
      <c r="I20" s="60" t="s">
        <v>298</v>
      </c>
      <c r="AF20" s="8"/>
      <c r="AG20" s="8"/>
    </row>
    <row r="21" spans="1:33" s="4" customFormat="1" x14ac:dyDescent="0.4">
      <c r="A21" s="10" t="s">
        <v>171</v>
      </c>
      <c r="B21" s="103"/>
      <c r="C21" s="103"/>
      <c r="D21" s="110" t="s">
        <v>48</v>
      </c>
      <c r="E21" s="110" t="s">
        <v>52</v>
      </c>
      <c r="F21" s="60"/>
      <c r="G21" s="11"/>
      <c r="H21" s="111"/>
      <c r="I21" s="60" t="s">
        <v>298</v>
      </c>
      <c r="AF21" s="8"/>
      <c r="AG21" s="8"/>
    </row>
    <row r="22" spans="1:33" s="4" customFormat="1" x14ac:dyDescent="0.4">
      <c r="A22" s="10" t="s">
        <v>172</v>
      </c>
      <c r="B22" s="103"/>
      <c r="C22" s="103"/>
      <c r="D22" s="110" t="s">
        <v>48</v>
      </c>
      <c r="E22" s="110" t="s">
        <v>52</v>
      </c>
      <c r="F22" s="60"/>
      <c r="G22" s="11"/>
      <c r="H22" s="111"/>
      <c r="I22" s="60" t="s">
        <v>298</v>
      </c>
      <c r="AF22" s="8"/>
      <c r="AG22" s="8"/>
    </row>
    <row r="23" spans="1:33" s="4" customFormat="1" x14ac:dyDescent="0.4">
      <c r="A23" s="10" t="s">
        <v>173</v>
      </c>
      <c r="B23" s="103"/>
      <c r="C23" s="103"/>
      <c r="D23" s="110" t="s">
        <v>48</v>
      </c>
      <c r="E23" s="110" t="s">
        <v>52</v>
      </c>
      <c r="F23" s="60"/>
      <c r="G23" s="11"/>
      <c r="H23" s="111"/>
      <c r="I23" s="60" t="s">
        <v>298</v>
      </c>
    </row>
    <row r="24" spans="1:33" s="4" customFormat="1" x14ac:dyDescent="0.4">
      <c r="A24" s="10" t="s">
        <v>174</v>
      </c>
      <c r="B24" s="103"/>
      <c r="C24" s="103"/>
      <c r="D24" s="110" t="s">
        <v>48</v>
      </c>
      <c r="E24" s="110" t="s">
        <v>52</v>
      </c>
      <c r="F24" s="60"/>
      <c r="G24" s="11"/>
      <c r="H24" s="111"/>
      <c r="I24" s="60" t="s">
        <v>298</v>
      </c>
    </row>
    <row r="25" spans="1:33" s="4" customFormat="1" x14ac:dyDescent="0.4">
      <c r="A25" s="10" t="s">
        <v>175</v>
      </c>
      <c r="B25" s="103"/>
      <c r="C25" s="103"/>
      <c r="D25" s="110" t="s">
        <v>48</v>
      </c>
      <c r="E25" s="110" t="s">
        <v>52</v>
      </c>
      <c r="F25" s="60"/>
      <c r="G25" s="11"/>
      <c r="H25" s="111"/>
      <c r="I25" s="60" t="s">
        <v>298</v>
      </c>
    </row>
    <row r="26" spans="1:33" s="4" customFormat="1" x14ac:dyDescent="0.4">
      <c r="A26" s="10" t="s">
        <v>176</v>
      </c>
      <c r="B26" s="103"/>
      <c r="C26" s="103"/>
      <c r="D26" s="110" t="s">
        <v>48</v>
      </c>
      <c r="E26" s="110" t="s">
        <v>52</v>
      </c>
      <c r="F26" s="60"/>
      <c r="G26" s="11"/>
      <c r="H26" s="111"/>
      <c r="I26" s="60" t="s">
        <v>298</v>
      </c>
    </row>
    <row r="27" spans="1:33" s="4" customFormat="1" x14ac:dyDescent="0.4">
      <c r="A27" s="10" t="s">
        <v>177</v>
      </c>
      <c r="B27" s="103"/>
      <c r="C27" s="103"/>
      <c r="D27" s="110" t="s">
        <v>48</v>
      </c>
      <c r="E27" s="110" t="s">
        <v>52</v>
      </c>
      <c r="F27" s="60"/>
      <c r="G27" s="11"/>
      <c r="H27" s="111"/>
      <c r="I27" s="60" t="s">
        <v>298</v>
      </c>
    </row>
    <row r="28" spans="1:33" s="4" customFormat="1" x14ac:dyDescent="0.4">
      <c r="A28" s="10" t="s">
        <v>178</v>
      </c>
      <c r="B28" s="103"/>
      <c r="C28" s="103"/>
      <c r="D28" s="110" t="s">
        <v>48</v>
      </c>
      <c r="E28" s="110" t="s">
        <v>52</v>
      </c>
      <c r="F28" s="60"/>
      <c r="G28" s="11"/>
      <c r="H28" s="111"/>
      <c r="I28" s="60" t="s">
        <v>298</v>
      </c>
    </row>
    <row r="29" spans="1:33" s="4" customFormat="1" x14ac:dyDescent="0.4">
      <c r="A29" s="10" t="s">
        <v>179</v>
      </c>
      <c r="B29" s="103"/>
      <c r="C29" s="103"/>
      <c r="D29" s="110" t="s">
        <v>48</v>
      </c>
      <c r="E29" s="110" t="s">
        <v>52</v>
      </c>
      <c r="F29" s="60"/>
      <c r="G29" s="11"/>
      <c r="H29" s="111"/>
      <c r="I29" s="60" t="s">
        <v>298</v>
      </c>
    </row>
    <row r="30" spans="1:33" s="4" customFormat="1" x14ac:dyDescent="0.4">
      <c r="A30" s="10" t="s">
        <v>180</v>
      </c>
      <c r="B30" s="103"/>
      <c r="C30" s="103"/>
      <c r="D30" s="110" t="s">
        <v>48</v>
      </c>
      <c r="E30" s="110" t="s">
        <v>52</v>
      </c>
      <c r="F30" s="60"/>
      <c r="G30" s="11"/>
      <c r="H30" s="111"/>
      <c r="I30" s="60" t="s">
        <v>298</v>
      </c>
    </row>
    <row r="31" spans="1:33" s="4" customFormat="1" x14ac:dyDescent="0.4">
      <c r="A31" s="10" t="s">
        <v>181</v>
      </c>
      <c r="B31" s="103"/>
      <c r="C31" s="103"/>
      <c r="D31" s="110" t="s">
        <v>48</v>
      </c>
      <c r="E31" s="110" t="s">
        <v>52</v>
      </c>
      <c r="F31" s="60"/>
      <c r="G31" s="11"/>
      <c r="H31" s="111"/>
      <c r="I31" s="60" t="s">
        <v>298</v>
      </c>
    </row>
    <row r="32" spans="1:33" s="4" customFormat="1" x14ac:dyDescent="0.4">
      <c r="A32" s="10" t="s">
        <v>182</v>
      </c>
      <c r="B32" s="103"/>
      <c r="C32" s="103"/>
      <c r="D32" s="110" t="s">
        <v>48</v>
      </c>
      <c r="E32" s="110" t="s">
        <v>52</v>
      </c>
      <c r="F32" s="60"/>
      <c r="G32" s="11"/>
      <c r="H32" s="111"/>
      <c r="I32" s="60" t="s">
        <v>298</v>
      </c>
    </row>
    <row r="33" spans="1:9" s="4" customFormat="1" x14ac:dyDescent="0.4">
      <c r="A33" s="10" t="s">
        <v>183</v>
      </c>
      <c r="B33" s="103"/>
      <c r="C33" s="103"/>
      <c r="D33" s="110" t="s">
        <v>48</v>
      </c>
      <c r="E33" s="110" t="s">
        <v>52</v>
      </c>
      <c r="F33" s="60"/>
      <c r="G33" s="11"/>
      <c r="H33" s="111"/>
      <c r="I33" s="60" t="s">
        <v>298</v>
      </c>
    </row>
    <row r="34" spans="1:9" s="4" customFormat="1" x14ac:dyDescent="0.4">
      <c r="A34" s="10" t="s">
        <v>184</v>
      </c>
      <c r="B34" s="103"/>
      <c r="C34" s="103"/>
      <c r="D34" s="110" t="s">
        <v>48</v>
      </c>
      <c r="E34" s="110" t="s">
        <v>52</v>
      </c>
      <c r="F34" s="60"/>
      <c r="G34" s="11"/>
      <c r="H34" s="111"/>
      <c r="I34" s="60" t="s">
        <v>298</v>
      </c>
    </row>
    <row r="35" spans="1:9" s="4" customFormat="1" x14ac:dyDescent="0.4">
      <c r="A35" s="10" t="s">
        <v>185</v>
      </c>
      <c r="B35" s="103"/>
      <c r="C35" s="103"/>
      <c r="D35" s="110" t="s">
        <v>48</v>
      </c>
      <c r="E35" s="110" t="s">
        <v>52</v>
      </c>
      <c r="F35" s="60"/>
      <c r="G35" s="11"/>
      <c r="H35" s="111"/>
      <c r="I35" s="60" t="s">
        <v>298</v>
      </c>
    </row>
    <row r="36" spans="1:9" s="4" customFormat="1" x14ac:dyDescent="0.4">
      <c r="A36" s="10" t="s">
        <v>186</v>
      </c>
      <c r="B36" s="103"/>
      <c r="C36" s="103"/>
      <c r="D36" s="110" t="s">
        <v>48</v>
      </c>
      <c r="E36" s="110" t="s">
        <v>52</v>
      </c>
      <c r="F36" s="60"/>
      <c r="G36" s="11"/>
      <c r="H36" s="111"/>
      <c r="I36" s="60" t="s">
        <v>298</v>
      </c>
    </row>
    <row r="37" spans="1:9" s="4" customFormat="1" x14ac:dyDescent="0.4">
      <c r="A37" s="10" t="s">
        <v>187</v>
      </c>
      <c r="B37" s="103"/>
      <c r="C37" s="103"/>
      <c r="D37" s="110" t="s">
        <v>48</v>
      </c>
      <c r="E37" s="110" t="s">
        <v>52</v>
      </c>
      <c r="F37" s="60"/>
      <c r="G37" s="11"/>
      <c r="H37" s="111"/>
      <c r="I37" s="60" t="s">
        <v>298</v>
      </c>
    </row>
    <row r="38" spans="1:9" s="4" customFormat="1" x14ac:dyDescent="0.4">
      <c r="A38" s="10" t="s">
        <v>188</v>
      </c>
      <c r="B38" s="103"/>
      <c r="C38" s="103"/>
      <c r="D38" s="110" t="s">
        <v>48</v>
      </c>
      <c r="E38" s="110" t="s">
        <v>52</v>
      </c>
      <c r="F38" s="60"/>
      <c r="G38" s="11"/>
      <c r="H38" s="111"/>
      <c r="I38" s="60" t="s">
        <v>298</v>
      </c>
    </row>
    <row r="39" spans="1:9" s="4" customFormat="1" x14ac:dyDescent="0.4">
      <c r="A39" s="10" t="s">
        <v>189</v>
      </c>
      <c r="B39" s="103"/>
      <c r="C39" s="103"/>
      <c r="D39" s="110" t="s">
        <v>48</v>
      </c>
      <c r="E39" s="110" t="s">
        <v>52</v>
      </c>
      <c r="F39" s="60"/>
      <c r="G39" s="11"/>
      <c r="H39" s="111"/>
      <c r="I39" s="60" t="s">
        <v>298</v>
      </c>
    </row>
    <row r="40" spans="1:9" s="4" customFormat="1" x14ac:dyDescent="0.4">
      <c r="A40" s="10" t="s">
        <v>190</v>
      </c>
      <c r="B40" s="103"/>
      <c r="C40" s="103"/>
      <c r="D40" s="110" t="s">
        <v>48</v>
      </c>
      <c r="E40" s="110" t="s">
        <v>52</v>
      </c>
      <c r="F40" s="60"/>
      <c r="G40" s="11"/>
      <c r="H40" s="111"/>
      <c r="I40" s="60" t="s">
        <v>298</v>
      </c>
    </row>
    <row r="41" spans="1:9" s="4" customFormat="1" x14ac:dyDescent="0.4">
      <c r="A41" s="10" t="s">
        <v>191</v>
      </c>
      <c r="B41" s="103"/>
      <c r="C41" s="103"/>
      <c r="D41" s="110" t="s">
        <v>48</v>
      </c>
      <c r="E41" s="110" t="s">
        <v>52</v>
      </c>
      <c r="F41" s="60"/>
      <c r="G41" s="11"/>
      <c r="H41" s="111"/>
      <c r="I41" s="60" t="s">
        <v>298</v>
      </c>
    </row>
    <row r="42" spans="1:9" s="4" customFormat="1" x14ac:dyDescent="0.4">
      <c r="A42" s="10" t="s">
        <v>192</v>
      </c>
      <c r="B42" s="103"/>
      <c r="C42" s="103"/>
      <c r="D42" s="110" t="s">
        <v>48</v>
      </c>
      <c r="E42" s="110" t="s">
        <v>52</v>
      </c>
      <c r="F42" s="60"/>
      <c r="G42" s="11"/>
      <c r="H42" s="111"/>
      <c r="I42" s="60" t="s">
        <v>298</v>
      </c>
    </row>
    <row r="43" spans="1:9" s="4" customFormat="1" x14ac:dyDescent="0.4"/>
    <row r="44" spans="1:9" s="4" customFormat="1" x14ac:dyDescent="0.4"/>
    <row r="45" spans="1:9" s="4" customFormat="1" x14ac:dyDescent="0.4"/>
    <row r="46" spans="1:9" s="4" customFormat="1" x14ac:dyDescent="0.4"/>
    <row r="47" spans="1:9" s="4" customFormat="1" x14ac:dyDescent="0.4"/>
    <row r="48" spans="1:9" s="4" customFormat="1" x14ac:dyDescent="0.4"/>
    <row r="49" s="4" customFormat="1" x14ac:dyDescent="0.4"/>
    <row r="50" s="4" customFormat="1" x14ac:dyDescent="0.4"/>
    <row r="51" s="4" customFormat="1" x14ac:dyDescent="0.4"/>
    <row r="52" s="4" customFormat="1" x14ac:dyDescent="0.4"/>
    <row r="53" s="4" customFormat="1" x14ac:dyDescent="0.4"/>
    <row r="54" s="4" customFormat="1" x14ac:dyDescent="0.4"/>
    <row r="55" s="4" customFormat="1" x14ac:dyDescent="0.4"/>
    <row r="56" s="4" customFormat="1" x14ac:dyDescent="0.4"/>
    <row r="57" s="4" customFormat="1" x14ac:dyDescent="0.4"/>
    <row r="58" s="4" customFormat="1" x14ac:dyDescent="0.4"/>
    <row r="59" s="4" customFormat="1" x14ac:dyDescent="0.4"/>
    <row r="60" s="4" customFormat="1" x14ac:dyDescent="0.4"/>
    <row r="61" s="4" customFormat="1" x14ac:dyDescent="0.4"/>
    <row r="62" s="4" customFormat="1" x14ac:dyDescent="0.4"/>
    <row r="63" s="4" customFormat="1" x14ac:dyDescent="0.4"/>
    <row r="64" s="4" customFormat="1" x14ac:dyDescent="0.4"/>
    <row r="65" s="4" customFormat="1" x14ac:dyDescent="0.4"/>
    <row r="66" s="4" customFormat="1" x14ac:dyDescent="0.4"/>
    <row r="67" s="4" customFormat="1" x14ac:dyDescent="0.4"/>
    <row r="68" s="4" customFormat="1" x14ac:dyDescent="0.4"/>
    <row r="69" s="4" customFormat="1" x14ac:dyDescent="0.4"/>
    <row r="70" s="4" customFormat="1" x14ac:dyDescent="0.4"/>
    <row r="71" s="4" customFormat="1" x14ac:dyDescent="0.4"/>
    <row r="72" s="4" customFormat="1" x14ac:dyDescent="0.4"/>
    <row r="73" s="4" customFormat="1" x14ac:dyDescent="0.4"/>
    <row r="74" s="4" customFormat="1" x14ac:dyDescent="0.4"/>
    <row r="75" s="4" customFormat="1" x14ac:dyDescent="0.4"/>
    <row r="76" s="4" customFormat="1" x14ac:dyDescent="0.4"/>
    <row r="77" s="4" customFormat="1" x14ac:dyDescent="0.4"/>
    <row r="78" s="4" customFormat="1" x14ac:dyDescent="0.4"/>
    <row r="79" s="4" customFormat="1" x14ac:dyDescent="0.4"/>
    <row r="80" s="4" customFormat="1" x14ac:dyDescent="0.4"/>
    <row r="81" s="4" customFormat="1" x14ac:dyDescent="0.4"/>
    <row r="82" s="4" customFormat="1" x14ac:dyDescent="0.4"/>
    <row r="83" s="4" customFormat="1" x14ac:dyDescent="0.4"/>
    <row r="84" s="4" customFormat="1" x14ac:dyDescent="0.4"/>
    <row r="85" s="4" customFormat="1" x14ac:dyDescent="0.4"/>
    <row r="86" s="4" customFormat="1" x14ac:dyDescent="0.4"/>
    <row r="87" s="4" customFormat="1" x14ac:dyDescent="0.4"/>
    <row r="88" s="4" customFormat="1" x14ac:dyDescent="0.4"/>
    <row r="89" s="4" customFormat="1" x14ac:dyDescent="0.4"/>
    <row r="90" s="4" customFormat="1" x14ac:dyDescent="0.4"/>
    <row r="91" s="4" customFormat="1" x14ac:dyDescent="0.4"/>
    <row r="92" s="4" customFormat="1" x14ac:dyDescent="0.4"/>
    <row r="93" s="4" customFormat="1" x14ac:dyDescent="0.4"/>
    <row r="94" s="4" customFormat="1" x14ac:dyDescent="0.4"/>
    <row r="95" s="4" customFormat="1" x14ac:dyDescent="0.4"/>
    <row r="96" s="4" customFormat="1" x14ac:dyDescent="0.4"/>
    <row r="97" s="4" customFormat="1" x14ac:dyDescent="0.4"/>
    <row r="98" s="4" customFormat="1" x14ac:dyDescent="0.4"/>
    <row r="99" s="4" customFormat="1" x14ac:dyDescent="0.4"/>
    <row r="100" s="4" customFormat="1" x14ac:dyDescent="0.4"/>
    <row r="101" s="4" customFormat="1" x14ac:dyDescent="0.4"/>
    <row r="102" s="4" customFormat="1" x14ac:dyDescent="0.4"/>
    <row r="103" s="4" customFormat="1" x14ac:dyDescent="0.4"/>
    <row r="104" s="4" customFormat="1" x14ac:dyDescent="0.4"/>
    <row r="105" s="4" customFormat="1" x14ac:dyDescent="0.4"/>
    <row r="106" s="4" customFormat="1" x14ac:dyDescent="0.4"/>
    <row r="107" s="4" customFormat="1" x14ac:dyDescent="0.4"/>
    <row r="108" s="4" customFormat="1" x14ac:dyDescent="0.4"/>
    <row r="109" s="4" customFormat="1" x14ac:dyDescent="0.4"/>
    <row r="110" s="4" customFormat="1" x14ac:dyDescent="0.4"/>
    <row r="111" s="4" customFormat="1" x14ac:dyDescent="0.4"/>
    <row r="112" s="4" customFormat="1" x14ac:dyDescent="0.4"/>
    <row r="113" s="4" customFormat="1" x14ac:dyDescent="0.4"/>
    <row r="114" s="4" customFormat="1" x14ac:dyDescent="0.4"/>
    <row r="115" s="4" customFormat="1" x14ac:dyDescent="0.4"/>
    <row r="116" s="4" customFormat="1" x14ac:dyDescent="0.4"/>
    <row r="117" s="4" customFormat="1" x14ac:dyDescent="0.4"/>
    <row r="118" s="4" customFormat="1" x14ac:dyDescent="0.4"/>
    <row r="119" s="4" customFormat="1" x14ac:dyDescent="0.4"/>
    <row r="120" s="4" customFormat="1" x14ac:dyDescent="0.4"/>
    <row r="121" s="4" customFormat="1" x14ac:dyDescent="0.4"/>
    <row r="122" s="4" customFormat="1" x14ac:dyDescent="0.4"/>
    <row r="123" s="4" customFormat="1" x14ac:dyDescent="0.4"/>
    <row r="124" s="4" customFormat="1" x14ac:dyDescent="0.4"/>
    <row r="125" s="4" customFormat="1" x14ac:dyDescent="0.4"/>
    <row r="126" s="4" customFormat="1" x14ac:dyDescent="0.4"/>
    <row r="127" s="4" customFormat="1" x14ac:dyDescent="0.4"/>
    <row r="128" s="4" customFormat="1" x14ac:dyDescent="0.4"/>
    <row r="129" s="4" customFormat="1" x14ac:dyDescent="0.4"/>
    <row r="130" s="4" customFormat="1" x14ac:dyDescent="0.4"/>
    <row r="131" s="4" customFormat="1" x14ac:dyDescent="0.4"/>
    <row r="132" s="4" customFormat="1" x14ac:dyDescent="0.4"/>
    <row r="133" s="4" customFormat="1" x14ac:dyDescent="0.4"/>
    <row r="134" s="4" customFormat="1" x14ac:dyDescent="0.4"/>
    <row r="135" s="4" customFormat="1" x14ac:dyDescent="0.4"/>
    <row r="136" s="4" customFormat="1" x14ac:dyDescent="0.4"/>
    <row r="137" s="4" customFormat="1" x14ac:dyDescent="0.4"/>
    <row r="138" s="4" customFormat="1" x14ac:dyDescent="0.4"/>
    <row r="139" s="4" customFormat="1" x14ac:dyDescent="0.4"/>
    <row r="140" s="4" customFormat="1" x14ac:dyDescent="0.4"/>
    <row r="141" s="4" customFormat="1" x14ac:dyDescent="0.4"/>
    <row r="142" s="4" customFormat="1" x14ac:dyDescent="0.4"/>
    <row r="143" s="4" customFormat="1" x14ac:dyDescent="0.4"/>
    <row r="144" s="4" customFormat="1" x14ac:dyDescent="0.4"/>
    <row r="145" s="4" customFormat="1" x14ac:dyDescent="0.4"/>
    <row r="146" s="4" customFormat="1" x14ac:dyDescent="0.4"/>
    <row r="147" s="4" customFormat="1" x14ac:dyDescent="0.4"/>
    <row r="148" s="4" customFormat="1" x14ac:dyDescent="0.4"/>
    <row r="149" s="4" customFormat="1" x14ac:dyDescent="0.4"/>
    <row r="150" s="4" customFormat="1" x14ac:dyDescent="0.4"/>
    <row r="151" s="4" customFormat="1" x14ac:dyDescent="0.4"/>
    <row r="152" s="4" customFormat="1" x14ac:dyDescent="0.4"/>
    <row r="153" s="4" customFormat="1" x14ac:dyDescent="0.4"/>
    <row r="154" s="4" customFormat="1" x14ac:dyDescent="0.4"/>
    <row r="155" s="4" customFormat="1" x14ac:dyDescent="0.4"/>
    <row r="156" s="4" customFormat="1" x14ac:dyDescent="0.4"/>
    <row r="157" s="4" customFormat="1" x14ac:dyDescent="0.4"/>
    <row r="158" s="4" customFormat="1" x14ac:dyDescent="0.4"/>
    <row r="159" s="4" customFormat="1" x14ac:dyDescent="0.4"/>
    <row r="160" s="4" customFormat="1" x14ac:dyDescent="0.4"/>
    <row r="161" s="4" customFormat="1" x14ac:dyDescent="0.4"/>
    <row r="162" s="4" customFormat="1" x14ac:dyDescent="0.4"/>
    <row r="163" s="4" customFormat="1" x14ac:dyDescent="0.4"/>
    <row r="164" s="4" customFormat="1" x14ac:dyDescent="0.4"/>
    <row r="165" s="4" customFormat="1" x14ac:dyDescent="0.4"/>
    <row r="166" s="4" customFormat="1" x14ac:dyDescent="0.4"/>
    <row r="167" s="4" customFormat="1" x14ac:dyDescent="0.4"/>
    <row r="168" s="4" customFormat="1" x14ac:dyDescent="0.4"/>
    <row r="169" s="4" customFormat="1" x14ac:dyDescent="0.4"/>
    <row r="170" s="4" customFormat="1" x14ac:dyDescent="0.4"/>
    <row r="171" s="4" customFormat="1" x14ac:dyDescent="0.4"/>
    <row r="172" s="4" customFormat="1" x14ac:dyDescent="0.4"/>
    <row r="173" s="4" customFormat="1" x14ac:dyDescent="0.4"/>
    <row r="174" s="4" customFormat="1" x14ac:dyDescent="0.4"/>
    <row r="175" s="4" customFormat="1" x14ac:dyDescent="0.4"/>
    <row r="176" s="4" customFormat="1" x14ac:dyDescent="0.4"/>
    <row r="177" s="4" customFormat="1" x14ac:dyDescent="0.4"/>
    <row r="178" s="4" customFormat="1" x14ac:dyDescent="0.4"/>
    <row r="179" s="4" customFormat="1" x14ac:dyDescent="0.4"/>
    <row r="180" s="4" customFormat="1" x14ac:dyDescent="0.4"/>
    <row r="181" s="4" customFormat="1" x14ac:dyDescent="0.4"/>
    <row r="182" s="4" customFormat="1" x14ac:dyDescent="0.4"/>
    <row r="183" s="4" customFormat="1" x14ac:dyDescent="0.4"/>
    <row r="184" s="4" customFormat="1" x14ac:dyDescent="0.4"/>
    <row r="185" s="4" customFormat="1" x14ac:dyDescent="0.4"/>
    <row r="186" s="4" customFormat="1" x14ac:dyDescent="0.4"/>
    <row r="187" s="4" customFormat="1" x14ac:dyDescent="0.4"/>
    <row r="188" s="4" customFormat="1" x14ac:dyDescent="0.4"/>
    <row r="189" s="4" customFormat="1" x14ac:dyDescent="0.4"/>
    <row r="190" s="4" customFormat="1" x14ac:dyDescent="0.4"/>
    <row r="191" s="4" customFormat="1" x14ac:dyDescent="0.4"/>
    <row r="192" s="4" customFormat="1" x14ac:dyDescent="0.4"/>
    <row r="193" s="4" customFormat="1" x14ac:dyDescent="0.4"/>
    <row r="194" s="4" customFormat="1" x14ac:dyDescent="0.4"/>
    <row r="195" s="4" customFormat="1" x14ac:dyDescent="0.4"/>
    <row r="196" s="4" customFormat="1" x14ac:dyDescent="0.4"/>
    <row r="197" s="4" customFormat="1" x14ac:dyDescent="0.4"/>
    <row r="198" s="4" customFormat="1" x14ac:dyDescent="0.4"/>
    <row r="199" s="4" customFormat="1" x14ac:dyDescent="0.4"/>
    <row r="200" s="4" customFormat="1" x14ac:dyDescent="0.4"/>
    <row r="201" s="4" customFormat="1" x14ac:dyDescent="0.4"/>
    <row r="202" s="4" customFormat="1" x14ac:dyDescent="0.4"/>
    <row r="203" s="4" customFormat="1" x14ac:dyDescent="0.4"/>
    <row r="204" s="4" customFormat="1" x14ac:dyDescent="0.4"/>
    <row r="205" s="4" customFormat="1" x14ac:dyDescent="0.4"/>
    <row r="206" s="4" customFormat="1" x14ac:dyDescent="0.4"/>
    <row r="207" s="4" customFormat="1" x14ac:dyDescent="0.4"/>
    <row r="208" s="4" customFormat="1" x14ac:dyDescent="0.4"/>
    <row r="209" s="4" customFormat="1" x14ac:dyDescent="0.4"/>
    <row r="210" s="4" customFormat="1" x14ac:dyDescent="0.4"/>
    <row r="211" s="4" customFormat="1" x14ac:dyDescent="0.4"/>
    <row r="212" s="4" customFormat="1" x14ac:dyDescent="0.4"/>
    <row r="213" s="4" customFormat="1" x14ac:dyDescent="0.4"/>
    <row r="214" s="4" customFormat="1" x14ac:dyDescent="0.4"/>
    <row r="215" s="4" customFormat="1" x14ac:dyDescent="0.4"/>
    <row r="216" s="4" customFormat="1" x14ac:dyDescent="0.4"/>
    <row r="217" s="4" customFormat="1" x14ac:dyDescent="0.4"/>
    <row r="218" s="4" customFormat="1" x14ac:dyDescent="0.4"/>
    <row r="219" s="4" customFormat="1" x14ac:dyDescent="0.4"/>
    <row r="220" s="4" customFormat="1" x14ac:dyDescent="0.4"/>
    <row r="221" s="4" customFormat="1" x14ac:dyDescent="0.4"/>
    <row r="222" s="4" customFormat="1" x14ac:dyDescent="0.4"/>
    <row r="223" s="4" customFormat="1" x14ac:dyDescent="0.4"/>
    <row r="224" s="4" customFormat="1" x14ac:dyDescent="0.4"/>
    <row r="225" s="4" customFormat="1" x14ac:dyDescent="0.4"/>
    <row r="226" s="4" customFormat="1" x14ac:dyDescent="0.4"/>
    <row r="227" s="4" customFormat="1" x14ac:dyDescent="0.4"/>
    <row r="228" s="4" customFormat="1" x14ac:dyDescent="0.4"/>
    <row r="229" s="4" customFormat="1" x14ac:dyDescent="0.4"/>
    <row r="230" s="4" customFormat="1" x14ac:dyDescent="0.4"/>
    <row r="231" s="4" customFormat="1" x14ac:dyDescent="0.4"/>
    <row r="232" s="4" customFormat="1" x14ac:dyDescent="0.4"/>
    <row r="233" s="4" customFormat="1" x14ac:dyDescent="0.4"/>
    <row r="234" s="4" customFormat="1" x14ac:dyDescent="0.4"/>
    <row r="235" s="4" customFormat="1" x14ac:dyDescent="0.4"/>
    <row r="236" s="4" customFormat="1" x14ac:dyDescent="0.4"/>
    <row r="237" s="4" customFormat="1" x14ac:dyDescent="0.4"/>
    <row r="238" s="4" customFormat="1" x14ac:dyDescent="0.4"/>
    <row r="239" s="4" customFormat="1" x14ac:dyDescent="0.4"/>
    <row r="240" s="4" customFormat="1" x14ac:dyDescent="0.4"/>
    <row r="241" s="4" customFormat="1" x14ac:dyDescent="0.4"/>
    <row r="242" s="4" customFormat="1" x14ac:dyDescent="0.4"/>
    <row r="243" s="4" customFormat="1" x14ac:dyDescent="0.4"/>
    <row r="244" s="4" customFormat="1" x14ac:dyDescent="0.4"/>
    <row r="245" s="4" customFormat="1" x14ac:dyDescent="0.4"/>
    <row r="246" s="4" customFormat="1" x14ac:dyDescent="0.4"/>
    <row r="247" s="4" customFormat="1" x14ac:dyDescent="0.4"/>
    <row r="248" s="4" customFormat="1" x14ac:dyDescent="0.4"/>
    <row r="249" s="4" customFormat="1" x14ac:dyDescent="0.4"/>
    <row r="250" s="4" customFormat="1" x14ac:dyDescent="0.4"/>
    <row r="251" s="4" customFormat="1" x14ac:dyDescent="0.4"/>
    <row r="252" s="4" customFormat="1" x14ac:dyDescent="0.4"/>
    <row r="253" s="4" customFormat="1" x14ac:dyDescent="0.4"/>
    <row r="254" s="4" customFormat="1" x14ac:dyDescent="0.4"/>
    <row r="255" s="4" customFormat="1" x14ac:dyDescent="0.4"/>
    <row r="256" s="4" customFormat="1" x14ac:dyDescent="0.4"/>
    <row r="257" s="4" customFormat="1" x14ac:dyDescent="0.4"/>
    <row r="258" s="4" customFormat="1" x14ac:dyDescent="0.4"/>
    <row r="259" s="4" customFormat="1" x14ac:dyDescent="0.4"/>
    <row r="260" s="4" customFormat="1" x14ac:dyDescent="0.4"/>
    <row r="261" s="4" customFormat="1" x14ac:dyDescent="0.4"/>
    <row r="262" s="4" customFormat="1" x14ac:dyDescent="0.4"/>
    <row r="263" s="4" customFormat="1" x14ac:dyDescent="0.4"/>
    <row r="264" s="4" customFormat="1" x14ac:dyDescent="0.4"/>
    <row r="265" s="4" customFormat="1" x14ac:dyDescent="0.4"/>
    <row r="266" s="4" customFormat="1" x14ac:dyDescent="0.4"/>
    <row r="267" s="4" customFormat="1" x14ac:dyDescent="0.4"/>
    <row r="268" s="4" customFormat="1" x14ac:dyDescent="0.4"/>
    <row r="269" s="4" customFormat="1" x14ac:dyDescent="0.4"/>
    <row r="270" s="4" customFormat="1" x14ac:dyDescent="0.4"/>
    <row r="271" s="4" customFormat="1" x14ac:dyDescent="0.4"/>
    <row r="272" s="4" customFormat="1" x14ac:dyDescent="0.4"/>
    <row r="273" s="4" customFormat="1" x14ac:dyDescent="0.4"/>
    <row r="274" s="4" customFormat="1" x14ac:dyDescent="0.4"/>
    <row r="275" s="4" customFormat="1" x14ac:dyDescent="0.4"/>
    <row r="276" s="4" customFormat="1" x14ac:dyDescent="0.4"/>
    <row r="277" s="4" customFormat="1" x14ac:dyDescent="0.4"/>
    <row r="278" s="4" customFormat="1" x14ac:dyDescent="0.4"/>
    <row r="279" s="4" customFormat="1" x14ac:dyDescent="0.4"/>
    <row r="280" s="4" customFormat="1" x14ac:dyDescent="0.4"/>
    <row r="281" s="4" customFormat="1" x14ac:dyDescent="0.4"/>
    <row r="282" s="4" customFormat="1" x14ac:dyDescent="0.4"/>
    <row r="283" s="4" customFormat="1" x14ac:dyDescent="0.4"/>
    <row r="284" s="4" customFormat="1" x14ac:dyDescent="0.4"/>
    <row r="285" s="4" customFormat="1" x14ac:dyDescent="0.4"/>
    <row r="286" s="4" customFormat="1" x14ac:dyDescent="0.4"/>
    <row r="287" s="4" customFormat="1" x14ac:dyDescent="0.4"/>
    <row r="288" s="4" customFormat="1" x14ac:dyDescent="0.4"/>
    <row r="289" s="4" customFormat="1" x14ac:dyDescent="0.4"/>
    <row r="290" s="4" customFormat="1" x14ac:dyDescent="0.4"/>
    <row r="291" s="4" customFormat="1" x14ac:dyDescent="0.4"/>
    <row r="292" s="4" customFormat="1" x14ac:dyDescent="0.4"/>
    <row r="293" s="4" customFormat="1" x14ac:dyDescent="0.4"/>
    <row r="294" s="4" customFormat="1" x14ac:dyDescent="0.4"/>
    <row r="295" s="4" customFormat="1" x14ac:dyDescent="0.4"/>
    <row r="296" s="4" customFormat="1" x14ac:dyDescent="0.4"/>
    <row r="297" s="4" customFormat="1" x14ac:dyDescent="0.4"/>
    <row r="298" s="4" customFormat="1" x14ac:dyDescent="0.4"/>
    <row r="299" s="4" customFormat="1" x14ac:dyDescent="0.4"/>
    <row r="300" s="4" customFormat="1" x14ac:dyDescent="0.4"/>
    <row r="301" s="4" customFormat="1" x14ac:dyDescent="0.4"/>
    <row r="302" s="4" customFormat="1" x14ac:dyDescent="0.4"/>
    <row r="303" s="4" customFormat="1" x14ac:dyDescent="0.4"/>
    <row r="304" s="4" customFormat="1" x14ac:dyDescent="0.4"/>
    <row r="305" s="4" customFormat="1" x14ac:dyDescent="0.4"/>
    <row r="306" s="4" customFormat="1" x14ac:dyDescent="0.4"/>
    <row r="307" s="4" customFormat="1" x14ac:dyDescent="0.4"/>
    <row r="308" s="4" customFormat="1" x14ac:dyDescent="0.4"/>
    <row r="309" s="4" customFormat="1" x14ac:dyDescent="0.4"/>
    <row r="310" s="4" customFormat="1" x14ac:dyDescent="0.4"/>
    <row r="311" s="4" customFormat="1" x14ac:dyDescent="0.4"/>
    <row r="312" s="4" customFormat="1" x14ac:dyDescent="0.4"/>
    <row r="313" s="4" customFormat="1" x14ac:dyDescent="0.4"/>
    <row r="314" s="4" customFormat="1" x14ac:dyDescent="0.4"/>
    <row r="315" s="4" customFormat="1" x14ac:dyDescent="0.4"/>
    <row r="316" s="4" customFormat="1" x14ac:dyDescent="0.4"/>
    <row r="317" s="4" customFormat="1" x14ac:dyDescent="0.4"/>
    <row r="318" s="4" customFormat="1" x14ac:dyDescent="0.4"/>
    <row r="319" s="4" customFormat="1" x14ac:dyDescent="0.4"/>
    <row r="320" s="4" customFormat="1" x14ac:dyDescent="0.4"/>
    <row r="321" s="4" customFormat="1" x14ac:dyDescent="0.4"/>
    <row r="322" s="4" customFormat="1" x14ac:dyDescent="0.4"/>
    <row r="323" s="4" customFormat="1" x14ac:dyDescent="0.4"/>
    <row r="324" s="4" customFormat="1" x14ac:dyDescent="0.4"/>
    <row r="325" s="4" customFormat="1" x14ac:dyDescent="0.4"/>
    <row r="326" s="4" customFormat="1" x14ac:dyDescent="0.4"/>
    <row r="327" s="4" customFormat="1" x14ac:dyDescent="0.4"/>
    <row r="328" s="4" customFormat="1" x14ac:dyDescent="0.4"/>
    <row r="329" s="4" customFormat="1" x14ac:dyDescent="0.4"/>
    <row r="330" s="4" customFormat="1" x14ac:dyDescent="0.4"/>
    <row r="331" s="4" customFormat="1" x14ac:dyDescent="0.4"/>
    <row r="332" s="4" customFormat="1" x14ac:dyDescent="0.4"/>
    <row r="333" s="4" customFormat="1" x14ac:dyDescent="0.4"/>
    <row r="334" s="4" customFormat="1" x14ac:dyDescent="0.4"/>
    <row r="335" s="4" customFormat="1" x14ac:dyDescent="0.4"/>
    <row r="336" s="4" customFormat="1" x14ac:dyDescent="0.4"/>
    <row r="337" s="4" customFormat="1" x14ac:dyDescent="0.4"/>
    <row r="338" s="4" customFormat="1" x14ac:dyDescent="0.4"/>
    <row r="339" s="4" customFormat="1" x14ac:dyDescent="0.4"/>
    <row r="340" s="4" customFormat="1" x14ac:dyDescent="0.4"/>
    <row r="341" s="4" customFormat="1" x14ac:dyDescent="0.4"/>
    <row r="342" s="4" customFormat="1" x14ac:dyDescent="0.4"/>
    <row r="343" s="4" customFormat="1" x14ac:dyDescent="0.4"/>
    <row r="344" s="4" customFormat="1" x14ac:dyDescent="0.4"/>
    <row r="345" s="4" customFormat="1" x14ac:dyDescent="0.4"/>
    <row r="346" s="4" customFormat="1" x14ac:dyDescent="0.4"/>
    <row r="347" s="4" customFormat="1" x14ac:dyDescent="0.4"/>
    <row r="348" s="4" customFormat="1" x14ac:dyDescent="0.4"/>
    <row r="349" s="4" customFormat="1" x14ac:dyDescent="0.4"/>
    <row r="350" s="4" customFormat="1" x14ac:dyDescent="0.4"/>
    <row r="351" s="4" customFormat="1" x14ac:dyDescent="0.4"/>
    <row r="352" s="4" customFormat="1" x14ac:dyDescent="0.4"/>
    <row r="353" s="4" customFormat="1" x14ac:dyDescent="0.4"/>
    <row r="354" s="4" customFormat="1" x14ac:dyDescent="0.4"/>
    <row r="355" s="4" customFormat="1" x14ac:dyDescent="0.4"/>
    <row r="356" s="4" customFormat="1" x14ac:dyDescent="0.4"/>
    <row r="357" s="4" customFormat="1" x14ac:dyDescent="0.4"/>
    <row r="358" s="4" customFormat="1" x14ac:dyDescent="0.4"/>
    <row r="359" s="4" customFormat="1" x14ac:dyDescent="0.4"/>
    <row r="360" s="4" customFormat="1" x14ac:dyDescent="0.4"/>
    <row r="361" s="4" customFormat="1" x14ac:dyDescent="0.4"/>
    <row r="362" s="4" customFormat="1" x14ac:dyDescent="0.4"/>
    <row r="363" s="4" customFormat="1" x14ac:dyDescent="0.4"/>
    <row r="364" s="4" customFormat="1" x14ac:dyDescent="0.4"/>
    <row r="365" s="4" customFormat="1" x14ac:dyDescent="0.4"/>
    <row r="366" s="4" customFormat="1" x14ac:dyDescent="0.4"/>
    <row r="367" s="4" customFormat="1" x14ac:dyDescent="0.4"/>
    <row r="368" s="4" customFormat="1" x14ac:dyDescent="0.4"/>
    <row r="369" s="4" customFormat="1" x14ac:dyDescent="0.4"/>
    <row r="370" s="4" customFormat="1" x14ac:dyDescent="0.4"/>
    <row r="371" s="4" customFormat="1" x14ac:dyDescent="0.4"/>
    <row r="372" s="4" customFormat="1" x14ac:dyDescent="0.4"/>
    <row r="373" s="4" customFormat="1" x14ac:dyDescent="0.4"/>
    <row r="374" s="4" customFormat="1" x14ac:dyDescent="0.4"/>
    <row r="375" s="4" customFormat="1" x14ac:dyDescent="0.4"/>
    <row r="376" s="4" customFormat="1" x14ac:dyDescent="0.4"/>
    <row r="377" s="4" customFormat="1" x14ac:dyDescent="0.4"/>
    <row r="378" s="4" customFormat="1" x14ac:dyDescent="0.4"/>
    <row r="379" s="4" customFormat="1" x14ac:dyDescent="0.4"/>
    <row r="380" s="4" customFormat="1" x14ac:dyDescent="0.4"/>
    <row r="381" s="4" customFormat="1" x14ac:dyDescent="0.4"/>
    <row r="382" s="4" customFormat="1" x14ac:dyDescent="0.4"/>
    <row r="383" s="4" customFormat="1" x14ac:dyDescent="0.4"/>
    <row r="384" s="4" customFormat="1" x14ac:dyDescent="0.4"/>
    <row r="385" s="4" customFormat="1" x14ac:dyDescent="0.4"/>
    <row r="386" s="4" customFormat="1" x14ac:dyDescent="0.4"/>
    <row r="387" s="4" customFormat="1" x14ac:dyDescent="0.4"/>
    <row r="388" s="4" customFormat="1" x14ac:dyDescent="0.4"/>
    <row r="389" s="4" customFormat="1" x14ac:dyDescent="0.4"/>
    <row r="390" s="4" customFormat="1" x14ac:dyDescent="0.4"/>
    <row r="391" s="4" customFormat="1" x14ac:dyDescent="0.4"/>
    <row r="392" s="4" customFormat="1" x14ac:dyDescent="0.4"/>
    <row r="393" s="4" customFormat="1" x14ac:dyDescent="0.4"/>
    <row r="394" s="4" customFormat="1" x14ac:dyDescent="0.4"/>
    <row r="395" s="4" customFormat="1" x14ac:dyDescent="0.4"/>
    <row r="396" s="4" customFormat="1" x14ac:dyDescent="0.4"/>
    <row r="397" s="4" customFormat="1" x14ac:dyDescent="0.4"/>
    <row r="398" s="4" customFormat="1" x14ac:dyDescent="0.4"/>
    <row r="399" s="4" customFormat="1" x14ac:dyDescent="0.4"/>
    <row r="400" s="4" customFormat="1" x14ac:dyDescent="0.4"/>
    <row r="401" s="4" customFormat="1" x14ac:dyDescent="0.4"/>
    <row r="402" s="4" customFormat="1" x14ac:dyDescent="0.4"/>
    <row r="403" s="4" customFormat="1" x14ac:dyDescent="0.4"/>
    <row r="404" s="4" customFormat="1" x14ac:dyDescent="0.4"/>
    <row r="405" s="4" customFormat="1" x14ac:dyDescent="0.4"/>
    <row r="406" s="4" customFormat="1" x14ac:dyDescent="0.4"/>
    <row r="407" s="4" customFormat="1" x14ac:dyDescent="0.4"/>
    <row r="408" s="4" customFormat="1" x14ac:dyDescent="0.4"/>
    <row r="409" s="4" customFormat="1" x14ac:dyDescent="0.4"/>
    <row r="410" s="4" customFormat="1" x14ac:dyDescent="0.4"/>
    <row r="411" s="4" customFormat="1" x14ac:dyDescent="0.4"/>
    <row r="412" s="4" customFormat="1" x14ac:dyDescent="0.4"/>
    <row r="413" s="4" customFormat="1" x14ac:dyDescent="0.4"/>
    <row r="414" s="4" customFormat="1" x14ac:dyDescent="0.4"/>
    <row r="415" s="4" customFormat="1" x14ac:dyDescent="0.4"/>
    <row r="416" s="4" customFormat="1" x14ac:dyDescent="0.4"/>
    <row r="417" s="4" customFormat="1" x14ac:dyDescent="0.4"/>
    <row r="418" s="4" customFormat="1" x14ac:dyDescent="0.4"/>
    <row r="419" s="4" customFormat="1" x14ac:dyDescent="0.4"/>
    <row r="420" s="4" customFormat="1" x14ac:dyDescent="0.4"/>
    <row r="421" s="4" customFormat="1" x14ac:dyDescent="0.4"/>
    <row r="422" s="4" customFormat="1" x14ac:dyDescent="0.4"/>
    <row r="423" s="4" customFormat="1" x14ac:dyDescent="0.4"/>
    <row r="424" s="4" customFormat="1" x14ac:dyDescent="0.4"/>
    <row r="425" s="4" customFormat="1" x14ac:dyDescent="0.4"/>
    <row r="426" s="4" customFormat="1" x14ac:dyDescent="0.4"/>
    <row r="427" s="4" customFormat="1" x14ac:dyDescent="0.4"/>
    <row r="428" s="4" customFormat="1" x14ac:dyDescent="0.4"/>
    <row r="429" s="4" customFormat="1" x14ac:dyDescent="0.4"/>
    <row r="430" s="4" customFormat="1" x14ac:dyDescent="0.4"/>
    <row r="431" s="4" customFormat="1" x14ac:dyDescent="0.4"/>
    <row r="432" s="4" customFormat="1" x14ac:dyDescent="0.4"/>
    <row r="433" s="4" customFormat="1" x14ac:dyDescent="0.4"/>
    <row r="434" s="4" customFormat="1" x14ac:dyDescent="0.4"/>
    <row r="435" s="4" customFormat="1" x14ac:dyDescent="0.4"/>
    <row r="436" s="4" customFormat="1" x14ac:dyDescent="0.4"/>
    <row r="437" s="4" customFormat="1" x14ac:dyDescent="0.4"/>
    <row r="438" s="4" customFormat="1" x14ac:dyDescent="0.4"/>
    <row r="439" s="4" customFormat="1" x14ac:dyDescent="0.4"/>
    <row r="440" s="4" customFormat="1" x14ac:dyDescent="0.4"/>
    <row r="441" s="4" customFormat="1" x14ac:dyDescent="0.4"/>
    <row r="442" s="4" customFormat="1" x14ac:dyDescent="0.4"/>
    <row r="443" s="4" customFormat="1" x14ac:dyDescent="0.4"/>
    <row r="444" s="4" customFormat="1" x14ac:dyDescent="0.4"/>
    <row r="445" s="4" customFormat="1" x14ac:dyDescent="0.4"/>
    <row r="446" s="4" customFormat="1" x14ac:dyDescent="0.4"/>
    <row r="447" s="4" customFormat="1" x14ac:dyDescent="0.4"/>
    <row r="448" s="4" customFormat="1" x14ac:dyDescent="0.4"/>
    <row r="449" s="4" customFormat="1" x14ac:dyDescent="0.4"/>
    <row r="450" s="4" customFormat="1" x14ac:dyDescent="0.4"/>
    <row r="451" s="4" customFormat="1" x14ac:dyDescent="0.4"/>
    <row r="452" s="4" customFormat="1" x14ac:dyDescent="0.4"/>
    <row r="453" s="4" customFormat="1" x14ac:dyDescent="0.4"/>
    <row r="454" s="4" customFormat="1" x14ac:dyDescent="0.4"/>
    <row r="455" s="4" customFormat="1" x14ac:dyDescent="0.4"/>
    <row r="456" s="4" customFormat="1" x14ac:dyDescent="0.4"/>
    <row r="457" s="4" customFormat="1" x14ac:dyDescent="0.4"/>
    <row r="458" s="4" customFormat="1" x14ac:dyDescent="0.4"/>
    <row r="459" s="4" customFormat="1" x14ac:dyDescent="0.4"/>
    <row r="460" s="4" customFormat="1" x14ac:dyDescent="0.4"/>
    <row r="461" s="4" customFormat="1" x14ac:dyDescent="0.4"/>
    <row r="462" s="4" customFormat="1" x14ac:dyDescent="0.4"/>
    <row r="463" s="4" customFormat="1" x14ac:dyDescent="0.4"/>
    <row r="464" s="4" customFormat="1" x14ac:dyDescent="0.4"/>
    <row r="465" s="4" customFormat="1" x14ac:dyDescent="0.4"/>
    <row r="466" s="4" customFormat="1" x14ac:dyDescent="0.4"/>
    <row r="467" s="4" customFormat="1" x14ac:dyDescent="0.4"/>
    <row r="468" s="4" customFormat="1" x14ac:dyDescent="0.4"/>
    <row r="469" s="4" customFormat="1" x14ac:dyDescent="0.4"/>
    <row r="470" s="4" customFormat="1" x14ac:dyDescent="0.4"/>
    <row r="471" s="4" customFormat="1" x14ac:dyDescent="0.4"/>
    <row r="472" s="4" customFormat="1" x14ac:dyDescent="0.4"/>
    <row r="473" s="4" customFormat="1" x14ac:dyDescent="0.4"/>
    <row r="474" s="4" customFormat="1" x14ac:dyDescent="0.4"/>
    <row r="475" s="4" customFormat="1" x14ac:dyDescent="0.4"/>
    <row r="476" s="4" customFormat="1" x14ac:dyDescent="0.4"/>
    <row r="477" s="4" customFormat="1" x14ac:dyDescent="0.4"/>
    <row r="478" s="4" customFormat="1" x14ac:dyDescent="0.4"/>
    <row r="479" s="4" customFormat="1" x14ac:dyDescent="0.4"/>
    <row r="480" s="4" customFormat="1" x14ac:dyDescent="0.4"/>
    <row r="481" s="4" customFormat="1" x14ac:dyDescent="0.4"/>
    <row r="482" s="4" customFormat="1" x14ac:dyDescent="0.4"/>
    <row r="483" s="4" customFormat="1" x14ac:dyDescent="0.4"/>
    <row r="484" s="4" customFormat="1" x14ac:dyDescent="0.4"/>
    <row r="485" s="4" customFormat="1" x14ac:dyDescent="0.4"/>
    <row r="486" s="4" customFormat="1" x14ac:dyDescent="0.4"/>
    <row r="487" s="4" customFormat="1" x14ac:dyDescent="0.4"/>
    <row r="488" s="4" customFormat="1" x14ac:dyDescent="0.4"/>
    <row r="489" s="4" customFormat="1" x14ac:dyDescent="0.4"/>
    <row r="490" s="4" customFormat="1" x14ac:dyDescent="0.4"/>
    <row r="491" s="4" customFormat="1" x14ac:dyDescent="0.4"/>
    <row r="492" s="4" customFormat="1" x14ac:dyDescent="0.4"/>
    <row r="493" s="4" customFormat="1" x14ac:dyDescent="0.4"/>
    <row r="494" s="4" customFormat="1" x14ac:dyDescent="0.4"/>
    <row r="495" s="4" customFormat="1" x14ac:dyDescent="0.4"/>
    <row r="496" s="4" customFormat="1" x14ac:dyDescent="0.4"/>
    <row r="497" s="4" customFormat="1" x14ac:dyDescent="0.4"/>
    <row r="498" s="4" customFormat="1" x14ac:dyDescent="0.4"/>
    <row r="499" s="4" customFormat="1" x14ac:dyDescent="0.4"/>
    <row r="500" s="4" customFormat="1" x14ac:dyDescent="0.4"/>
    <row r="501" s="4" customFormat="1" x14ac:dyDescent="0.4"/>
    <row r="502" s="4" customFormat="1" x14ac:dyDescent="0.4"/>
    <row r="503" s="4" customFormat="1" x14ac:dyDescent="0.4"/>
    <row r="504" s="4" customFormat="1" x14ac:dyDescent="0.4"/>
    <row r="505" s="4" customFormat="1" x14ac:dyDescent="0.4"/>
    <row r="506" s="4" customFormat="1" x14ac:dyDescent="0.4"/>
    <row r="507" s="4" customFormat="1" x14ac:dyDescent="0.4"/>
    <row r="508" s="4" customFormat="1" x14ac:dyDescent="0.4"/>
    <row r="509" s="4" customFormat="1" x14ac:dyDescent="0.4"/>
    <row r="510" s="4" customFormat="1" x14ac:dyDescent="0.4"/>
    <row r="511" s="4" customFormat="1" x14ac:dyDescent="0.4"/>
    <row r="512" s="4" customFormat="1" x14ac:dyDescent="0.4"/>
    <row r="513" s="4" customFormat="1" x14ac:dyDescent="0.4"/>
    <row r="514" s="4" customFormat="1" x14ac:dyDescent="0.4"/>
    <row r="515" s="4" customFormat="1" x14ac:dyDescent="0.4"/>
    <row r="516" s="4" customFormat="1" x14ac:dyDescent="0.4"/>
    <row r="517" s="4" customFormat="1" x14ac:dyDescent="0.4"/>
    <row r="518" s="4" customFormat="1" x14ac:dyDescent="0.4"/>
    <row r="519" s="4" customFormat="1" x14ac:dyDescent="0.4"/>
    <row r="520" s="4" customFormat="1" x14ac:dyDescent="0.4"/>
    <row r="521" s="4" customFormat="1" x14ac:dyDescent="0.4"/>
    <row r="522" s="4" customFormat="1" x14ac:dyDescent="0.4"/>
    <row r="523" s="4" customFormat="1" x14ac:dyDescent="0.4"/>
    <row r="524" s="4" customFormat="1" x14ac:dyDescent="0.4"/>
    <row r="525" s="4" customFormat="1" x14ac:dyDescent="0.4"/>
    <row r="526" s="4" customFormat="1" x14ac:dyDescent="0.4"/>
    <row r="527" s="4" customFormat="1" x14ac:dyDescent="0.4"/>
    <row r="528" s="4" customFormat="1" x14ac:dyDescent="0.4"/>
    <row r="529" s="4" customFormat="1" x14ac:dyDescent="0.4"/>
    <row r="530" s="4" customFormat="1" x14ac:dyDescent="0.4"/>
    <row r="531" s="4" customFormat="1" x14ac:dyDescent="0.4"/>
    <row r="532" s="4" customFormat="1" x14ac:dyDescent="0.4"/>
    <row r="533" s="4" customFormat="1" x14ac:dyDescent="0.4"/>
    <row r="534" s="4" customFormat="1" x14ac:dyDescent="0.4"/>
    <row r="535" s="4" customFormat="1" x14ac:dyDescent="0.4"/>
    <row r="536" s="4" customFormat="1" x14ac:dyDescent="0.4"/>
    <row r="537" s="4" customFormat="1" x14ac:dyDescent="0.4"/>
    <row r="538" s="4" customFormat="1" x14ac:dyDescent="0.4"/>
    <row r="539" s="4" customFormat="1" x14ac:dyDescent="0.4"/>
    <row r="540" s="4" customFormat="1" x14ac:dyDescent="0.4"/>
    <row r="541" s="4" customFormat="1" x14ac:dyDescent="0.4"/>
    <row r="542" s="4" customFormat="1" x14ac:dyDescent="0.4"/>
    <row r="543" s="4" customFormat="1" x14ac:dyDescent="0.4"/>
    <row r="544" s="4" customFormat="1" x14ac:dyDescent="0.4"/>
    <row r="545" s="4" customFormat="1" x14ac:dyDescent="0.4"/>
    <row r="546" s="4" customFormat="1" x14ac:dyDescent="0.4"/>
    <row r="547" s="4" customFormat="1" x14ac:dyDescent="0.4"/>
    <row r="548" s="4" customFormat="1" x14ac:dyDescent="0.4"/>
    <row r="549" s="4" customFormat="1" x14ac:dyDescent="0.4"/>
    <row r="550" s="4" customFormat="1" x14ac:dyDescent="0.4"/>
    <row r="551" s="4" customFormat="1" x14ac:dyDescent="0.4"/>
    <row r="552" s="4" customFormat="1" x14ac:dyDescent="0.4"/>
    <row r="553" s="4" customFormat="1" x14ac:dyDescent="0.4"/>
    <row r="554" s="4" customFormat="1" x14ac:dyDescent="0.4"/>
    <row r="555" s="4" customFormat="1" x14ac:dyDescent="0.4"/>
    <row r="556" s="4" customFormat="1" x14ac:dyDescent="0.4"/>
    <row r="557" s="4" customFormat="1" x14ac:dyDescent="0.4"/>
    <row r="558" s="4" customFormat="1" x14ac:dyDescent="0.4"/>
    <row r="559" s="4" customFormat="1" x14ac:dyDescent="0.4"/>
    <row r="560" s="4" customFormat="1" x14ac:dyDescent="0.4"/>
    <row r="561" s="4" customFormat="1" x14ac:dyDescent="0.4"/>
    <row r="562" s="4" customFormat="1" x14ac:dyDescent="0.4"/>
    <row r="563" s="4" customFormat="1" x14ac:dyDescent="0.4"/>
    <row r="564" s="4" customFormat="1" x14ac:dyDescent="0.4"/>
    <row r="565" s="4" customFormat="1" x14ac:dyDescent="0.4"/>
    <row r="566" s="4" customFormat="1" x14ac:dyDescent="0.4"/>
    <row r="567" s="4" customFormat="1" x14ac:dyDescent="0.4"/>
    <row r="568" s="4" customFormat="1" x14ac:dyDescent="0.4"/>
    <row r="569" s="4" customFormat="1" x14ac:dyDescent="0.4"/>
    <row r="570" s="4" customFormat="1" x14ac:dyDescent="0.4"/>
    <row r="571" s="4" customFormat="1" x14ac:dyDescent="0.4"/>
    <row r="572" s="4" customFormat="1" x14ac:dyDescent="0.4"/>
    <row r="573" s="4" customFormat="1" x14ac:dyDescent="0.4"/>
    <row r="574" s="4" customFormat="1" x14ac:dyDescent="0.4"/>
    <row r="575" s="4" customFormat="1" x14ac:dyDescent="0.4"/>
    <row r="576" s="4" customFormat="1" x14ac:dyDescent="0.4"/>
    <row r="577" s="4" customFormat="1" x14ac:dyDescent="0.4"/>
    <row r="578" s="4" customFormat="1" x14ac:dyDescent="0.4"/>
    <row r="579" s="4" customFormat="1" x14ac:dyDescent="0.4"/>
    <row r="580" s="4" customFormat="1" x14ac:dyDescent="0.4"/>
    <row r="581" s="4" customFormat="1" x14ac:dyDescent="0.4"/>
    <row r="582" s="4" customFormat="1" x14ac:dyDescent="0.4"/>
    <row r="583" s="4" customFormat="1" x14ac:dyDescent="0.4"/>
    <row r="584" s="4" customFormat="1" x14ac:dyDescent="0.4"/>
    <row r="585" s="4" customFormat="1" x14ac:dyDescent="0.4"/>
    <row r="586" s="4" customFormat="1" x14ac:dyDescent="0.4"/>
    <row r="587" s="4" customFormat="1" x14ac:dyDescent="0.4"/>
    <row r="588" s="4" customFormat="1" x14ac:dyDescent="0.4"/>
    <row r="589" s="4" customFormat="1" x14ac:dyDescent="0.4"/>
    <row r="590" s="4" customFormat="1" x14ac:dyDescent="0.4"/>
    <row r="591" s="4" customFormat="1" x14ac:dyDescent="0.4"/>
    <row r="592" s="4" customFormat="1" x14ac:dyDescent="0.4"/>
    <row r="593" s="4" customFormat="1" x14ac:dyDescent="0.4"/>
    <row r="594" s="4" customFormat="1" x14ac:dyDescent="0.4"/>
    <row r="595" s="4" customFormat="1" x14ac:dyDescent="0.4"/>
    <row r="596" s="4" customFormat="1" x14ac:dyDescent="0.4"/>
    <row r="597" s="4" customFormat="1" x14ac:dyDescent="0.4"/>
    <row r="598" s="4" customFormat="1" x14ac:dyDescent="0.4"/>
    <row r="599" s="4" customFormat="1" x14ac:dyDescent="0.4"/>
    <row r="600" s="4" customFormat="1" x14ac:dyDescent="0.4"/>
    <row r="601" s="4" customFormat="1" x14ac:dyDescent="0.4"/>
    <row r="602" s="4" customFormat="1" x14ac:dyDescent="0.4"/>
    <row r="603" s="4" customFormat="1" x14ac:dyDescent="0.4"/>
    <row r="604" s="4" customFormat="1" x14ac:dyDescent="0.4"/>
    <row r="605" s="4" customFormat="1" x14ac:dyDescent="0.4"/>
    <row r="606" s="4" customFormat="1" x14ac:dyDescent="0.4"/>
    <row r="607" s="4" customFormat="1" x14ac:dyDescent="0.4"/>
    <row r="608" s="4" customFormat="1" x14ac:dyDescent="0.4"/>
    <row r="609" s="4" customFormat="1" x14ac:dyDescent="0.4"/>
    <row r="610" s="4" customFormat="1" x14ac:dyDescent="0.4"/>
    <row r="611" s="4" customFormat="1" x14ac:dyDescent="0.4"/>
    <row r="612" s="4" customFormat="1" x14ac:dyDescent="0.4"/>
    <row r="613" s="4" customFormat="1" x14ac:dyDescent="0.4"/>
    <row r="614" s="4" customFormat="1" x14ac:dyDescent="0.4"/>
    <row r="615" s="4" customFormat="1" x14ac:dyDescent="0.4"/>
    <row r="616" s="4" customFormat="1" x14ac:dyDescent="0.4"/>
    <row r="617" s="4" customFormat="1" x14ac:dyDescent="0.4"/>
    <row r="618" s="4" customFormat="1" x14ac:dyDescent="0.4"/>
    <row r="619" s="4" customFormat="1" x14ac:dyDescent="0.4"/>
    <row r="620" s="4" customFormat="1" x14ac:dyDescent="0.4"/>
    <row r="621" s="4" customFormat="1" x14ac:dyDescent="0.4"/>
    <row r="622" s="4" customFormat="1" x14ac:dyDescent="0.4"/>
    <row r="623" s="4" customFormat="1" x14ac:dyDescent="0.4"/>
    <row r="624" s="4" customFormat="1" x14ac:dyDescent="0.4"/>
    <row r="625" s="4" customFormat="1" x14ac:dyDescent="0.4"/>
    <row r="626" s="4" customFormat="1" x14ac:dyDescent="0.4"/>
    <row r="627" s="4" customFormat="1" x14ac:dyDescent="0.4"/>
    <row r="628" s="4" customFormat="1" x14ac:dyDescent="0.4"/>
    <row r="629" s="4" customFormat="1" x14ac:dyDescent="0.4"/>
    <row r="630" s="4" customFormat="1" x14ac:dyDescent="0.4"/>
    <row r="631" s="4" customFormat="1" x14ac:dyDescent="0.4"/>
    <row r="632" s="4" customFormat="1" x14ac:dyDescent="0.4"/>
    <row r="633" s="4" customFormat="1" x14ac:dyDescent="0.4"/>
    <row r="634" s="4" customFormat="1" x14ac:dyDescent="0.4"/>
    <row r="635" s="4" customFormat="1" x14ac:dyDescent="0.4"/>
    <row r="636" s="4" customFormat="1" x14ac:dyDescent="0.4"/>
    <row r="637" s="4" customFormat="1" x14ac:dyDescent="0.4"/>
    <row r="638" s="4" customFormat="1" x14ac:dyDescent="0.4"/>
    <row r="639" s="4" customFormat="1" x14ac:dyDescent="0.4"/>
    <row r="640" s="4" customFormat="1" x14ac:dyDescent="0.4"/>
    <row r="641" s="4" customFormat="1" x14ac:dyDescent="0.4"/>
    <row r="642" s="4" customFormat="1" x14ac:dyDescent="0.4"/>
    <row r="643" s="4" customFormat="1" x14ac:dyDescent="0.4"/>
    <row r="644" s="4" customFormat="1" x14ac:dyDescent="0.4"/>
    <row r="645" s="4" customFormat="1" x14ac:dyDescent="0.4"/>
    <row r="646" s="4" customFormat="1" x14ac:dyDescent="0.4"/>
    <row r="647" s="4" customFormat="1" x14ac:dyDescent="0.4"/>
    <row r="648" s="4" customFormat="1" x14ac:dyDescent="0.4"/>
    <row r="649" s="4" customFormat="1" x14ac:dyDescent="0.4"/>
    <row r="650" s="4" customFormat="1" x14ac:dyDescent="0.4"/>
    <row r="651" s="4" customFormat="1" x14ac:dyDescent="0.4"/>
    <row r="652" s="4" customFormat="1" x14ac:dyDescent="0.4"/>
    <row r="653" s="4" customFormat="1" x14ac:dyDescent="0.4"/>
    <row r="654" s="4" customFormat="1" x14ac:dyDescent="0.4"/>
    <row r="655" s="4" customFormat="1" x14ac:dyDescent="0.4"/>
    <row r="656" s="4" customFormat="1" x14ac:dyDescent="0.4"/>
    <row r="657" s="4" customFormat="1" x14ac:dyDescent="0.4"/>
    <row r="658" s="4" customFormat="1" x14ac:dyDescent="0.4"/>
    <row r="659" s="4" customFormat="1" x14ac:dyDescent="0.4"/>
    <row r="660" s="4" customFormat="1" x14ac:dyDescent="0.4"/>
    <row r="661" s="4" customFormat="1" x14ac:dyDescent="0.4"/>
    <row r="662" s="4" customFormat="1" x14ac:dyDescent="0.4"/>
    <row r="663" s="4" customFormat="1" x14ac:dyDescent="0.4"/>
    <row r="664" s="4" customFormat="1" x14ac:dyDescent="0.4"/>
    <row r="665" s="4" customFormat="1" x14ac:dyDescent="0.4"/>
    <row r="666" s="4" customFormat="1" x14ac:dyDescent="0.4"/>
    <row r="667" s="4" customFormat="1" x14ac:dyDescent="0.4"/>
    <row r="668" s="4" customFormat="1" x14ac:dyDescent="0.4"/>
    <row r="669" s="4" customFormat="1" x14ac:dyDescent="0.4"/>
    <row r="670" s="4" customFormat="1" x14ac:dyDescent="0.4"/>
    <row r="671" s="4" customFormat="1" x14ac:dyDescent="0.4"/>
    <row r="672" s="4" customFormat="1" x14ac:dyDescent="0.4"/>
    <row r="673" s="4" customFormat="1" x14ac:dyDescent="0.4"/>
    <row r="674" s="4" customFormat="1" x14ac:dyDescent="0.4"/>
    <row r="675" s="4" customFormat="1" x14ac:dyDescent="0.4"/>
    <row r="676" s="4" customFormat="1" x14ac:dyDescent="0.4"/>
    <row r="677" s="4" customFormat="1" x14ac:dyDescent="0.4"/>
    <row r="678" s="4" customFormat="1" x14ac:dyDescent="0.4"/>
    <row r="679" s="4" customFormat="1" x14ac:dyDescent="0.4"/>
    <row r="680" s="4" customFormat="1" x14ac:dyDescent="0.4"/>
    <row r="681" s="4" customFormat="1" x14ac:dyDescent="0.4"/>
    <row r="682" s="4" customFormat="1" x14ac:dyDescent="0.4"/>
    <row r="683" s="4" customFormat="1" x14ac:dyDescent="0.4"/>
    <row r="684" s="4" customFormat="1" x14ac:dyDescent="0.4"/>
    <row r="685" s="4" customFormat="1" x14ac:dyDescent="0.4"/>
    <row r="686" s="4" customFormat="1" x14ac:dyDescent="0.4"/>
    <row r="687" s="4" customFormat="1" x14ac:dyDescent="0.4"/>
    <row r="688" s="4" customFormat="1" x14ac:dyDescent="0.4"/>
    <row r="689" s="4" customFormat="1" x14ac:dyDescent="0.4"/>
    <row r="690" s="4" customFormat="1" x14ac:dyDescent="0.4"/>
    <row r="691" s="4" customFormat="1" x14ac:dyDescent="0.4"/>
    <row r="692" s="4" customFormat="1" x14ac:dyDescent="0.4"/>
    <row r="693" s="4" customFormat="1" x14ac:dyDescent="0.4"/>
    <row r="694" s="4" customFormat="1" x14ac:dyDescent="0.4"/>
    <row r="695" s="4" customFormat="1" x14ac:dyDescent="0.4"/>
    <row r="696" s="4" customFormat="1" x14ac:dyDescent="0.4"/>
    <row r="697" s="4" customFormat="1" x14ac:dyDescent="0.4"/>
    <row r="698" s="4" customFormat="1" x14ac:dyDescent="0.4"/>
    <row r="699" s="4" customFormat="1" x14ac:dyDescent="0.4"/>
    <row r="700" s="4" customFormat="1" x14ac:dyDescent="0.4"/>
    <row r="701" s="4" customFormat="1" x14ac:dyDescent="0.4"/>
    <row r="702" s="4" customFormat="1" x14ac:dyDescent="0.4"/>
    <row r="703" s="4" customFormat="1" x14ac:dyDescent="0.4"/>
    <row r="704" s="4" customFormat="1" x14ac:dyDescent="0.4"/>
    <row r="705" s="4" customFormat="1" x14ac:dyDescent="0.4"/>
    <row r="706" s="4" customFormat="1" x14ac:dyDescent="0.4"/>
    <row r="707" s="4" customFormat="1" x14ac:dyDescent="0.4"/>
    <row r="708" s="4" customFormat="1" x14ac:dyDescent="0.4"/>
    <row r="709" s="4" customFormat="1" x14ac:dyDescent="0.4"/>
    <row r="710" s="4" customFormat="1" x14ac:dyDescent="0.4"/>
    <row r="711" s="4" customFormat="1" x14ac:dyDescent="0.4"/>
    <row r="712" s="4" customFormat="1" x14ac:dyDescent="0.4"/>
    <row r="713" s="4" customFormat="1" x14ac:dyDescent="0.4"/>
    <row r="714" s="4" customFormat="1" x14ac:dyDescent="0.4"/>
    <row r="715" s="4" customFormat="1" x14ac:dyDescent="0.4"/>
    <row r="716" s="4" customFormat="1" x14ac:dyDescent="0.4"/>
    <row r="717" s="4" customFormat="1" x14ac:dyDescent="0.4"/>
    <row r="718" s="4" customFormat="1" x14ac:dyDescent="0.4"/>
    <row r="719" s="4" customFormat="1" x14ac:dyDescent="0.4"/>
    <row r="720" s="4" customFormat="1" x14ac:dyDescent="0.4"/>
    <row r="721" s="4" customFormat="1" x14ac:dyDescent="0.4"/>
    <row r="722" s="4" customFormat="1" x14ac:dyDescent="0.4"/>
    <row r="723" s="4" customFormat="1" x14ac:dyDescent="0.4"/>
    <row r="724" s="4" customFormat="1" x14ac:dyDescent="0.4"/>
    <row r="725" s="4" customFormat="1" x14ac:dyDescent="0.4"/>
    <row r="726" s="4" customFormat="1" x14ac:dyDescent="0.4"/>
    <row r="727" s="4" customFormat="1" x14ac:dyDescent="0.4"/>
    <row r="728" s="4" customFormat="1" x14ac:dyDescent="0.4"/>
    <row r="729" s="4" customFormat="1" x14ac:dyDescent="0.4"/>
    <row r="730" s="4" customFormat="1" x14ac:dyDescent="0.4"/>
    <row r="731" s="4" customFormat="1" x14ac:dyDescent="0.4"/>
    <row r="732" s="4" customFormat="1" x14ac:dyDescent="0.4"/>
    <row r="733" s="4" customFormat="1" x14ac:dyDescent="0.4"/>
    <row r="734" s="4" customFormat="1" x14ac:dyDescent="0.4"/>
    <row r="735" s="4" customFormat="1" x14ac:dyDescent="0.4"/>
    <row r="736" s="4" customFormat="1" x14ac:dyDescent="0.4"/>
    <row r="737" s="4" customFormat="1" x14ac:dyDescent="0.4"/>
    <row r="738" s="4" customFormat="1" x14ac:dyDescent="0.4"/>
    <row r="739" s="4" customFormat="1" x14ac:dyDescent="0.4"/>
    <row r="740" s="4" customFormat="1" x14ac:dyDescent="0.4"/>
    <row r="741" s="4" customFormat="1" x14ac:dyDescent="0.4"/>
    <row r="742" s="4" customFormat="1" x14ac:dyDescent="0.4"/>
    <row r="743" s="4" customFormat="1" x14ac:dyDescent="0.4"/>
    <row r="744" s="4" customFormat="1" x14ac:dyDescent="0.4"/>
    <row r="745" s="4" customFormat="1" x14ac:dyDescent="0.4"/>
    <row r="746" s="4" customFormat="1" x14ac:dyDescent="0.4"/>
    <row r="747" s="4" customFormat="1" x14ac:dyDescent="0.4"/>
    <row r="748" s="4" customFormat="1" x14ac:dyDescent="0.4"/>
    <row r="749" s="4" customFormat="1" x14ac:dyDescent="0.4"/>
    <row r="750" s="4" customFormat="1" x14ac:dyDescent="0.4"/>
    <row r="751" s="4" customFormat="1" x14ac:dyDescent="0.4"/>
    <row r="752" s="4" customFormat="1" x14ac:dyDescent="0.4"/>
    <row r="753" s="4" customFormat="1" x14ac:dyDescent="0.4"/>
    <row r="754" s="4" customFormat="1" x14ac:dyDescent="0.4"/>
    <row r="755" s="4" customFormat="1" x14ac:dyDescent="0.4"/>
    <row r="756" s="4" customFormat="1" x14ac:dyDescent="0.4"/>
    <row r="757" s="4" customFormat="1" x14ac:dyDescent="0.4"/>
    <row r="758" s="4" customFormat="1" x14ac:dyDescent="0.4"/>
    <row r="759" s="4" customFormat="1" x14ac:dyDescent="0.4"/>
    <row r="760" s="4" customFormat="1" x14ac:dyDescent="0.4"/>
    <row r="761" s="4" customFormat="1" x14ac:dyDescent="0.4"/>
    <row r="762" s="4" customFormat="1" x14ac:dyDescent="0.4"/>
    <row r="763" s="4" customFormat="1" x14ac:dyDescent="0.4"/>
    <row r="764" s="4" customFormat="1" x14ac:dyDescent="0.4"/>
    <row r="765" s="4" customFormat="1" x14ac:dyDescent="0.4"/>
    <row r="766" s="4" customFormat="1" x14ac:dyDescent="0.4"/>
    <row r="767" s="4" customFormat="1" x14ac:dyDescent="0.4"/>
    <row r="768" s="4" customFormat="1" x14ac:dyDescent="0.4"/>
    <row r="769" s="4" customFormat="1" x14ac:dyDescent="0.4"/>
    <row r="770" s="4" customFormat="1" x14ac:dyDescent="0.4"/>
    <row r="771" s="4" customFormat="1" x14ac:dyDescent="0.4"/>
    <row r="772" s="4" customFormat="1" x14ac:dyDescent="0.4"/>
    <row r="773" s="4" customFormat="1" x14ac:dyDescent="0.4"/>
    <row r="774" s="4" customFormat="1" x14ac:dyDescent="0.4"/>
    <row r="775" s="4" customFormat="1" x14ac:dyDescent="0.4"/>
    <row r="776" s="4" customFormat="1" x14ac:dyDescent="0.4"/>
    <row r="777" s="4" customFormat="1" x14ac:dyDescent="0.4"/>
    <row r="778" s="4" customFormat="1" x14ac:dyDescent="0.4"/>
  </sheetData>
  <mergeCells count="8">
    <mergeCell ref="E9:F9"/>
    <mergeCell ref="B11:H11"/>
    <mergeCell ref="B4:C4"/>
    <mergeCell ref="B8:C8"/>
    <mergeCell ref="E1:F1"/>
    <mergeCell ref="E6:F6"/>
    <mergeCell ref="E7:F7"/>
    <mergeCell ref="E8:F8"/>
  </mergeCells>
  <phoneticPr fontId="12" type="noConversion"/>
  <printOptions horizontalCentered="1" verticalCentered="1"/>
  <pageMargins left="0" right="0" top="0" bottom="0" header="0" footer="0"/>
  <pageSetup paperSize="9" scale="59" orientation="landscape" horizont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'Veri Sayfası - 2'!$I$15:$I$22</xm:f>
          </x14:formula1>
          <xm:sqref>C2</xm:sqref>
        </x14:dataValidation>
        <x14:dataValidation type="list" allowBlank="1" showInputMessage="1" showErrorMessage="1" xr:uid="{00000000-0002-0000-0000-000001000000}">
          <x14:formula1>
            <xm:f>'Veri Sayfası - 2'!$D$2:$D$4</xm:f>
          </x14:formula1>
          <xm:sqref>C3</xm:sqref>
        </x14:dataValidation>
        <x14:dataValidation type="list" allowBlank="1" showInputMessage="1" showErrorMessage="1" xr:uid="{00000000-0002-0000-0000-000002000000}">
          <x14:formula1>
            <xm:f>'Veri Sayfası - 2'!$B$7:$B$9</xm:f>
          </x14:formula1>
          <xm:sqref>D13:D42</xm:sqref>
        </x14:dataValidation>
        <x14:dataValidation type="list" allowBlank="1" showInputMessage="1" showErrorMessage="1" xr:uid="{00000000-0002-0000-0000-000004000000}">
          <x14:formula1>
            <xm:f>'Veri Sayfası - 2'!$B$11:$B$16</xm:f>
          </x14:formula1>
          <xm:sqref>E13:E42</xm:sqref>
        </x14:dataValidation>
        <x14:dataValidation type="list" allowBlank="1" showInputMessage="1" showErrorMessage="1" xr:uid="{CE4CB787-9EF6-4A5E-98D5-8537DD347D0D}">
          <x14:formula1>
            <xm:f>'Veri Sayfası - 2'!$B$20:$B$27</xm:f>
          </x14:formula1>
          <xm:sqref>F13:F42</xm:sqref>
        </x14:dataValidation>
        <x14:dataValidation type="list" allowBlank="1" showInputMessage="1" showErrorMessage="1" xr:uid="{93EADF93-9935-419D-B911-B0D06FCE654C}">
          <x14:formula1>
            <xm:f>'3 RAIL (3 PANEL) - POZ X'!$A$57:$A$58</xm:f>
          </x14:formula1>
          <xm:sqref>I13:I42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W63"/>
  <sheetViews>
    <sheetView topLeftCell="A23" zoomScale="85" zoomScaleNormal="85" workbookViewId="0">
      <selection activeCell="I14" sqref="I14:I43"/>
    </sheetView>
  </sheetViews>
  <sheetFormatPr defaultColWidth="9.140625" defaultRowHeight="15" x14ac:dyDescent="0.25"/>
  <cols>
    <col min="1" max="1" width="9.140625" style="12"/>
    <col min="2" max="2" width="21.42578125" style="12" bestFit="1" customWidth="1"/>
    <col min="3" max="3" width="23.5703125" style="12" bestFit="1" customWidth="1"/>
    <col min="4" max="4" width="10.28515625" style="12" bestFit="1" customWidth="1"/>
    <col min="5" max="5" width="18.7109375" style="12" bestFit="1" customWidth="1"/>
    <col min="6" max="6" width="12.5703125" style="12" bestFit="1" customWidth="1"/>
    <col min="7" max="7" width="13.5703125" style="12" bestFit="1" customWidth="1"/>
    <col min="8" max="8" width="13.5703125" style="12" customWidth="1"/>
    <col min="9" max="9" width="19.42578125" style="12" bestFit="1" customWidth="1"/>
    <col min="10" max="10" width="27" style="12" bestFit="1" customWidth="1"/>
    <col min="11" max="11" width="23" style="12" bestFit="1" customWidth="1"/>
    <col min="12" max="12" width="21" style="12" bestFit="1" customWidth="1"/>
    <col min="13" max="13" width="19.28515625" style="12" bestFit="1" customWidth="1"/>
    <col min="14" max="14" width="16" style="12" bestFit="1" customWidth="1"/>
    <col min="15" max="17" width="9.140625" style="12"/>
    <col min="18" max="18" width="9.5703125" style="12" bestFit="1" customWidth="1"/>
    <col min="19" max="16384" width="9.140625" style="12"/>
  </cols>
  <sheetData>
    <row r="3" spans="1:23" x14ac:dyDescent="0.25">
      <c r="B3" s="12" t="s">
        <v>7</v>
      </c>
      <c r="C3" s="13">
        <f ca="1">'ANA SAYFA'!C1</f>
        <v>46077</v>
      </c>
    </row>
    <row r="4" spans="1:23" x14ac:dyDescent="0.25">
      <c r="B4" s="12" t="s">
        <v>23</v>
      </c>
      <c r="C4" s="13">
        <f>'ANA SAYFA'!C2</f>
        <v>0</v>
      </c>
    </row>
    <row r="5" spans="1:23" x14ac:dyDescent="0.25">
      <c r="B5" s="12" t="s">
        <v>25</v>
      </c>
      <c r="C5" s="13">
        <f>'ANA SAYFA'!C3</f>
        <v>0</v>
      </c>
    </row>
    <row r="7" spans="1:23" x14ac:dyDescent="0.25">
      <c r="B7" s="12" t="s">
        <v>27</v>
      </c>
      <c r="C7" s="12">
        <f>'ANA SAYFA'!C5</f>
        <v>0</v>
      </c>
    </row>
    <row r="8" spans="1:23" x14ac:dyDescent="0.25">
      <c r="B8" s="12" t="s">
        <v>28</v>
      </c>
      <c r="C8" s="12">
        <f>'ANA SAYFA'!C6</f>
        <v>0</v>
      </c>
    </row>
    <row r="9" spans="1:23" x14ac:dyDescent="0.25">
      <c r="B9" s="12" t="s">
        <v>29</v>
      </c>
      <c r="C9" s="12">
        <f>'ANA SAYFA'!C7</f>
        <v>0</v>
      </c>
    </row>
    <row r="11" spans="1:23" x14ac:dyDescent="0.25">
      <c r="B11" s="12" t="s">
        <v>24</v>
      </c>
      <c r="C11" s="12">
        <f>'ANA SAYFA'!C9</f>
        <v>0</v>
      </c>
    </row>
    <row r="12" spans="1:23" x14ac:dyDescent="0.25">
      <c r="R12" s="12">
        <f>15/705</f>
        <v>2.1276595744680851E-2</v>
      </c>
    </row>
    <row r="13" spans="1:23" s="74" customFormat="1" ht="42" customHeight="1" x14ac:dyDescent="0.25">
      <c r="B13" s="74" t="str">
        <f>'ANA SAYFA'!B12</f>
        <v>Latime sistem (CM)</v>
      </c>
      <c r="C13" s="74" t="str">
        <f>'ANA SAYFA'!C12</f>
        <v>Inaltime sistem (CM)</v>
      </c>
      <c r="D13" s="74" t="str">
        <f>'ANA SAYFA'!D12</f>
        <v>Tip sticla</v>
      </c>
      <c r="E13" s="74" t="str">
        <f>'ANA SAYFA'!E12</f>
        <v>Nr de canale</v>
      </c>
      <c r="F13" s="74" t="str">
        <f>'ANA SAYFA'!F12</f>
        <v>Nr de panouri</v>
      </c>
      <c r="G13" s="74" t="str">
        <f>'ANA SAYFA'!G12</f>
        <v>cantitate</v>
      </c>
      <c r="H13" s="74" t="s">
        <v>244</v>
      </c>
      <c r="I13" s="74" t="s">
        <v>296</v>
      </c>
      <c r="J13" s="74" t="s">
        <v>61</v>
      </c>
      <c r="K13" s="74" t="s">
        <v>125</v>
      </c>
      <c r="L13" s="74" t="s">
        <v>123</v>
      </c>
      <c r="M13" s="74" t="s">
        <v>126</v>
      </c>
      <c r="N13" s="74" t="s">
        <v>127</v>
      </c>
      <c r="O13" s="74" t="s">
        <v>140</v>
      </c>
      <c r="P13" s="74" t="s">
        <v>129</v>
      </c>
      <c r="Q13" s="74" t="s">
        <v>130</v>
      </c>
      <c r="R13" s="74" t="s">
        <v>131</v>
      </c>
      <c r="S13" s="74" t="s">
        <v>132</v>
      </c>
      <c r="T13" s="74" t="s">
        <v>133</v>
      </c>
      <c r="U13" s="74" t="s">
        <v>145</v>
      </c>
      <c r="V13" s="74" t="s">
        <v>146</v>
      </c>
      <c r="W13" s="74" t="s">
        <v>147</v>
      </c>
    </row>
    <row r="14" spans="1:23" x14ac:dyDescent="0.25">
      <c r="A14" s="12" t="str">
        <f>'ANA SAYFA'!A13</f>
        <v>POZ 1</v>
      </c>
      <c r="B14" s="12">
        <f>'ANA SAYFA'!B13</f>
        <v>0</v>
      </c>
      <c r="C14" s="12">
        <f>'ANA SAYFA'!C13</f>
        <v>0</v>
      </c>
      <c r="D14" s="12" t="str">
        <f>'ANA SAYFA'!D13</f>
        <v>TEKCAM</v>
      </c>
      <c r="E14" s="12" t="str">
        <f>'ANA SAYFA'!E13</f>
        <v>3'LÜ RAY</v>
      </c>
      <c r="F14" s="12">
        <f>'ANA SAYFA'!F13</f>
        <v>3</v>
      </c>
      <c r="G14" s="12">
        <f>'ANA SAYFA'!G13</f>
        <v>1</v>
      </c>
      <c r="H14" s="12">
        <f>IFERROR(VLOOKUP(F14,'Veri Sayfası - 2'!B18:E27,4,0),0)</f>
        <v>4</v>
      </c>
      <c r="I14" s="12" t="str">
        <f>'ANA SAYFA'!I13</f>
        <v>VAR</v>
      </c>
      <c r="J14" s="12">
        <f>IFERROR((VLOOKUP(F14,'Veri Sayfası - 2'!B18:C27,2)*G14),0)</f>
        <v>3</v>
      </c>
      <c r="K14" s="12">
        <f>IFERROR(J14/G14,0)</f>
        <v>3</v>
      </c>
      <c r="L14" s="12">
        <f>H14*G14</f>
        <v>4</v>
      </c>
      <c r="M14" s="12">
        <f>IFERROR((VLOOKUP(F14,'Veri Sayfası - 2'!B18:D27,3,0)),0)</f>
        <v>3</v>
      </c>
      <c r="N14" s="12">
        <f>IFERROR((ROUNDUP(B14/100,0)*M14*G14),0)</f>
        <v>0</v>
      </c>
      <c r="O14" s="12">
        <f>IF(AND(D14="ISICAM",F14="2+2"),G14,IF(AND(D14="ISICAM",F14="3+3"),G14,IF(AND(D14="ISICAM",F14="4+4"),G14,IF(AND(D14="ISICAM",F14="5+5"),G14,0))))</f>
        <v>0</v>
      </c>
      <c r="P14" s="12">
        <f>IFERROR((IF(OR(E14="5'Lİ RAY ÇERÇEVESİZ",E14="3'LÜ RAY ÇERÇEVESİZ"),G14*4*C14/100,(H14+4)*G14*C14/100)),0)</f>
        <v>0</v>
      </c>
      <c r="Q14" s="12">
        <f>M14*B14*G14/100</f>
        <v>0</v>
      </c>
      <c r="R14" s="12">
        <f>IF(OR(F14="2",F14="3",F14="4",F14="5"),G14*C14*2*$R$12/100,G14*C14*4*$R$12/100)</f>
        <v>0</v>
      </c>
      <c r="S14" s="12">
        <f>IF(E14="3'LÜ RAY",2*G14,IF(E14="3'LÜ RAY ÇERÇEVESİZ",2*G14,0))</f>
        <v>2</v>
      </c>
      <c r="T14" s="12">
        <f>IF(E14="5'Lİ RAY",2*G14,IF(E14="5'Lİ RAY ÇERÇEVESİZ",2*G14,0))</f>
        <v>0</v>
      </c>
      <c r="U14" s="12">
        <f>IF(AND(D14="TEKCAM",F14="2+2"),G14,IF(AND(D14="TEKCAM",F14="3+3"),G14,IF(AND(D14="TEKCAM",F14="4+4"),G14,IF(AND(D14="TEKCAM",F14="5+5"),G14,0))))</f>
        <v>0</v>
      </c>
      <c r="V14" s="12">
        <f>IF(OR(E14="5'Lİ RAY ÇERÇEVESİZ",E14="3'LÜ RAY ÇERÇEVESİZ"),(K14*2-2)*G14,0)</f>
        <v>0</v>
      </c>
      <c r="W14" s="12">
        <f>IF(OR(E14="5'Lİ RAY ÇERÇEVESİZ",E14="3'LÜ RAY ÇERÇEVESİZ"),(K14*2-2)*G14*C14/100,0)</f>
        <v>0</v>
      </c>
    </row>
    <row r="15" spans="1:23" x14ac:dyDescent="0.25">
      <c r="A15" s="12" t="str">
        <f>'ANA SAYFA'!A14</f>
        <v>POZ 2</v>
      </c>
      <c r="B15" s="12">
        <f>'ANA SAYFA'!B14</f>
        <v>0</v>
      </c>
      <c r="C15" s="12">
        <f>'ANA SAYFA'!C14</f>
        <v>0</v>
      </c>
      <c r="D15" s="12" t="str">
        <f>'ANA SAYFA'!D14</f>
        <v>TEKCAM</v>
      </c>
      <c r="E15" s="12" t="str">
        <f>'ANA SAYFA'!E14</f>
        <v>3'LÜ RAY</v>
      </c>
      <c r="F15" s="12">
        <f>'ANA SAYFA'!F14</f>
        <v>0</v>
      </c>
      <c r="G15" s="12">
        <f>'ANA SAYFA'!G14</f>
        <v>0</v>
      </c>
      <c r="H15" s="12">
        <f>IFERROR(VLOOKUP(F15,'Veri Sayfası - 2'!B19:E28,4,0),0)</f>
        <v>0</v>
      </c>
      <c r="I15" s="12" t="str">
        <f>'ANA SAYFA'!I14</f>
        <v>YOK</v>
      </c>
      <c r="J15" s="12">
        <f>IFERROR((VLOOKUP(F15,'Veri Sayfası - 2'!B19:C28,2)*G15),0)</f>
        <v>0</v>
      </c>
      <c r="K15" s="12">
        <f t="shared" ref="K15:K43" si="0">IFERROR(J15/G15,0)</f>
        <v>0</v>
      </c>
      <c r="L15" s="12">
        <f t="shared" ref="L15:L43" si="1">H15*G15</f>
        <v>0</v>
      </c>
      <c r="M15" s="12">
        <f>IFERROR((VLOOKUP(F15,'Veri Sayfası - 2'!B19:D28,3,0)),0)</f>
        <v>0</v>
      </c>
      <c r="N15" s="12">
        <f t="shared" ref="N15:N43" si="2">IFERROR((ROUNDUP(B15/100,0)*M15*G15),0)</f>
        <v>0</v>
      </c>
      <c r="O15" s="12">
        <f t="shared" ref="O15:O43" si="3">IF(AND(D15="ISICAM",F15="2+2"),G15,IF(AND(D15="ISICAM",F15="3+3"),G15,IF(AND(D15="ISICAM",F15="4+4"),G15,IF(AND(D15="ISICAM",F15="5+5"),G15,0))))</f>
        <v>0</v>
      </c>
      <c r="P15" s="12">
        <f t="shared" ref="P15:P43" si="4">IFERROR((IF(OR(E15="5'Lİ RAY ÇERÇEVESİZ",E15="3'LÜ RAY ÇERÇEVESİZ"),G15*4*C15/100,(H15+4)*G15*C15/100)),0)</f>
        <v>0</v>
      </c>
      <c r="Q15" s="12">
        <f t="shared" ref="Q15:Q43" si="5">M15*B15*G15/100</f>
        <v>0</v>
      </c>
      <c r="R15" s="12">
        <f t="shared" ref="R15:R43" si="6">IF(OR(F15="2",F15="3",F15="4",F15="5"),G15*C15*2*$R$12/100,G15*C15*4*$R$12/100)</f>
        <v>0</v>
      </c>
      <c r="S15" s="12">
        <f t="shared" ref="S15:S43" si="7">IF(E15="3'LÜ RAY",2*G15,IF(E15="3'LÜ RAY ÇERÇEVESİZ",2*G15,0))</f>
        <v>0</v>
      </c>
      <c r="T15" s="12">
        <f t="shared" ref="T15:T43" si="8">IF(E15="5'Lİ RAY",2*G15,IF(E15="5'Lİ RAY ÇERÇEVESİZ",2*G15,0))</f>
        <v>0</v>
      </c>
      <c r="U15" s="12">
        <f t="shared" ref="U15:U43" si="9">IF(AND(D15="TEKCAM",F15="2+2"),G15,IF(AND(D15="TEKCAM",F15="3+3"),G15,IF(AND(D15="TEKCAM",F15="4+4"),G15,IF(AND(D15="TEKCAM",F15="5+5"),G15,0))))</f>
        <v>0</v>
      </c>
      <c r="V15" s="12">
        <f t="shared" ref="V15:V43" si="10">IF(OR(E15="5'Lİ RAY ÇERÇEVESİZ",E15="3'LÜ RAY ÇERÇEVESİZ"),(K15*2-2)*G15,0)</f>
        <v>0</v>
      </c>
      <c r="W15" s="12">
        <f t="shared" ref="W15:W43" si="11">IF(OR(E15="5'Lİ RAY ÇERÇEVESİZ",E15="3'LÜ RAY ÇERÇEVESİZ"),(K15*2-2)*G15*C15/100,0)</f>
        <v>0</v>
      </c>
    </row>
    <row r="16" spans="1:23" x14ac:dyDescent="0.25">
      <c r="A16" s="12" t="str">
        <f>'ANA SAYFA'!A15</f>
        <v>POZ 3</v>
      </c>
      <c r="B16" s="12">
        <f>'ANA SAYFA'!B15</f>
        <v>0</v>
      </c>
      <c r="C16" s="12">
        <f>'ANA SAYFA'!C15</f>
        <v>0</v>
      </c>
      <c r="D16" s="12" t="str">
        <f>'ANA SAYFA'!D15</f>
        <v>TEKCAM</v>
      </c>
      <c r="E16" s="12" t="str">
        <f>'ANA SAYFA'!E15</f>
        <v>3'LÜ RAY</v>
      </c>
      <c r="F16" s="12">
        <f>'ANA SAYFA'!F15</f>
        <v>0</v>
      </c>
      <c r="G16" s="12">
        <f>'ANA SAYFA'!G15</f>
        <v>0</v>
      </c>
      <c r="H16" s="12">
        <f>IFERROR(VLOOKUP(F16,'Veri Sayfası - 2'!B20:E29,4,0),0)</f>
        <v>0</v>
      </c>
      <c r="I16" s="12" t="str">
        <f>'ANA SAYFA'!I15</f>
        <v>YOK</v>
      </c>
      <c r="J16" s="12">
        <f>IFERROR((VLOOKUP(F16,'Veri Sayfası - 2'!B20:C29,2)*G16),0)</f>
        <v>0</v>
      </c>
      <c r="K16" s="12">
        <f t="shared" si="0"/>
        <v>0</v>
      </c>
      <c r="L16" s="12">
        <f t="shared" si="1"/>
        <v>0</v>
      </c>
      <c r="M16" s="12">
        <f>IFERROR((VLOOKUP(F16,'Veri Sayfası - 2'!B20:D29,3,0)),0)</f>
        <v>0</v>
      </c>
      <c r="N16" s="12">
        <f t="shared" si="2"/>
        <v>0</v>
      </c>
      <c r="O16" s="12">
        <f t="shared" si="3"/>
        <v>0</v>
      </c>
      <c r="P16" s="12">
        <f t="shared" si="4"/>
        <v>0</v>
      </c>
      <c r="Q16" s="12">
        <f t="shared" si="5"/>
        <v>0</v>
      </c>
      <c r="R16" s="12">
        <f t="shared" si="6"/>
        <v>0</v>
      </c>
      <c r="S16" s="12">
        <f t="shared" si="7"/>
        <v>0</v>
      </c>
      <c r="T16" s="12">
        <f t="shared" si="8"/>
        <v>0</v>
      </c>
      <c r="U16" s="12">
        <f t="shared" si="9"/>
        <v>0</v>
      </c>
      <c r="V16" s="12">
        <f t="shared" si="10"/>
        <v>0</v>
      </c>
      <c r="W16" s="12">
        <f t="shared" si="11"/>
        <v>0</v>
      </c>
    </row>
    <row r="17" spans="1:23" x14ac:dyDescent="0.25">
      <c r="A17" s="12" t="str">
        <f>'ANA SAYFA'!A16</f>
        <v>POZ 4</v>
      </c>
      <c r="B17" s="12">
        <f>'ANA SAYFA'!B16</f>
        <v>0</v>
      </c>
      <c r="C17" s="12">
        <f>'ANA SAYFA'!C16</f>
        <v>0</v>
      </c>
      <c r="D17" s="12" t="str">
        <f>'ANA SAYFA'!D16</f>
        <v>TEKCAM</v>
      </c>
      <c r="E17" s="12" t="str">
        <f>'ANA SAYFA'!E16</f>
        <v>3'LÜ RAY</v>
      </c>
      <c r="F17" s="12">
        <f>'ANA SAYFA'!F16</f>
        <v>0</v>
      </c>
      <c r="G17" s="12">
        <f>'ANA SAYFA'!G16</f>
        <v>0</v>
      </c>
      <c r="H17" s="12">
        <f>IFERROR(VLOOKUP(F17,'Veri Sayfası - 2'!B21:E30,4,0),0)</f>
        <v>0</v>
      </c>
      <c r="I17" s="12" t="str">
        <f>'ANA SAYFA'!I16</f>
        <v>YOK</v>
      </c>
      <c r="J17" s="12">
        <f>IFERROR((VLOOKUP(F17,'Veri Sayfası - 2'!B21:C30,2)*G17),0)</f>
        <v>0</v>
      </c>
      <c r="K17" s="12">
        <f t="shared" si="0"/>
        <v>0</v>
      </c>
      <c r="L17" s="12">
        <f t="shared" si="1"/>
        <v>0</v>
      </c>
      <c r="M17" s="12">
        <f>IFERROR((VLOOKUP(F17,'Veri Sayfası - 2'!B21:D30,3,0)),0)</f>
        <v>0</v>
      </c>
      <c r="N17" s="12">
        <f t="shared" si="2"/>
        <v>0</v>
      </c>
      <c r="O17" s="12">
        <f t="shared" si="3"/>
        <v>0</v>
      </c>
      <c r="P17" s="12">
        <f t="shared" si="4"/>
        <v>0</v>
      </c>
      <c r="Q17" s="12">
        <f t="shared" si="5"/>
        <v>0</v>
      </c>
      <c r="R17" s="12">
        <f t="shared" si="6"/>
        <v>0</v>
      </c>
      <c r="S17" s="12">
        <f t="shared" si="7"/>
        <v>0</v>
      </c>
      <c r="T17" s="12">
        <f t="shared" si="8"/>
        <v>0</v>
      </c>
      <c r="U17" s="12">
        <f t="shared" si="9"/>
        <v>0</v>
      </c>
      <c r="V17" s="12">
        <f t="shared" si="10"/>
        <v>0</v>
      </c>
      <c r="W17" s="12">
        <f t="shared" si="11"/>
        <v>0</v>
      </c>
    </row>
    <row r="18" spans="1:23" x14ac:dyDescent="0.25">
      <c r="A18" s="12" t="str">
        <f>'ANA SAYFA'!A17</f>
        <v>POZ 5</v>
      </c>
      <c r="B18" s="12">
        <f>'ANA SAYFA'!B17</f>
        <v>0</v>
      </c>
      <c r="C18" s="12">
        <f>'ANA SAYFA'!C17</f>
        <v>0</v>
      </c>
      <c r="D18" s="12" t="str">
        <f>'ANA SAYFA'!D17</f>
        <v>TEKCAM</v>
      </c>
      <c r="E18" s="12" t="str">
        <f>'ANA SAYFA'!E17</f>
        <v>3'LÜ RAY</v>
      </c>
      <c r="F18" s="12">
        <f>'ANA SAYFA'!F17</f>
        <v>0</v>
      </c>
      <c r="G18" s="12">
        <f>'ANA SAYFA'!G17</f>
        <v>0</v>
      </c>
      <c r="H18" s="12">
        <f>IFERROR(VLOOKUP(F18,'Veri Sayfası - 2'!B22:E31,4,0),0)</f>
        <v>0</v>
      </c>
      <c r="I18" s="12" t="str">
        <f>'ANA SAYFA'!I17</f>
        <v>YOK</v>
      </c>
      <c r="J18" s="12">
        <f>IFERROR((VLOOKUP(F18,'Veri Sayfası - 2'!B22:C31,2)*G18),0)</f>
        <v>0</v>
      </c>
      <c r="K18" s="12">
        <f t="shared" si="0"/>
        <v>0</v>
      </c>
      <c r="L18" s="12">
        <f t="shared" si="1"/>
        <v>0</v>
      </c>
      <c r="M18" s="12">
        <f>IFERROR((VLOOKUP(F18,'Veri Sayfası - 2'!B22:D31,3,0)),0)</f>
        <v>0</v>
      </c>
      <c r="N18" s="12">
        <f t="shared" si="2"/>
        <v>0</v>
      </c>
      <c r="O18" s="12">
        <f t="shared" si="3"/>
        <v>0</v>
      </c>
      <c r="P18" s="12">
        <f t="shared" si="4"/>
        <v>0</v>
      </c>
      <c r="Q18" s="12">
        <f t="shared" si="5"/>
        <v>0</v>
      </c>
      <c r="R18" s="12">
        <f t="shared" si="6"/>
        <v>0</v>
      </c>
      <c r="S18" s="12">
        <f t="shared" si="7"/>
        <v>0</v>
      </c>
      <c r="T18" s="12">
        <f t="shared" si="8"/>
        <v>0</v>
      </c>
      <c r="U18" s="12">
        <f t="shared" si="9"/>
        <v>0</v>
      </c>
      <c r="V18" s="12">
        <f t="shared" si="10"/>
        <v>0</v>
      </c>
      <c r="W18" s="12">
        <f t="shared" si="11"/>
        <v>0</v>
      </c>
    </row>
    <row r="19" spans="1:23" x14ac:dyDescent="0.25">
      <c r="A19" s="12" t="str">
        <f>'ANA SAYFA'!A18</f>
        <v>POZ 6</v>
      </c>
      <c r="B19" s="12">
        <f>'ANA SAYFA'!B18</f>
        <v>0</v>
      </c>
      <c r="C19" s="12">
        <f>'ANA SAYFA'!C18</f>
        <v>0</v>
      </c>
      <c r="D19" s="12" t="str">
        <f>'ANA SAYFA'!D18</f>
        <v>TEKCAM</v>
      </c>
      <c r="E19" s="12" t="str">
        <f>'ANA SAYFA'!E18</f>
        <v>3'LÜ RAY</v>
      </c>
      <c r="F19" s="12">
        <f>'ANA SAYFA'!F18</f>
        <v>0</v>
      </c>
      <c r="G19" s="12">
        <f>'ANA SAYFA'!G18</f>
        <v>0</v>
      </c>
      <c r="H19" s="12">
        <f>IFERROR(VLOOKUP(F19,'Veri Sayfası - 2'!B23:E32,4,0),0)</f>
        <v>0</v>
      </c>
      <c r="I19" s="12" t="str">
        <f>'ANA SAYFA'!I18</f>
        <v>YOK</v>
      </c>
      <c r="J19" s="12">
        <f>IFERROR((VLOOKUP(F19,'Veri Sayfası - 2'!B23:C32,2)*G19),0)</f>
        <v>0</v>
      </c>
      <c r="K19" s="12">
        <f t="shared" si="0"/>
        <v>0</v>
      </c>
      <c r="L19" s="12">
        <f t="shared" si="1"/>
        <v>0</v>
      </c>
      <c r="M19" s="12">
        <f>IFERROR((VLOOKUP(F19,'Veri Sayfası - 2'!B23:D32,3,0)),0)</f>
        <v>0</v>
      </c>
      <c r="N19" s="12">
        <f t="shared" si="2"/>
        <v>0</v>
      </c>
      <c r="O19" s="12">
        <f t="shared" si="3"/>
        <v>0</v>
      </c>
      <c r="P19" s="12">
        <f t="shared" si="4"/>
        <v>0</v>
      </c>
      <c r="Q19" s="12">
        <f t="shared" si="5"/>
        <v>0</v>
      </c>
      <c r="R19" s="12">
        <f t="shared" si="6"/>
        <v>0</v>
      </c>
      <c r="S19" s="12">
        <f t="shared" si="7"/>
        <v>0</v>
      </c>
      <c r="T19" s="12">
        <f t="shared" si="8"/>
        <v>0</v>
      </c>
      <c r="U19" s="12">
        <f t="shared" si="9"/>
        <v>0</v>
      </c>
      <c r="V19" s="12">
        <f t="shared" si="10"/>
        <v>0</v>
      </c>
      <c r="W19" s="12">
        <f t="shared" si="11"/>
        <v>0</v>
      </c>
    </row>
    <row r="20" spans="1:23" x14ac:dyDescent="0.25">
      <c r="A20" s="12" t="str">
        <f>'ANA SAYFA'!A19</f>
        <v>POZ 7</v>
      </c>
      <c r="B20" s="12">
        <f>'ANA SAYFA'!B19</f>
        <v>0</v>
      </c>
      <c r="C20" s="12">
        <f>'ANA SAYFA'!C19</f>
        <v>0</v>
      </c>
      <c r="D20" s="12" t="str">
        <f>'ANA SAYFA'!D19</f>
        <v>TEKCAM</v>
      </c>
      <c r="E20" s="12" t="str">
        <f>'ANA SAYFA'!E19</f>
        <v>3'LÜ RAY</v>
      </c>
      <c r="F20" s="12">
        <f>'ANA SAYFA'!F19</f>
        <v>0</v>
      </c>
      <c r="G20" s="12">
        <f>'ANA SAYFA'!G19</f>
        <v>0</v>
      </c>
      <c r="H20" s="12">
        <f>IFERROR(VLOOKUP(F20,'Veri Sayfası - 2'!B24:E33,4,0),0)</f>
        <v>0</v>
      </c>
      <c r="I20" s="12" t="str">
        <f>'ANA SAYFA'!I19</f>
        <v>YOK</v>
      </c>
      <c r="J20" s="12">
        <f>IFERROR((VLOOKUP(F20,'Veri Sayfası - 2'!B24:C33,2)*G20),0)</f>
        <v>0</v>
      </c>
      <c r="K20" s="12">
        <f t="shared" si="0"/>
        <v>0</v>
      </c>
      <c r="L20" s="12">
        <f t="shared" si="1"/>
        <v>0</v>
      </c>
      <c r="M20" s="12">
        <f>IFERROR((VLOOKUP(F20,'Veri Sayfası - 2'!B24:D33,3,0)),0)</f>
        <v>0</v>
      </c>
      <c r="N20" s="12">
        <f t="shared" si="2"/>
        <v>0</v>
      </c>
      <c r="O20" s="12">
        <f t="shared" si="3"/>
        <v>0</v>
      </c>
      <c r="P20" s="12">
        <f t="shared" si="4"/>
        <v>0</v>
      </c>
      <c r="Q20" s="12">
        <f t="shared" si="5"/>
        <v>0</v>
      </c>
      <c r="R20" s="12">
        <f t="shared" si="6"/>
        <v>0</v>
      </c>
      <c r="S20" s="12">
        <f t="shared" si="7"/>
        <v>0</v>
      </c>
      <c r="T20" s="12">
        <f t="shared" si="8"/>
        <v>0</v>
      </c>
      <c r="U20" s="12">
        <f t="shared" si="9"/>
        <v>0</v>
      </c>
      <c r="V20" s="12">
        <f t="shared" si="10"/>
        <v>0</v>
      </c>
      <c r="W20" s="12">
        <f t="shared" si="11"/>
        <v>0</v>
      </c>
    </row>
    <row r="21" spans="1:23" x14ac:dyDescent="0.25">
      <c r="A21" s="12" t="str">
        <f>'ANA SAYFA'!A20</f>
        <v>POZ 8</v>
      </c>
      <c r="B21" s="12">
        <f>'ANA SAYFA'!B20</f>
        <v>0</v>
      </c>
      <c r="C21" s="12">
        <f>'ANA SAYFA'!C20</f>
        <v>0</v>
      </c>
      <c r="D21" s="12" t="str">
        <f>'ANA SAYFA'!D20</f>
        <v>TEKCAM</v>
      </c>
      <c r="E21" s="12" t="str">
        <f>'ANA SAYFA'!E20</f>
        <v>3'LÜ RAY</v>
      </c>
      <c r="F21" s="12">
        <f>'ANA SAYFA'!F20</f>
        <v>0</v>
      </c>
      <c r="G21" s="12">
        <f>'ANA SAYFA'!G20</f>
        <v>0</v>
      </c>
      <c r="H21" s="12">
        <f>IFERROR(VLOOKUP(F21,'Veri Sayfası - 2'!B25:E34,4,0),0)</f>
        <v>0</v>
      </c>
      <c r="I21" s="12" t="str">
        <f>'ANA SAYFA'!I20</f>
        <v>YOK</v>
      </c>
      <c r="J21" s="12">
        <f>IFERROR((VLOOKUP(F21,'Veri Sayfası - 2'!B25:C34,2)*G21),0)</f>
        <v>0</v>
      </c>
      <c r="K21" s="12">
        <f t="shared" si="0"/>
        <v>0</v>
      </c>
      <c r="L21" s="12">
        <f t="shared" si="1"/>
        <v>0</v>
      </c>
      <c r="M21" s="12">
        <f>IFERROR((VLOOKUP(F21,'Veri Sayfası - 2'!B25:D34,3,0)),0)</f>
        <v>0</v>
      </c>
      <c r="N21" s="12">
        <f t="shared" si="2"/>
        <v>0</v>
      </c>
      <c r="O21" s="12">
        <f t="shared" si="3"/>
        <v>0</v>
      </c>
      <c r="P21" s="12">
        <f t="shared" si="4"/>
        <v>0</v>
      </c>
      <c r="Q21" s="12">
        <f t="shared" si="5"/>
        <v>0</v>
      </c>
      <c r="R21" s="12">
        <f t="shared" si="6"/>
        <v>0</v>
      </c>
      <c r="S21" s="12">
        <f t="shared" si="7"/>
        <v>0</v>
      </c>
      <c r="T21" s="12">
        <f t="shared" si="8"/>
        <v>0</v>
      </c>
      <c r="U21" s="12">
        <f t="shared" si="9"/>
        <v>0</v>
      </c>
      <c r="V21" s="12">
        <f t="shared" si="10"/>
        <v>0</v>
      </c>
      <c r="W21" s="12">
        <f t="shared" si="11"/>
        <v>0</v>
      </c>
    </row>
    <row r="22" spans="1:23" x14ac:dyDescent="0.25">
      <c r="A22" s="12" t="str">
        <f>'ANA SAYFA'!A21</f>
        <v>POZ 9</v>
      </c>
      <c r="B22" s="12">
        <f>'ANA SAYFA'!B21</f>
        <v>0</v>
      </c>
      <c r="C22" s="12">
        <f>'ANA SAYFA'!C21</f>
        <v>0</v>
      </c>
      <c r="D22" s="12" t="str">
        <f>'ANA SAYFA'!D21</f>
        <v>TEKCAM</v>
      </c>
      <c r="E22" s="12" t="str">
        <f>'ANA SAYFA'!E21</f>
        <v>3'LÜ RAY</v>
      </c>
      <c r="F22" s="12">
        <f>'ANA SAYFA'!F21</f>
        <v>0</v>
      </c>
      <c r="G22" s="12">
        <f>'ANA SAYFA'!G21</f>
        <v>0</v>
      </c>
      <c r="H22" s="12">
        <f>IFERROR(VLOOKUP(F22,'Veri Sayfası - 2'!B26:E35,4,0),0)</f>
        <v>0</v>
      </c>
      <c r="I22" s="12" t="str">
        <f>'ANA SAYFA'!I21</f>
        <v>YOK</v>
      </c>
      <c r="J22" s="12">
        <f>IFERROR((VLOOKUP(F22,'Veri Sayfası - 2'!B26:C35,2)*G22),0)</f>
        <v>0</v>
      </c>
      <c r="K22" s="12">
        <f t="shared" si="0"/>
        <v>0</v>
      </c>
      <c r="L22" s="12">
        <f t="shared" si="1"/>
        <v>0</v>
      </c>
      <c r="M22" s="12">
        <f>IFERROR((VLOOKUP(F22,'Veri Sayfası - 2'!B26:D35,3,0)),0)</f>
        <v>0</v>
      </c>
      <c r="N22" s="12">
        <f t="shared" si="2"/>
        <v>0</v>
      </c>
      <c r="O22" s="12">
        <f t="shared" si="3"/>
        <v>0</v>
      </c>
      <c r="P22" s="12">
        <f t="shared" si="4"/>
        <v>0</v>
      </c>
      <c r="Q22" s="12">
        <f t="shared" si="5"/>
        <v>0</v>
      </c>
      <c r="R22" s="12">
        <f t="shared" si="6"/>
        <v>0</v>
      </c>
      <c r="S22" s="12">
        <f t="shared" si="7"/>
        <v>0</v>
      </c>
      <c r="T22" s="12">
        <f t="shared" si="8"/>
        <v>0</v>
      </c>
      <c r="U22" s="12">
        <f t="shared" si="9"/>
        <v>0</v>
      </c>
      <c r="V22" s="12">
        <f t="shared" si="10"/>
        <v>0</v>
      </c>
      <c r="W22" s="12">
        <f t="shared" si="11"/>
        <v>0</v>
      </c>
    </row>
    <row r="23" spans="1:23" x14ac:dyDescent="0.25">
      <c r="A23" s="12" t="str">
        <f>'ANA SAYFA'!A22</f>
        <v>POZ 10</v>
      </c>
      <c r="B23" s="12">
        <f>'ANA SAYFA'!B22</f>
        <v>0</v>
      </c>
      <c r="C23" s="12">
        <f>'ANA SAYFA'!C22</f>
        <v>0</v>
      </c>
      <c r="D23" s="12" t="str">
        <f>'ANA SAYFA'!D22</f>
        <v>TEKCAM</v>
      </c>
      <c r="E23" s="12" t="str">
        <f>'ANA SAYFA'!E22</f>
        <v>3'LÜ RAY</v>
      </c>
      <c r="F23" s="12">
        <f>'ANA SAYFA'!F22</f>
        <v>0</v>
      </c>
      <c r="G23" s="12">
        <f>'ANA SAYFA'!G22</f>
        <v>0</v>
      </c>
      <c r="H23" s="12">
        <f>IFERROR(VLOOKUP(F23,'Veri Sayfası - 2'!B27:E36,4,0),0)</f>
        <v>0</v>
      </c>
      <c r="I23" s="12" t="str">
        <f>'ANA SAYFA'!I22</f>
        <v>YOK</v>
      </c>
      <c r="J23" s="12">
        <f>IFERROR((VLOOKUP(F23,'Veri Sayfası - 2'!B27:C36,2)*G23),0)</f>
        <v>0</v>
      </c>
      <c r="K23" s="12">
        <f t="shared" si="0"/>
        <v>0</v>
      </c>
      <c r="L23" s="12">
        <f t="shared" si="1"/>
        <v>0</v>
      </c>
      <c r="M23" s="12">
        <f>IFERROR((VLOOKUP(F23,'Veri Sayfası - 2'!B27:D36,3,0)),0)</f>
        <v>0</v>
      </c>
      <c r="N23" s="12">
        <f t="shared" si="2"/>
        <v>0</v>
      </c>
      <c r="O23" s="12">
        <f t="shared" si="3"/>
        <v>0</v>
      </c>
      <c r="P23" s="12">
        <f t="shared" si="4"/>
        <v>0</v>
      </c>
      <c r="Q23" s="12">
        <f t="shared" si="5"/>
        <v>0</v>
      </c>
      <c r="R23" s="12">
        <f t="shared" si="6"/>
        <v>0</v>
      </c>
      <c r="S23" s="12">
        <f t="shared" si="7"/>
        <v>0</v>
      </c>
      <c r="T23" s="12">
        <f t="shared" si="8"/>
        <v>0</v>
      </c>
      <c r="U23" s="12">
        <f t="shared" si="9"/>
        <v>0</v>
      </c>
      <c r="V23" s="12">
        <f t="shared" si="10"/>
        <v>0</v>
      </c>
      <c r="W23" s="12">
        <f t="shared" si="11"/>
        <v>0</v>
      </c>
    </row>
    <row r="24" spans="1:23" x14ac:dyDescent="0.25">
      <c r="A24" s="12" t="str">
        <f>'ANA SAYFA'!A23</f>
        <v>POZ 11</v>
      </c>
      <c r="B24" s="12">
        <f>'ANA SAYFA'!B23</f>
        <v>0</v>
      </c>
      <c r="C24" s="12">
        <f>'ANA SAYFA'!C23</f>
        <v>0</v>
      </c>
      <c r="D24" s="12" t="str">
        <f>'ANA SAYFA'!D23</f>
        <v>TEKCAM</v>
      </c>
      <c r="E24" s="12" t="str">
        <f>'ANA SAYFA'!E23</f>
        <v>3'LÜ RAY</v>
      </c>
      <c r="F24" s="12">
        <f>'ANA SAYFA'!F23</f>
        <v>0</v>
      </c>
      <c r="G24" s="12">
        <f>'ANA SAYFA'!G23</f>
        <v>0</v>
      </c>
      <c r="H24" s="12">
        <f>IFERROR(VLOOKUP(F24,'Veri Sayfası - 2'!B28:E37,4,0),0)</f>
        <v>0</v>
      </c>
      <c r="I24" s="12" t="str">
        <f>'ANA SAYFA'!I23</f>
        <v>YOK</v>
      </c>
      <c r="J24" s="12">
        <f>IFERROR((VLOOKUP(F24,'Veri Sayfası - 2'!B28:C37,2)*G24),0)</f>
        <v>0</v>
      </c>
      <c r="K24" s="12">
        <f t="shared" si="0"/>
        <v>0</v>
      </c>
      <c r="L24" s="12">
        <f t="shared" si="1"/>
        <v>0</v>
      </c>
      <c r="M24" s="12">
        <f>IFERROR((VLOOKUP(F24,'Veri Sayfası - 2'!B28:D37,3,0)),0)</f>
        <v>0</v>
      </c>
      <c r="N24" s="12">
        <f t="shared" si="2"/>
        <v>0</v>
      </c>
      <c r="O24" s="12">
        <f t="shared" si="3"/>
        <v>0</v>
      </c>
      <c r="P24" s="12">
        <f t="shared" si="4"/>
        <v>0</v>
      </c>
      <c r="Q24" s="12">
        <f t="shared" si="5"/>
        <v>0</v>
      </c>
      <c r="R24" s="12">
        <f t="shared" si="6"/>
        <v>0</v>
      </c>
      <c r="S24" s="12">
        <f t="shared" si="7"/>
        <v>0</v>
      </c>
      <c r="T24" s="12">
        <f t="shared" si="8"/>
        <v>0</v>
      </c>
      <c r="U24" s="12">
        <f t="shared" si="9"/>
        <v>0</v>
      </c>
      <c r="V24" s="12">
        <f t="shared" si="10"/>
        <v>0</v>
      </c>
      <c r="W24" s="12">
        <f t="shared" si="11"/>
        <v>0</v>
      </c>
    </row>
    <row r="25" spans="1:23" x14ac:dyDescent="0.25">
      <c r="A25" s="12" t="str">
        <f>'ANA SAYFA'!A24</f>
        <v>POZ 12</v>
      </c>
      <c r="B25" s="12">
        <f>'ANA SAYFA'!B24</f>
        <v>0</v>
      </c>
      <c r="C25" s="12">
        <f>'ANA SAYFA'!C24</f>
        <v>0</v>
      </c>
      <c r="D25" s="12" t="str">
        <f>'ANA SAYFA'!D24</f>
        <v>TEKCAM</v>
      </c>
      <c r="E25" s="12" t="str">
        <f>'ANA SAYFA'!E24</f>
        <v>3'LÜ RAY</v>
      </c>
      <c r="F25" s="12">
        <f>'ANA SAYFA'!F24</f>
        <v>0</v>
      </c>
      <c r="G25" s="12">
        <f>'ANA SAYFA'!G24</f>
        <v>0</v>
      </c>
      <c r="H25" s="12">
        <f>IFERROR(VLOOKUP(F25,'Veri Sayfası - 2'!B29:E38,4,0),0)</f>
        <v>0</v>
      </c>
      <c r="I25" s="12" t="str">
        <f>'ANA SAYFA'!I24</f>
        <v>YOK</v>
      </c>
      <c r="J25" s="12">
        <f>IFERROR((VLOOKUP(F25,'Veri Sayfası - 2'!B29:C38,2)*G25),0)</f>
        <v>0</v>
      </c>
      <c r="K25" s="12">
        <f t="shared" si="0"/>
        <v>0</v>
      </c>
      <c r="L25" s="12">
        <f t="shared" si="1"/>
        <v>0</v>
      </c>
      <c r="M25" s="12">
        <f>IFERROR((VLOOKUP(F25,'Veri Sayfası - 2'!B29:D38,3,0)),0)</f>
        <v>0</v>
      </c>
      <c r="N25" s="12">
        <f t="shared" si="2"/>
        <v>0</v>
      </c>
      <c r="O25" s="12">
        <f t="shared" si="3"/>
        <v>0</v>
      </c>
      <c r="P25" s="12">
        <f t="shared" si="4"/>
        <v>0</v>
      </c>
      <c r="Q25" s="12">
        <f t="shared" si="5"/>
        <v>0</v>
      </c>
      <c r="R25" s="12">
        <f t="shared" si="6"/>
        <v>0</v>
      </c>
      <c r="S25" s="12">
        <f t="shared" si="7"/>
        <v>0</v>
      </c>
      <c r="T25" s="12">
        <f t="shared" si="8"/>
        <v>0</v>
      </c>
      <c r="U25" s="12">
        <f t="shared" si="9"/>
        <v>0</v>
      </c>
      <c r="V25" s="12">
        <f t="shared" si="10"/>
        <v>0</v>
      </c>
      <c r="W25" s="12">
        <f t="shared" si="11"/>
        <v>0</v>
      </c>
    </row>
    <row r="26" spans="1:23" x14ac:dyDescent="0.25">
      <c r="A26" s="12" t="str">
        <f>'ANA SAYFA'!A25</f>
        <v>POZ 13</v>
      </c>
      <c r="B26" s="12">
        <f>'ANA SAYFA'!B25</f>
        <v>0</v>
      </c>
      <c r="C26" s="12">
        <f>'ANA SAYFA'!C25</f>
        <v>0</v>
      </c>
      <c r="D26" s="12" t="str">
        <f>'ANA SAYFA'!D25</f>
        <v>TEKCAM</v>
      </c>
      <c r="E26" s="12" t="str">
        <f>'ANA SAYFA'!E25</f>
        <v>3'LÜ RAY</v>
      </c>
      <c r="F26" s="12">
        <f>'ANA SAYFA'!F25</f>
        <v>0</v>
      </c>
      <c r="G26" s="12">
        <f>'ANA SAYFA'!G25</f>
        <v>0</v>
      </c>
      <c r="H26" s="12">
        <f>IFERROR(VLOOKUP(F26,'Veri Sayfası - 2'!B30:E39,4,0),0)</f>
        <v>0</v>
      </c>
      <c r="I26" s="12" t="str">
        <f>'ANA SAYFA'!I25</f>
        <v>YOK</v>
      </c>
      <c r="J26" s="12">
        <f>IFERROR((VLOOKUP(F26,'Veri Sayfası - 2'!B30:C39,2)*G26),0)</f>
        <v>0</v>
      </c>
      <c r="K26" s="12">
        <f t="shared" si="0"/>
        <v>0</v>
      </c>
      <c r="L26" s="12">
        <f t="shared" si="1"/>
        <v>0</v>
      </c>
      <c r="M26" s="12">
        <f>IFERROR((VLOOKUP(F26,'Veri Sayfası - 2'!B30:D39,3,0)),0)</f>
        <v>0</v>
      </c>
      <c r="N26" s="12">
        <f t="shared" si="2"/>
        <v>0</v>
      </c>
      <c r="O26" s="12">
        <f t="shared" si="3"/>
        <v>0</v>
      </c>
      <c r="P26" s="12">
        <f t="shared" si="4"/>
        <v>0</v>
      </c>
      <c r="Q26" s="12">
        <f t="shared" si="5"/>
        <v>0</v>
      </c>
      <c r="R26" s="12">
        <f t="shared" si="6"/>
        <v>0</v>
      </c>
      <c r="S26" s="12">
        <f t="shared" si="7"/>
        <v>0</v>
      </c>
      <c r="T26" s="12">
        <f t="shared" si="8"/>
        <v>0</v>
      </c>
      <c r="U26" s="12">
        <f t="shared" si="9"/>
        <v>0</v>
      </c>
      <c r="V26" s="12">
        <f t="shared" si="10"/>
        <v>0</v>
      </c>
      <c r="W26" s="12">
        <f t="shared" si="11"/>
        <v>0</v>
      </c>
    </row>
    <row r="27" spans="1:23" x14ac:dyDescent="0.25">
      <c r="A27" s="12" t="str">
        <f>'ANA SAYFA'!A26</f>
        <v>POZ 14</v>
      </c>
      <c r="B27" s="12">
        <f>'ANA SAYFA'!B26</f>
        <v>0</v>
      </c>
      <c r="C27" s="12">
        <f>'ANA SAYFA'!C26</f>
        <v>0</v>
      </c>
      <c r="D27" s="12" t="str">
        <f>'ANA SAYFA'!D26</f>
        <v>TEKCAM</v>
      </c>
      <c r="E27" s="12" t="str">
        <f>'ANA SAYFA'!E26</f>
        <v>3'LÜ RAY</v>
      </c>
      <c r="F27" s="12">
        <f>'ANA SAYFA'!F26</f>
        <v>0</v>
      </c>
      <c r="G27" s="12">
        <f>'ANA SAYFA'!G26</f>
        <v>0</v>
      </c>
      <c r="H27" s="12">
        <f>IFERROR(VLOOKUP(F27,'Veri Sayfası - 2'!B31:E40,4,0),0)</f>
        <v>0</v>
      </c>
      <c r="I27" s="12" t="str">
        <f>'ANA SAYFA'!I26</f>
        <v>YOK</v>
      </c>
      <c r="J27" s="12">
        <f>IFERROR((VLOOKUP(F27,'Veri Sayfası - 2'!B31:C40,2)*G27),0)</f>
        <v>0</v>
      </c>
      <c r="K27" s="12">
        <f t="shared" si="0"/>
        <v>0</v>
      </c>
      <c r="L27" s="12">
        <f t="shared" si="1"/>
        <v>0</v>
      </c>
      <c r="M27" s="12">
        <f>IFERROR((VLOOKUP(F27,'Veri Sayfası - 2'!B31:D40,3,0)),0)</f>
        <v>0</v>
      </c>
      <c r="N27" s="12">
        <f t="shared" si="2"/>
        <v>0</v>
      </c>
      <c r="O27" s="12">
        <f t="shared" si="3"/>
        <v>0</v>
      </c>
      <c r="P27" s="12">
        <f t="shared" si="4"/>
        <v>0</v>
      </c>
      <c r="Q27" s="12">
        <f t="shared" si="5"/>
        <v>0</v>
      </c>
      <c r="R27" s="12">
        <f t="shared" si="6"/>
        <v>0</v>
      </c>
      <c r="S27" s="12">
        <f t="shared" si="7"/>
        <v>0</v>
      </c>
      <c r="T27" s="12">
        <f t="shared" si="8"/>
        <v>0</v>
      </c>
      <c r="U27" s="12">
        <f t="shared" si="9"/>
        <v>0</v>
      </c>
      <c r="V27" s="12">
        <f t="shared" si="10"/>
        <v>0</v>
      </c>
      <c r="W27" s="12">
        <f t="shared" si="11"/>
        <v>0</v>
      </c>
    </row>
    <row r="28" spans="1:23" x14ac:dyDescent="0.25">
      <c r="A28" s="12" t="str">
        <f>'ANA SAYFA'!A27</f>
        <v>POZ 15</v>
      </c>
      <c r="B28" s="12">
        <f>'ANA SAYFA'!B27</f>
        <v>0</v>
      </c>
      <c r="C28" s="12">
        <f>'ANA SAYFA'!C27</f>
        <v>0</v>
      </c>
      <c r="D28" s="12" t="str">
        <f>'ANA SAYFA'!D27</f>
        <v>TEKCAM</v>
      </c>
      <c r="E28" s="12" t="str">
        <f>'ANA SAYFA'!E27</f>
        <v>3'LÜ RAY</v>
      </c>
      <c r="F28" s="12">
        <f>'ANA SAYFA'!F27</f>
        <v>0</v>
      </c>
      <c r="G28" s="12">
        <f>'ANA SAYFA'!G27</f>
        <v>0</v>
      </c>
      <c r="H28" s="12">
        <f>IFERROR(VLOOKUP(F28,'Veri Sayfası - 2'!B32:E41,4,0),0)</f>
        <v>0</v>
      </c>
      <c r="I28" s="12" t="str">
        <f>'ANA SAYFA'!I27</f>
        <v>YOK</v>
      </c>
      <c r="J28" s="12">
        <f>IFERROR((VLOOKUP(F28,'Veri Sayfası - 2'!B32:C41,2)*G28),0)</f>
        <v>0</v>
      </c>
      <c r="K28" s="12">
        <f t="shared" si="0"/>
        <v>0</v>
      </c>
      <c r="L28" s="12">
        <f t="shared" si="1"/>
        <v>0</v>
      </c>
      <c r="M28" s="12">
        <f>IFERROR((VLOOKUP(F28,'Veri Sayfası - 2'!B32:D41,3,0)),0)</f>
        <v>0</v>
      </c>
      <c r="N28" s="12">
        <f t="shared" si="2"/>
        <v>0</v>
      </c>
      <c r="O28" s="12">
        <f t="shared" si="3"/>
        <v>0</v>
      </c>
      <c r="P28" s="12">
        <f t="shared" si="4"/>
        <v>0</v>
      </c>
      <c r="Q28" s="12">
        <f t="shared" si="5"/>
        <v>0</v>
      </c>
      <c r="R28" s="12">
        <f t="shared" si="6"/>
        <v>0</v>
      </c>
      <c r="S28" s="12">
        <f t="shared" si="7"/>
        <v>0</v>
      </c>
      <c r="T28" s="12">
        <f t="shared" si="8"/>
        <v>0</v>
      </c>
      <c r="U28" s="12">
        <f t="shared" si="9"/>
        <v>0</v>
      </c>
      <c r="V28" s="12">
        <f t="shared" si="10"/>
        <v>0</v>
      </c>
      <c r="W28" s="12">
        <f t="shared" si="11"/>
        <v>0</v>
      </c>
    </row>
    <row r="29" spans="1:23" x14ac:dyDescent="0.25">
      <c r="A29" s="12" t="str">
        <f>'ANA SAYFA'!A28</f>
        <v>POZ 16</v>
      </c>
      <c r="B29" s="12">
        <f>'ANA SAYFA'!B28</f>
        <v>0</v>
      </c>
      <c r="C29" s="12">
        <f>'ANA SAYFA'!C28</f>
        <v>0</v>
      </c>
      <c r="D29" s="12" t="str">
        <f>'ANA SAYFA'!D28</f>
        <v>TEKCAM</v>
      </c>
      <c r="E29" s="12" t="str">
        <f>'ANA SAYFA'!E28</f>
        <v>3'LÜ RAY</v>
      </c>
      <c r="F29" s="12">
        <f>'ANA SAYFA'!F28</f>
        <v>0</v>
      </c>
      <c r="G29" s="12">
        <f>'ANA SAYFA'!G28</f>
        <v>0</v>
      </c>
      <c r="H29" s="12">
        <f>IFERROR(VLOOKUP(F29,'Veri Sayfası - 2'!B33:E42,4,0),0)</f>
        <v>0</v>
      </c>
      <c r="I29" s="12" t="str">
        <f>'ANA SAYFA'!I28</f>
        <v>YOK</v>
      </c>
      <c r="J29" s="12">
        <f>IFERROR((VLOOKUP(F29,'Veri Sayfası - 2'!B33:C42,2)*G29),0)</f>
        <v>0</v>
      </c>
      <c r="K29" s="12">
        <f t="shared" si="0"/>
        <v>0</v>
      </c>
      <c r="L29" s="12">
        <f t="shared" si="1"/>
        <v>0</v>
      </c>
      <c r="M29" s="12">
        <f>IFERROR((VLOOKUP(F29,'Veri Sayfası - 2'!B33:D42,3,0)),0)</f>
        <v>0</v>
      </c>
      <c r="N29" s="12">
        <f t="shared" si="2"/>
        <v>0</v>
      </c>
      <c r="O29" s="12">
        <f t="shared" si="3"/>
        <v>0</v>
      </c>
      <c r="P29" s="12">
        <f t="shared" si="4"/>
        <v>0</v>
      </c>
      <c r="Q29" s="12">
        <f t="shared" si="5"/>
        <v>0</v>
      </c>
      <c r="R29" s="12">
        <f t="shared" si="6"/>
        <v>0</v>
      </c>
      <c r="S29" s="12">
        <f t="shared" si="7"/>
        <v>0</v>
      </c>
      <c r="T29" s="12">
        <f t="shared" si="8"/>
        <v>0</v>
      </c>
      <c r="U29" s="12">
        <f t="shared" si="9"/>
        <v>0</v>
      </c>
      <c r="V29" s="12">
        <f t="shared" si="10"/>
        <v>0</v>
      </c>
      <c r="W29" s="12">
        <f t="shared" si="11"/>
        <v>0</v>
      </c>
    </row>
    <row r="30" spans="1:23" x14ac:dyDescent="0.25">
      <c r="A30" s="12" t="str">
        <f>'ANA SAYFA'!A29</f>
        <v>POZ 17</v>
      </c>
      <c r="B30" s="12">
        <f>'ANA SAYFA'!B29</f>
        <v>0</v>
      </c>
      <c r="C30" s="12">
        <f>'ANA SAYFA'!C29</f>
        <v>0</v>
      </c>
      <c r="D30" s="12" t="str">
        <f>'ANA SAYFA'!D29</f>
        <v>TEKCAM</v>
      </c>
      <c r="E30" s="12" t="str">
        <f>'ANA SAYFA'!E29</f>
        <v>3'LÜ RAY</v>
      </c>
      <c r="F30" s="12">
        <f>'ANA SAYFA'!F29</f>
        <v>0</v>
      </c>
      <c r="G30" s="12">
        <f>'ANA SAYFA'!G29</f>
        <v>0</v>
      </c>
      <c r="H30" s="12">
        <f>IFERROR(VLOOKUP(F30,'Veri Sayfası - 2'!B34:E43,4,0),0)</f>
        <v>0</v>
      </c>
      <c r="I30" s="12" t="str">
        <f>'ANA SAYFA'!I29</f>
        <v>YOK</v>
      </c>
      <c r="J30" s="12">
        <f>IFERROR((VLOOKUP(F30,'Veri Sayfası - 2'!B34:C43,2)*G30),0)</f>
        <v>0</v>
      </c>
      <c r="K30" s="12">
        <f t="shared" si="0"/>
        <v>0</v>
      </c>
      <c r="L30" s="12">
        <f t="shared" si="1"/>
        <v>0</v>
      </c>
      <c r="M30" s="12">
        <f>IFERROR((VLOOKUP(F30,'Veri Sayfası - 2'!B34:D43,3,0)),0)</f>
        <v>0</v>
      </c>
      <c r="N30" s="12">
        <f t="shared" si="2"/>
        <v>0</v>
      </c>
      <c r="O30" s="12">
        <f t="shared" si="3"/>
        <v>0</v>
      </c>
      <c r="P30" s="12">
        <f t="shared" si="4"/>
        <v>0</v>
      </c>
      <c r="Q30" s="12">
        <f t="shared" si="5"/>
        <v>0</v>
      </c>
      <c r="R30" s="12">
        <f t="shared" si="6"/>
        <v>0</v>
      </c>
      <c r="S30" s="12">
        <f t="shared" si="7"/>
        <v>0</v>
      </c>
      <c r="T30" s="12">
        <f t="shared" si="8"/>
        <v>0</v>
      </c>
      <c r="U30" s="12">
        <f t="shared" si="9"/>
        <v>0</v>
      </c>
      <c r="V30" s="12">
        <f t="shared" si="10"/>
        <v>0</v>
      </c>
      <c r="W30" s="12">
        <f t="shared" si="11"/>
        <v>0</v>
      </c>
    </row>
    <row r="31" spans="1:23" x14ac:dyDescent="0.25">
      <c r="A31" s="12" t="str">
        <f>'ANA SAYFA'!A30</f>
        <v>POZ 18</v>
      </c>
      <c r="B31" s="12">
        <f>'ANA SAYFA'!B30</f>
        <v>0</v>
      </c>
      <c r="C31" s="12">
        <f>'ANA SAYFA'!C30</f>
        <v>0</v>
      </c>
      <c r="D31" s="12" t="str">
        <f>'ANA SAYFA'!D30</f>
        <v>TEKCAM</v>
      </c>
      <c r="E31" s="12" t="str">
        <f>'ANA SAYFA'!E30</f>
        <v>3'LÜ RAY</v>
      </c>
      <c r="F31" s="12">
        <f>'ANA SAYFA'!F30</f>
        <v>0</v>
      </c>
      <c r="G31" s="12">
        <f>'ANA SAYFA'!G30</f>
        <v>0</v>
      </c>
      <c r="H31" s="12">
        <f>IFERROR(VLOOKUP(F31,'Veri Sayfası - 2'!B35:E44,4,0),0)</f>
        <v>0</v>
      </c>
      <c r="I31" s="12" t="str">
        <f>'ANA SAYFA'!I30</f>
        <v>YOK</v>
      </c>
      <c r="J31" s="12">
        <f>IFERROR((VLOOKUP(F31,'Veri Sayfası - 2'!B35:C44,2)*G31),0)</f>
        <v>0</v>
      </c>
      <c r="K31" s="12">
        <f t="shared" si="0"/>
        <v>0</v>
      </c>
      <c r="L31" s="12">
        <f t="shared" si="1"/>
        <v>0</v>
      </c>
      <c r="M31" s="12">
        <f>IFERROR((VLOOKUP(F31,'Veri Sayfası - 2'!B35:D44,3,0)),0)</f>
        <v>0</v>
      </c>
      <c r="N31" s="12">
        <f t="shared" si="2"/>
        <v>0</v>
      </c>
      <c r="O31" s="12">
        <f t="shared" si="3"/>
        <v>0</v>
      </c>
      <c r="P31" s="12">
        <f t="shared" si="4"/>
        <v>0</v>
      </c>
      <c r="Q31" s="12">
        <f t="shared" si="5"/>
        <v>0</v>
      </c>
      <c r="R31" s="12">
        <f t="shared" si="6"/>
        <v>0</v>
      </c>
      <c r="S31" s="12">
        <f t="shared" si="7"/>
        <v>0</v>
      </c>
      <c r="T31" s="12">
        <f t="shared" si="8"/>
        <v>0</v>
      </c>
      <c r="U31" s="12">
        <f t="shared" si="9"/>
        <v>0</v>
      </c>
      <c r="V31" s="12">
        <f t="shared" si="10"/>
        <v>0</v>
      </c>
      <c r="W31" s="12">
        <f t="shared" si="11"/>
        <v>0</v>
      </c>
    </row>
    <row r="32" spans="1:23" x14ac:dyDescent="0.25">
      <c r="A32" s="12" t="str">
        <f>'ANA SAYFA'!A31</f>
        <v>POZ 19</v>
      </c>
      <c r="B32" s="12">
        <f>'ANA SAYFA'!B31</f>
        <v>0</v>
      </c>
      <c r="C32" s="12">
        <f>'ANA SAYFA'!C31</f>
        <v>0</v>
      </c>
      <c r="D32" s="12" t="str">
        <f>'ANA SAYFA'!D31</f>
        <v>TEKCAM</v>
      </c>
      <c r="E32" s="12" t="str">
        <f>'ANA SAYFA'!E31</f>
        <v>3'LÜ RAY</v>
      </c>
      <c r="F32" s="12">
        <f>'ANA SAYFA'!F31</f>
        <v>0</v>
      </c>
      <c r="G32" s="12">
        <f>'ANA SAYFA'!G31</f>
        <v>0</v>
      </c>
      <c r="H32" s="12">
        <f>IFERROR(VLOOKUP(F32,'Veri Sayfası - 2'!B36:E45,4,0),0)</f>
        <v>0</v>
      </c>
      <c r="I32" s="12" t="str">
        <f>'ANA SAYFA'!I31</f>
        <v>YOK</v>
      </c>
      <c r="J32" s="12">
        <f>IFERROR((VLOOKUP(F32,'Veri Sayfası - 2'!B36:C45,2)*G32),0)</f>
        <v>0</v>
      </c>
      <c r="K32" s="12">
        <f t="shared" si="0"/>
        <v>0</v>
      </c>
      <c r="L32" s="12">
        <f t="shared" si="1"/>
        <v>0</v>
      </c>
      <c r="M32" s="12">
        <f>IFERROR((VLOOKUP(F32,'Veri Sayfası - 2'!B36:D45,3,0)),0)</f>
        <v>0</v>
      </c>
      <c r="N32" s="12">
        <f t="shared" si="2"/>
        <v>0</v>
      </c>
      <c r="O32" s="12">
        <f t="shared" si="3"/>
        <v>0</v>
      </c>
      <c r="P32" s="12">
        <f t="shared" si="4"/>
        <v>0</v>
      </c>
      <c r="Q32" s="12">
        <f t="shared" si="5"/>
        <v>0</v>
      </c>
      <c r="R32" s="12">
        <f t="shared" si="6"/>
        <v>0</v>
      </c>
      <c r="S32" s="12">
        <f t="shared" si="7"/>
        <v>0</v>
      </c>
      <c r="T32" s="12">
        <f t="shared" si="8"/>
        <v>0</v>
      </c>
      <c r="U32" s="12">
        <f t="shared" si="9"/>
        <v>0</v>
      </c>
      <c r="V32" s="12">
        <f t="shared" si="10"/>
        <v>0</v>
      </c>
      <c r="W32" s="12">
        <f t="shared" si="11"/>
        <v>0</v>
      </c>
    </row>
    <row r="33" spans="1:23" x14ac:dyDescent="0.25">
      <c r="A33" s="12" t="str">
        <f>'ANA SAYFA'!A32</f>
        <v>POZ 20</v>
      </c>
      <c r="B33" s="12">
        <f>'ANA SAYFA'!B32</f>
        <v>0</v>
      </c>
      <c r="C33" s="12">
        <f>'ANA SAYFA'!C32</f>
        <v>0</v>
      </c>
      <c r="D33" s="12" t="str">
        <f>'ANA SAYFA'!D32</f>
        <v>TEKCAM</v>
      </c>
      <c r="E33" s="12" t="str">
        <f>'ANA SAYFA'!E32</f>
        <v>3'LÜ RAY</v>
      </c>
      <c r="F33" s="12">
        <f>'ANA SAYFA'!F32</f>
        <v>0</v>
      </c>
      <c r="G33" s="12">
        <f>'ANA SAYFA'!G32</f>
        <v>0</v>
      </c>
      <c r="H33" s="12">
        <f>IFERROR(VLOOKUP(F33,'Veri Sayfası - 2'!B37:E46,4,0),0)</f>
        <v>0</v>
      </c>
      <c r="I33" s="12" t="str">
        <f>'ANA SAYFA'!I32</f>
        <v>YOK</v>
      </c>
      <c r="J33" s="12">
        <f>IFERROR((VLOOKUP(F33,'Veri Sayfası - 2'!B37:C46,2)*G33),0)</f>
        <v>0</v>
      </c>
      <c r="K33" s="12">
        <f t="shared" si="0"/>
        <v>0</v>
      </c>
      <c r="L33" s="12">
        <f t="shared" si="1"/>
        <v>0</v>
      </c>
      <c r="M33" s="12">
        <f>IFERROR((VLOOKUP(F33,'Veri Sayfası - 2'!B37:D46,3,0)),0)</f>
        <v>0</v>
      </c>
      <c r="N33" s="12">
        <f t="shared" si="2"/>
        <v>0</v>
      </c>
      <c r="O33" s="12">
        <f t="shared" si="3"/>
        <v>0</v>
      </c>
      <c r="P33" s="12">
        <f t="shared" si="4"/>
        <v>0</v>
      </c>
      <c r="Q33" s="12">
        <f t="shared" si="5"/>
        <v>0</v>
      </c>
      <c r="R33" s="12">
        <f t="shared" si="6"/>
        <v>0</v>
      </c>
      <c r="S33" s="12">
        <f t="shared" si="7"/>
        <v>0</v>
      </c>
      <c r="T33" s="12">
        <f t="shared" si="8"/>
        <v>0</v>
      </c>
      <c r="U33" s="12">
        <f t="shared" si="9"/>
        <v>0</v>
      </c>
      <c r="V33" s="12">
        <f t="shared" si="10"/>
        <v>0</v>
      </c>
      <c r="W33" s="12">
        <f t="shared" si="11"/>
        <v>0</v>
      </c>
    </row>
    <row r="34" spans="1:23" x14ac:dyDescent="0.25">
      <c r="A34" s="12" t="str">
        <f>'ANA SAYFA'!A33</f>
        <v>POZ 21</v>
      </c>
      <c r="B34" s="12">
        <f>'ANA SAYFA'!B33</f>
        <v>0</v>
      </c>
      <c r="C34" s="12">
        <f>'ANA SAYFA'!C33</f>
        <v>0</v>
      </c>
      <c r="D34" s="12" t="str">
        <f>'ANA SAYFA'!D33</f>
        <v>TEKCAM</v>
      </c>
      <c r="E34" s="12" t="str">
        <f>'ANA SAYFA'!E33</f>
        <v>3'LÜ RAY</v>
      </c>
      <c r="F34" s="12">
        <f>'ANA SAYFA'!F33</f>
        <v>0</v>
      </c>
      <c r="G34" s="12">
        <f>'ANA SAYFA'!G33</f>
        <v>0</v>
      </c>
      <c r="H34" s="12">
        <f>IFERROR(VLOOKUP(F34,'Veri Sayfası - 2'!B38:E47,4,0),0)</f>
        <v>0</v>
      </c>
      <c r="I34" s="12" t="str">
        <f>'ANA SAYFA'!I33</f>
        <v>YOK</v>
      </c>
      <c r="J34" s="12">
        <f>IFERROR((VLOOKUP(F34,'Veri Sayfası - 2'!B38:C47,2)*G34),0)</f>
        <v>0</v>
      </c>
      <c r="K34" s="12">
        <f t="shared" si="0"/>
        <v>0</v>
      </c>
      <c r="L34" s="12">
        <f t="shared" si="1"/>
        <v>0</v>
      </c>
      <c r="M34" s="12">
        <f>IFERROR((VLOOKUP(F34,'Veri Sayfası - 2'!B38:D47,3,0)),0)</f>
        <v>0</v>
      </c>
      <c r="N34" s="12">
        <f t="shared" si="2"/>
        <v>0</v>
      </c>
      <c r="O34" s="12">
        <f t="shared" si="3"/>
        <v>0</v>
      </c>
      <c r="P34" s="12">
        <f t="shared" si="4"/>
        <v>0</v>
      </c>
      <c r="Q34" s="12">
        <f t="shared" si="5"/>
        <v>0</v>
      </c>
      <c r="R34" s="12">
        <f t="shared" si="6"/>
        <v>0</v>
      </c>
      <c r="S34" s="12">
        <f t="shared" si="7"/>
        <v>0</v>
      </c>
      <c r="T34" s="12">
        <f t="shared" si="8"/>
        <v>0</v>
      </c>
      <c r="U34" s="12">
        <f t="shared" si="9"/>
        <v>0</v>
      </c>
      <c r="V34" s="12">
        <f t="shared" si="10"/>
        <v>0</v>
      </c>
      <c r="W34" s="12">
        <f t="shared" si="11"/>
        <v>0</v>
      </c>
    </row>
    <row r="35" spans="1:23" x14ac:dyDescent="0.25">
      <c r="A35" s="12" t="str">
        <f>'ANA SAYFA'!A34</f>
        <v>POZ 22</v>
      </c>
      <c r="B35" s="12">
        <f>'ANA SAYFA'!B34</f>
        <v>0</v>
      </c>
      <c r="C35" s="12">
        <f>'ANA SAYFA'!C34</f>
        <v>0</v>
      </c>
      <c r="D35" s="12" t="str">
        <f>'ANA SAYFA'!D34</f>
        <v>TEKCAM</v>
      </c>
      <c r="E35" s="12" t="str">
        <f>'ANA SAYFA'!E34</f>
        <v>3'LÜ RAY</v>
      </c>
      <c r="F35" s="12">
        <f>'ANA SAYFA'!F34</f>
        <v>0</v>
      </c>
      <c r="G35" s="12">
        <f>'ANA SAYFA'!G34</f>
        <v>0</v>
      </c>
      <c r="H35" s="12">
        <f>IFERROR(VLOOKUP(F35,'Veri Sayfası - 2'!B39:E48,4,0),0)</f>
        <v>0</v>
      </c>
      <c r="I35" s="12" t="str">
        <f>'ANA SAYFA'!I34</f>
        <v>YOK</v>
      </c>
      <c r="J35" s="12">
        <f>IFERROR((VLOOKUP(F35,'Veri Sayfası - 2'!B39:C48,2)*G35),0)</f>
        <v>0</v>
      </c>
      <c r="K35" s="12">
        <f t="shared" si="0"/>
        <v>0</v>
      </c>
      <c r="L35" s="12">
        <f t="shared" si="1"/>
        <v>0</v>
      </c>
      <c r="M35" s="12">
        <f>IFERROR((VLOOKUP(F35,'Veri Sayfası - 2'!B39:D48,3,0)),0)</f>
        <v>0</v>
      </c>
      <c r="N35" s="12">
        <f t="shared" si="2"/>
        <v>0</v>
      </c>
      <c r="O35" s="12">
        <f t="shared" si="3"/>
        <v>0</v>
      </c>
      <c r="P35" s="12">
        <f t="shared" si="4"/>
        <v>0</v>
      </c>
      <c r="Q35" s="12">
        <f t="shared" si="5"/>
        <v>0</v>
      </c>
      <c r="R35" s="12">
        <f t="shared" si="6"/>
        <v>0</v>
      </c>
      <c r="S35" s="12">
        <f t="shared" si="7"/>
        <v>0</v>
      </c>
      <c r="T35" s="12">
        <f t="shared" si="8"/>
        <v>0</v>
      </c>
      <c r="U35" s="12">
        <f t="shared" si="9"/>
        <v>0</v>
      </c>
      <c r="V35" s="12">
        <f t="shared" si="10"/>
        <v>0</v>
      </c>
      <c r="W35" s="12">
        <f t="shared" si="11"/>
        <v>0</v>
      </c>
    </row>
    <row r="36" spans="1:23" x14ac:dyDescent="0.25">
      <c r="A36" s="12" t="str">
        <f>'ANA SAYFA'!A35</f>
        <v>POZ 23</v>
      </c>
      <c r="B36" s="12">
        <f>'ANA SAYFA'!B35</f>
        <v>0</v>
      </c>
      <c r="C36" s="12">
        <f>'ANA SAYFA'!C35</f>
        <v>0</v>
      </c>
      <c r="D36" s="12" t="str">
        <f>'ANA SAYFA'!D35</f>
        <v>TEKCAM</v>
      </c>
      <c r="E36" s="12" t="str">
        <f>'ANA SAYFA'!E35</f>
        <v>3'LÜ RAY</v>
      </c>
      <c r="F36" s="12">
        <f>'ANA SAYFA'!F35</f>
        <v>0</v>
      </c>
      <c r="G36" s="12">
        <f>'ANA SAYFA'!G35</f>
        <v>0</v>
      </c>
      <c r="H36" s="12">
        <f>IFERROR(VLOOKUP(F36,'Veri Sayfası - 2'!B40:E49,4,0),0)</f>
        <v>0</v>
      </c>
      <c r="I36" s="12" t="str">
        <f>'ANA SAYFA'!I35</f>
        <v>YOK</v>
      </c>
      <c r="J36" s="12">
        <f>IFERROR((VLOOKUP(F36,'Veri Sayfası - 2'!B40:C49,2)*G36),0)</f>
        <v>0</v>
      </c>
      <c r="K36" s="12">
        <f t="shared" si="0"/>
        <v>0</v>
      </c>
      <c r="L36" s="12">
        <f t="shared" si="1"/>
        <v>0</v>
      </c>
      <c r="M36" s="12">
        <f>IFERROR((VLOOKUP(F36,'Veri Sayfası - 2'!B40:D49,3,0)),0)</f>
        <v>0</v>
      </c>
      <c r="N36" s="12">
        <f t="shared" si="2"/>
        <v>0</v>
      </c>
      <c r="O36" s="12">
        <f t="shared" si="3"/>
        <v>0</v>
      </c>
      <c r="P36" s="12">
        <f t="shared" si="4"/>
        <v>0</v>
      </c>
      <c r="Q36" s="12">
        <f t="shared" si="5"/>
        <v>0</v>
      </c>
      <c r="R36" s="12">
        <f t="shared" si="6"/>
        <v>0</v>
      </c>
      <c r="S36" s="12">
        <f t="shared" si="7"/>
        <v>0</v>
      </c>
      <c r="T36" s="12">
        <f t="shared" si="8"/>
        <v>0</v>
      </c>
      <c r="U36" s="12">
        <f t="shared" si="9"/>
        <v>0</v>
      </c>
      <c r="V36" s="12">
        <f t="shared" si="10"/>
        <v>0</v>
      </c>
      <c r="W36" s="12">
        <f t="shared" si="11"/>
        <v>0</v>
      </c>
    </row>
    <row r="37" spans="1:23" x14ac:dyDescent="0.25">
      <c r="A37" s="12" t="str">
        <f>'ANA SAYFA'!A36</f>
        <v>POZ 24</v>
      </c>
      <c r="B37" s="12">
        <f>'ANA SAYFA'!B36</f>
        <v>0</v>
      </c>
      <c r="C37" s="12">
        <f>'ANA SAYFA'!C36</f>
        <v>0</v>
      </c>
      <c r="D37" s="12" t="str">
        <f>'ANA SAYFA'!D36</f>
        <v>TEKCAM</v>
      </c>
      <c r="E37" s="12" t="str">
        <f>'ANA SAYFA'!E36</f>
        <v>3'LÜ RAY</v>
      </c>
      <c r="F37" s="12">
        <f>'ANA SAYFA'!F36</f>
        <v>0</v>
      </c>
      <c r="G37" s="12">
        <f>'ANA SAYFA'!G36</f>
        <v>0</v>
      </c>
      <c r="H37" s="12">
        <f>IFERROR(VLOOKUP(F37,'Veri Sayfası - 2'!B41:E50,4,0),0)</f>
        <v>0</v>
      </c>
      <c r="I37" s="12" t="str">
        <f>'ANA SAYFA'!I36</f>
        <v>YOK</v>
      </c>
      <c r="J37" s="12">
        <f>IFERROR((VLOOKUP(F37,'Veri Sayfası - 2'!B41:C50,2)*G37),0)</f>
        <v>0</v>
      </c>
      <c r="K37" s="12">
        <f t="shared" si="0"/>
        <v>0</v>
      </c>
      <c r="L37" s="12">
        <f t="shared" si="1"/>
        <v>0</v>
      </c>
      <c r="M37" s="12">
        <f>IFERROR((VLOOKUP(F37,'Veri Sayfası - 2'!B41:D50,3,0)),0)</f>
        <v>0</v>
      </c>
      <c r="N37" s="12">
        <f t="shared" si="2"/>
        <v>0</v>
      </c>
      <c r="O37" s="12">
        <f t="shared" si="3"/>
        <v>0</v>
      </c>
      <c r="P37" s="12">
        <f t="shared" si="4"/>
        <v>0</v>
      </c>
      <c r="Q37" s="12">
        <f t="shared" si="5"/>
        <v>0</v>
      </c>
      <c r="R37" s="12">
        <f t="shared" si="6"/>
        <v>0</v>
      </c>
      <c r="S37" s="12">
        <f t="shared" si="7"/>
        <v>0</v>
      </c>
      <c r="T37" s="12">
        <f t="shared" si="8"/>
        <v>0</v>
      </c>
      <c r="U37" s="12">
        <f t="shared" si="9"/>
        <v>0</v>
      </c>
      <c r="V37" s="12">
        <f t="shared" si="10"/>
        <v>0</v>
      </c>
      <c r="W37" s="12">
        <f t="shared" si="11"/>
        <v>0</v>
      </c>
    </row>
    <row r="38" spans="1:23" x14ac:dyDescent="0.25">
      <c r="A38" s="12" t="str">
        <f>'ANA SAYFA'!A37</f>
        <v>POZ 25</v>
      </c>
      <c r="B38" s="12">
        <f>'ANA SAYFA'!B37</f>
        <v>0</v>
      </c>
      <c r="C38" s="12">
        <f>'ANA SAYFA'!C37</f>
        <v>0</v>
      </c>
      <c r="D38" s="12" t="str">
        <f>'ANA SAYFA'!D37</f>
        <v>TEKCAM</v>
      </c>
      <c r="E38" s="12" t="str">
        <f>'ANA SAYFA'!E37</f>
        <v>3'LÜ RAY</v>
      </c>
      <c r="F38" s="12">
        <f>'ANA SAYFA'!F37</f>
        <v>0</v>
      </c>
      <c r="G38" s="12">
        <f>'ANA SAYFA'!G37</f>
        <v>0</v>
      </c>
      <c r="H38" s="12">
        <f>IFERROR(VLOOKUP(F38,'Veri Sayfası - 2'!B42:E51,4,0),0)</f>
        <v>0</v>
      </c>
      <c r="I38" s="12" t="str">
        <f>'ANA SAYFA'!I37</f>
        <v>YOK</v>
      </c>
      <c r="J38" s="12">
        <f>IFERROR((VLOOKUP(F38,'Veri Sayfası - 2'!B42:C51,2)*G38),0)</f>
        <v>0</v>
      </c>
      <c r="K38" s="12">
        <f t="shared" si="0"/>
        <v>0</v>
      </c>
      <c r="L38" s="12">
        <f t="shared" si="1"/>
        <v>0</v>
      </c>
      <c r="M38" s="12">
        <f>IFERROR((VLOOKUP(F38,'Veri Sayfası - 2'!B42:D51,3,0)),0)</f>
        <v>0</v>
      </c>
      <c r="N38" s="12">
        <f t="shared" si="2"/>
        <v>0</v>
      </c>
      <c r="O38" s="12">
        <f t="shared" si="3"/>
        <v>0</v>
      </c>
      <c r="P38" s="12">
        <f t="shared" si="4"/>
        <v>0</v>
      </c>
      <c r="Q38" s="12">
        <f t="shared" si="5"/>
        <v>0</v>
      </c>
      <c r="R38" s="12">
        <f t="shared" si="6"/>
        <v>0</v>
      </c>
      <c r="S38" s="12">
        <f t="shared" si="7"/>
        <v>0</v>
      </c>
      <c r="T38" s="12">
        <f t="shared" si="8"/>
        <v>0</v>
      </c>
      <c r="U38" s="12">
        <f t="shared" si="9"/>
        <v>0</v>
      </c>
      <c r="V38" s="12">
        <f t="shared" si="10"/>
        <v>0</v>
      </c>
      <c r="W38" s="12">
        <f t="shared" si="11"/>
        <v>0</v>
      </c>
    </row>
    <row r="39" spans="1:23" x14ac:dyDescent="0.25">
      <c r="A39" s="12" t="str">
        <f>'ANA SAYFA'!A38</f>
        <v>POZ 26</v>
      </c>
      <c r="B39" s="12">
        <f>'ANA SAYFA'!B38</f>
        <v>0</v>
      </c>
      <c r="C39" s="12">
        <f>'ANA SAYFA'!C38</f>
        <v>0</v>
      </c>
      <c r="D39" s="12" t="str">
        <f>'ANA SAYFA'!D38</f>
        <v>TEKCAM</v>
      </c>
      <c r="E39" s="12" t="str">
        <f>'ANA SAYFA'!E38</f>
        <v>3'LÜ RAY</v>
      </c>
      <c r="F39" s="12">
        <f>'ANA SAYFA'!F38</f>
        <v>0</v>
      </c>
      <c r="G39" s="12">
        <f>'ANA SAYFA'!G38</f>
        <v>0</v>
      </c>
      <c r="H39" s="12">
        <f>IFERROR(VLOOKUP(F39,'Veri Sayfası - 2'!B43:E52,4,0),0)</f>
        <v>0</v>
      </c>
      <c r="I39" s="12" t="str">
        <f>'ANA SAYFA'!I38</f>
        <v>YOK</v>
      </c>
      <c r="J39" s="12">
        <f>IFERROR((VLOOKUP(F39,'Veri Sayfası - 2'!B43:C52,2)*G39),0)</f>
        <v>0</v>
      </c>
      <c r="K39" s="12">
        <f t="shared" si="0"/>
        <v>0</v>
      </c>
      <c r="L39" s="12">
        <f t="shared" si="1"/>
        <v>0</v>
      </c>
      <c r="M39" s="12">
        <f>IFERROR((VLOOKUP(F39,'Veri Sayfası - 2'!B43:D52,3,0)),0)</f>
        <v>0</v>
      </c>
      <c r="N39" s="12">
        <f t="shared" si="2"/>
        <v>0</v>
      </c>
      <c r="O39" s="12">
        <f t="shared" si="3"/>
        <v>0</v>
      </c>
      <c r="P39" s="12">
        <f t="shared" si="4"/>
        <v>0</v>
      </c>
      <c r="Q39" s="12">
        <f t="shared" si="5"/>
        <v>0</v>
      </c>
      <c r="R39" s="12">
        <f t="shared" si="6"/>
        <v>0</v>
      </c>
      <c r="S39" s="12">
        <f t="shared" si="7"/>
        <v>0</v>
      </c>
      <c r="T39" s="12">
        <f t="shared" si="8"/>
        <v>0</v>
      </c>
      <c r="U39" s="12">
        <f t="shared" si="9"/>
        <v>0</v>
      </c>
      <c r="V39" s="12">
        <f t="shared" si="10"/>
        <v>0</v>
      </c>
      <c r="W39" s="12">
        <f t="shared" si="11"/>
        <v>0</v>
      </c>
    </row>
    <row r="40" spans="1:23" x14ac:dyDescent="0.25">
      <c r="A40" s="12" t="str">
        <f>'ANA SAYFA'!A39</f>
        <v>POZ 27</v>
      </c>
      <c r="B40" s="12">
        <f>'ANA SAYFA'!B39</f>
        <v>0</v>
      </c>
      <c r="C40" s="12">
        <f>'ANA SAYFA'!C39</f>
        <v>0</v>
      </c>
      <c r="D40" s="12" t="str">
        <f>'ANA SAYFA'!D39</f>
        <v>TEKCAM</v>
      </c>
      <c r="E40" s="12" t="str">
        <f>'ANA SAYFA'!E39</f>
        <v>3'LÜ RAY</v>
      </c>
      <c r="F40" s="12">
        <f>'ANA SAYFA'!F39</f>
        <v>0</v>
      </c>
      <c r="G40" s="12">
        <f>'ANA SAYFA'!G39</f>
        <v>0</v>
      </c>
      <c r="H40" s="12">
        <f>IFERROR(VLOOKUP(F40,'Veri Sayfası - 2'!B44:E53,4,0),0)</f>
        <v>0</v>
      </c>
      <c r="I40" s="12" t="str">
        <f>'ANA SAYFA'!I39</f>
        <v>YOK</v>
      </c>
      <c r="J40" s="12">
        <f>IFERROR((VLOOKUP(F40,'Veri Sayfası - 2'!B44:C53,2)*G40),0)</f>
        <v>0</v>
      </c>
      <c r="K40" s="12">
        <f t="shared" si="0"/>
        <v>0</v>
      </c>
      <c r="L40" s="12">
        <f t="shared" si="1"/>
        <v>0</v>
      </c>
      <c r="M40" s="12">
        <f>IFERROR((VLOOKUP(F40,'Veri Sayfası - 2'!B44:D53,3,0)),0)</f>
        <v>0</v>
      </c>
      <c r="N40" s="12">
        <f t="shared" si="2"/>
        <v>0</v>
      </c>
      <c r="O40" s="12">
        <f t="shared" si="3"/>
        <v>0</v>
      </c>
      <c r="P40" s="12">
        <f t="shared" si="4"/>
        <v>0</v>
      </c>
      <c r="Q40" s="12">
        <f t="shared" si="5"/>
        <v>0</v>
      </c>
      <c r="R40" s="12">
        <f t="shared" si="6"/>
        <v>0</v>
      </c>
      <c r="S40" s="12">
        <f t="shared" si="7"/>
        <v>0</v>
      </c>
      <c r="T40" s="12">
        <f t="shared" si="8"/>
        <v>0</v>
      </c>
      <c r="U40" s="12">
        <f t="shared" si="9"/>
        <v>0</v>
      </c>
      <c r="V40" s="12">
        <f t="shared" si="10"/>
        <v>0</v>
      </c>
      <c r="W40" s="12">
        <f t="shared" si="11"/>
        <v>0</v>
      </c>
    </row>
    <row r="41" spans="1:23" x14ac:dyDescent="0.25">
      <c r="A41" s="12" t="str">
        <f>'ANA SAYFA'!A40</f>
        <v>POZ 28</v>
      </c>
      <c r="B41" s="12">
        <f>'ANA SAYFA'!B40</f>
        <v>0</v>
      </c>
      <c r="C41" s="12">
        <f>'ANA SAYFA'!C40</f>
        <v>0</v>
      </c>
      <c r="D41" s="12" t="str">
        <f>'ANA SAYFA'!D40</f>
        <v>TEKCAM</v>
      </c>
      <c r="E41" s="12" t="str">
        <f>'ANA SAYFA'!E40</f>
        <v>3'LÜ RAY</v>
      </c>
      <c r="F41" s="12">
        <f>'ANA SAYFA'!F40</f>
        <v>0</v>
      </c>
      <c r="G41" s="12">
        <f>'ANA SAYFA'!G40</f>
        <v>0</v>
      </c>
      <c r="H41" s="12">
        <f>IFERROR(VLOOKUP(F41,'Veri Sayfası - 2'!B45:E54,4,0),0)</f>
        <v>0</v>
      </c>
      <c r="I41" s="12" t="str">
        <f>'ANA SAYFA'!I40</f>
        <v>YOK</v>
      </c>
      <c r="J41" s="12">
        <f>IFERROR((VLOOKUP(F41,'Veri Sayfası - 2'!B45:C54,2)*G41),0)</f>
        <v>0</v>
      </c>
      <c r="K41" s="12">
        <f t="shared" si="0"/>
        <v>0</v>
      </c>
      <c r="L41" s="12">
        <f t="shared" si="1"/>
        <v>0</v>
      </c>
      <c r="M41" s="12">
        <f>IFERROR((VLOOKUP(F41,'Veri Sayfası - 2'!B45:D54,3,0)),0)</f>
        <v>0</v>
      </c>
      <c r="N41" s="12">
        <f t="shared" si="2"/>
        <v>0</v>
      </c>
      <c r="O41" s="12">
        <f t="shared" si="3"/>
        <v>0</v>
      </c>
      <c r="P41" s="12">
        <f t="shared" si="4"/>
        <v>0</v>
      </c>
      <c r="Q41" s="12">
        <f t="shared" si="5"/>
        <v>0</v>
      </c>
      <c r="R41" s="12">
        <f t="shared" si="6"/>
        <v>0</v>
      </c>
      <c r="S41" s="12">
        <f t="shared" si="7"/>
        <v>0</v>
      </c>
      <c r="T41" s="12">
        <f t="shared" si="8"/>
        <v>0</v>
      </c>
      <c r="U41" s="12">
        <f t="shared" si="9"/>
        <v>0</v>
      </c>
      <c r="V41" s="12">
        <f t="shared" si="10"/>
        <v>0</v>
      </c>
      <c r="W41" s="12">
        <f t="shared" si="11"/>
        <v>0</v>
      </c>
    </row>
    <row r="42" spans="1:23" x14ac:dyDescent="0.25">
      <c r="A42" s="12" t="str">
        <f>'ANA SAYFA'!A41</f>
        <v>POZ 29</v>
      </c>
      <c r="B42" s="12">
        <f>'ANA SAYFA'!B41</f>
        <v>0</v>
      </c>
      <c r="C42" s="12">
        <f>'ANA SAYFA'!C41</f>
        <v>0</v>
      </c>
      <c r="D42" s="12" t="str">
        <f>'ANA SAYFA'!D41</f>
        <v>TEKCAM</v>
      </c>
      <c r="E42" s="12" t="str">
        <f>'ANA SAYFA'!E41</f>
        <v>3'LÜ RAY</v>
      </c>
      <c r="F42" s="12">
        <f>'ANA SAYFA'!F41</f>
        <v>0</v>
      </c>
      <c r="G42" s="12">
        <f>'ANA SAYFA'!G41</f>
        <v>0</v>
      </c>
      <c r="H42" s="12">
        <f>IFERROR(VLOOKUP(F42,'Veri Sayfası - 2'!B46:E55,4,0),0)</f>
        <v>0</v>
      </c>
      <c r="I42" s="12" t="str">
        <f>'ANA SAYFA'!I41</f>
        <v>YOK</v>
      </c>
      <c r="J42" s="12">
        <f>IFERROR((VLOOKUP(F42,'Veri Sayfası - 2'!B46:C55,2)*G42),0)</f>
        <v>0</v>
      </c>
      <c r="K42" s="12">
        <f t="shared" si="0"/>
        <v>0</v>
      </c>
      <c r="L42" s="12">
        <f t="shared" si="1"/>
        <v>0</v>
      </c>
      <c r="M42" s="12">
        <f>IFERROR((VLOOKUP(F42,'Veri Sayfası - 2'!B46:D55,3,0)),0)</f>
        <v>0</v>
      </c>
      <c r="N42" s="12">
        <f t="shared" si="2"/>
        <v>0</v>
      </c>
      <c r="O42" s="12">
        <f t="shared" si="3"/>
        <v>0</v>
      </c>
      <c r="P42" s="12">
        <f t="shared" si="4"/>
        <v>0</v>
      </c>
      <c r="Q42" s="12">
        <f t="shared" si="5"/>
        <v>0</v>
      </c>
      <c r="R42" s="12">
        <f t="shared" si="6"/>
        <v>0</v>
      </c>
      <c r="S42" s="12">
        <f t="shared" si="7"/>
        <v>0</v>
      </c>
      <c r="T42" s="12">
        <f t="shared" si="8"/>
        <v>0</v>
      </c>
      <c r="U42" s="12">
        <f t="shared" si="9"/>
        <v>0</v>
      </c>
      <c r="V42" s="12">
        <f t="shared" si="10"/>
        <v>0</v>
      </c>
      <c r="W42" s="12">
        <f t="shared" si="11"/>
        <v>0</v>
      </c>
    </row>
    <row r="43" spans="1:23" x14ac:dyDescent="0.25">
      <c r="A43" s="12" t="str">
        <f>'ANA SAYFA'!A42</f>
        <v>POZ 30</v>
      </c>
      <c r="B43" s="12">
        <f>'ANA SAYFA'!B42</f>
        <v>0</v>
      </c>
      <c r="C43" s="12">
        <f>'ANA SAYFA'!C42</f>
        <v>0</v>
      </c>
      <c r="D43" s="12" t="str">
        <f>'ANA SAYFA'!D42</f>
        <v>TEKCAM</v>
      </c>
      <c r="E43" s="12" t="str">
        <f>'ANA SAYFA'!E42</f>
        <v>3'LÜ RAY</v>
      </c>
      <c r="F43" s="12">
        <f>'ANA SAYFA'!F42</f>
        <v>0</v>
      </c>
      <c r="G43" s="12">
        <f>'ANA SAYFA'!G42</f>
        <v>0</v>
      </c>
      <c r="H43" s="12">
        <f>IFERROR(VLOOKUP(F43,'Veri Sayfası - 2'!B47:E56,4,0),0)</f>
        <v>0</v>
      </c>
      <c r="I43" s="12" t="str">
        <f>'ANA SAYFA'!I42</f>
        <v>YOK</v>
      </c>
      <c r="J43" s="12">
        <f>IFERROR((VLOOKUP(F43,'Veri Sayfası - 2'!B47:C56,2)*G43),0)</f>
        <v>0</v>
      </c>
      <c r="K43" s="12">
        <f t="shared" si="0"/>
        <v>0</v>
      </c>
      <c r="L43" s="12">
        <f t="shared" si="1"/>
        <v>0</v>
      </c>
      <c r="M43" s="12">
        <f>IFERROR((VLOOKUP(F43,'Veri Sayfası - 2'!B47:D56,3,0)),0)</f>
        <v>0</v>
      </c>
      <c r="N43" s="12">
        <f t="shared" si="2"/>
        <v>0</v>
      </c>
      <c r="O43" s="12">
        <f t="shared" si="3"/>
        <v>0</v>
      </c>
      <c r="P43" s="12">
        <f t="shared" si="4"/>
        <v>0</v>
      </c>
      <c r="Q43" s="12">
        <f t="shared" si="5"/>
        <v>0</v>
      </c>
      <c r="R43" s="12">
        <f t="shared" si="6"/>
        <v>0</v>
      </c>
      <c r="S43" s="12">
        <f t="shared" si="7"/>
        <v>0</v>
      </c>
      <c r="T43" s="12">
        <f t="shared" si="8"/>
        <v>0</v>
      </c>
      <c r="U43" s="12">
        <f t="shared" si="9"/>
        <v>0</v>
      </c>
      <c r="V43" s="12">
        <f t="shared" si="10"/>
        <v>0</v>
      </c>
      <c r="W43" s="12">
        <f t="shared" si="11"/>
        <v>0</v>
      </c>
    </row>
    <row r="44" spans="1:23" x14ac:dyDescent="0.25">
      <c r="G44" s="12">
        <f>SUM(G14:G43)</f>
        <v>1</v>
      </c>
    </row>
    <row r="46" spans="1:23" ht="15.75" thickBot="1" x14ac:dyDescent="0.3"/>
    <row r="47" spans="1:23" ht="15.75" thickBot="1" x14ac:dyDescent="0.3">
      <c r="J47" s="70" t="s">
        <v>62</v>
      </c>
      <c r="K47" s="70" t="s">
        <v>122</v>
      </c>
      <c r="L47" s="70" t="s">
        <v>124</v>
      </c>
      <c r="N47" s="70" t="s">
        <v>128</v>
      </c>
    </row>
    <row r="48" spans="1:23" x14ac:dyDescent="0.25">
      <c r="G48" s="228" t="s">
        <v>49</v>
      </c>
      <c r="H48" s="162"/>
      <c r="I48" s="65" t="s">
        <v>51</v>
      </c>
      <c r="J48" s="66">
        <f>SUMIFS($J$14:$J$43,$D$14:$D$43,"ISICAM",$E$14:$E$43,'Veri Sayfası - 2'!B12)</f>
        <v>0</v>
      </c>
      <c r="K48" s="71">
        <f>SUMIFS($G$14:$G$43,$D$14:$D$43,"ISICAM")</f>
        <v>0</v>
      </c>
      <c r="L48" s="71">
        <f>SUMIFS($L$14:$L$43,$D$14:$D$43,"ISICAM")</f>
        <v>0</v>
      </c>
      <c r="N48" s="71">
        <f>SUMIFS($N$14:$N$43,$D$14:$D$43,"ISICAM")</f>
        <v>0</v>
      </c>
    </row>
    <row r="49" spans="7:23" x14ac:dyDescent="0.25">
      <c r="G49" s="229"/>
      <c r="H49" s="163"/>
      <c r="I49" s="64" t="s">
        <v>53</v>
      </c>
      <c r="J49" s="67">
        <f>SUMIFS($J$14:$J$43,$D$14:$D$43,"ISICAM",$E$14:$E$43,'Veri Sayfası - 2'!B13)</f>
        <v>0</v>
      </c>
      <c r="K49" s="72"/>
      <c r="L49" s="72"/>
      <c r="N49" s="72"/>
    </row>
    <row r="50" spans="7:23" x14ac:dyDescent="0.25">
      <c r="G50" s="229"/>
      <c r="H50" s="163"/>
      <c r="I50" s="64" t="s">
        <v>52</v>
      </c>
      <c r="J50" s="67">
        <f>SUMIFS($J$14:$J$43,$D$14:$D$43,"ISICAM",$E$14:$E$43,'Veri Sayfası - 2'!B14)</f>
        <v>0</v>
      </c>
      <c r="K50" s="72"/>
      <c r="L50" s="72"/>
      <c r="N50" s="72"/>
    </row>
    <row r="51" spans="7:23" x14ac:dyDescent="0.25">
      <c r="G51" s="229"/>
      <c r="H51" s="163"/>
      <c r="I51" s="64" t="s">
        <v>54</v>
      </c>
      <c r="J51" s="67">
        <f>SUMIFS($J$14:$J$43,$D$14:$D$43,"ISICAM",$E$14:$E$43,'Veri Sayfası - 2'!B15)</f>
        <v>0</v>
      </c>
      <c r="K51" s="72"/>
      <c r="L51" s="72"/>
      <c r="N51" s="72"/>
    </row>
    <row r="52" spans="7:23" ht="15.75" thickBot="1" x14ac:dyDescent="0.3">
      <c r="G52" s="230"/>
      <c r="H52" s="164"/>
      <c r="I52" s="68" t="s">
        <v>55</v>
      </c>
      <c r="J52" s="69">
        <f>SUMIFS($J$14:$J$43,$D$14:$D$43,"ISICAM",$E$14:$E$43,'Veri Sayfası - 2'!B16)</f>
        <v>0</v>
      </c>
      <c r="K52" s="73"/>
      <c r="L52" s="73"/>
      <c r="N52" s="73"/>
    </row>
    <row r="53" spans="7:23" x14ac:dyDescent="0.25">
      <c r="G53" s="228" t="s">
        <v>48</v>
      </c>
      <c r="H53" s="162"/>
      <c r="I53" s="65" t="s">
        <v>51</v>
      </c>
      <c r="J53" s="66">
        <f>SUMIFS($J$14:$J$43,$D$14:$D$43,"TEKCAM",$E$14:$E$43,'Veri Sayfası - 2'!B12)</f>
        <v>0</v>
      </c>
      <c r="K53" s="71">
        <f>SUMIFS($G$14:$G$43,$D$14:$D$43,"TEKCAM")</f>
        <v>1</v>
      </c>
      <c r="L53" s="71">
        <f>SUMIFS($L$14:$L$43,$D$14:$D$43,"TEKCAM")</f>
        <v>4</v>
      </c>
      <c r="N53" s="71">
        <f>SUMIFS($N$14:$N$43,$D$14:$D$43,"TEKCAM")</f>
        <v>0</v>
      </c>
    </row>
    <row r="54" spans="7:23" x14ac:dyDescent="0.25">
      <c r="G54" s="229"/>
      <c r="H54" s="163"/>
      <c r="I54" s="64" t="s">
        <v>53</v>
      </c>
      <c r="J54" s="67">
        <f>SUMIFS($J$14:$J$43,$D$14:$D$43,"TEKCAM",$E$14:$E$43,'Veri Sayfası - 2'!B13)</f>
        <v>0</v>
      </c>
      <c r="K54" s="72"/>
      <c r="L54" s="72"/>
      <c r="N54" s="72"/>
    </row>
    <row r="55" spans="7:23" x14ac:dyDescent="0.25">
      <c r="G55" s="229"/>
      <c r="H55" s="163"/>
      <c r="I55" s="64" t="s">
        <v>52</v>
      </c>
      <c r="J55" s="67">
        <f>SUMIFS($J$14:$J$43,$D$14:$D$43,"TEKCAM",$E$14:$E$43,'Veri Sayfası - 2'!B14)</f>
        <v>3</v>
      </c>
      <c r="K55" s="72"/>
      <c r="L55" s="72"/>
      <c r="N55" s="72"/>
    </row>
    <row r="56" spans="7:23" x14ac:dyDescent="0.25">
      <c r="G56" s="229"/>
      <c r="H56" s="163"/>
      <c r="I56" s="64" t="s">
        <v>54</v>
      </c>
      <c r="J56" s="67">
        <f>SUMIFS($J$14:$J$43,$D$14:$D$43,"TEKCAM",$E$14:$E$43,'Veri Sayfası - 2'!B15)</f>
        <v>0</v>
      </c>
      <c r="K56" s="72"/>
      <c r="L56" s="72"/>
      <c r="N56" s="72"/>
    </row>
    <row r="57" spans="7:23" ht="15.75" thickBot="1" x14ac:dyDescent="0.3">
      <c r="G57" s="230"/>
      <c r="H57" s="164"/>
      <c r="I57" s="68" t="s">
        <v>55</v>
      </c>
      <c r="J57" s="69">
        <f>SUMIFS($J$14:$J$43,$D$14:$D$43,"TEKCAM",$E$14:$E$43,'Veri Sayfası - 2'!B16)</f>
        <v>0</v>
      </c>
      <c r="K57" s="73"/>
      <c r="L57" s="73"/>
      <c r="N57" s="76"/>
    </row>
    <row r="58" spans="7:23" ht="15.75" thickBot="1" x14ac:dyDescent="0.3"/>
    <row r="59" spans="7:23" x14ac:dyDescent="0.25">
      <c r="G59" s="78"/>
      <c r="H59" s="79"/>
      <c r="I59" s="79"/>
      <c r="J59" s="80" t="s">
        <v>120</v>
      </c>
      <c r="O59" s="77" t="s">
        <v>121</v>
      </c>
      <c r="P59" s="77" t="s">
        <v>121</v>
      </c>
      <c r="Q59" s="77" t="s">
        <v>121</v>
      </c>
      <c r="R59" s="77" t="s">
        <v>121</v>
      </c>
      <c r="S59" s="77" t="s">
        <v>121</v>
      </c>
      <c r="T59" s="77" t="s">
        <v>121</v>
      </c>
      <c r="U59" s="77" t="s">
        <v>121</v>
      </c>
      <c r="V59" s="77" t="s">
        <v>121</v>
      </c>
      <c r="W59" s="77" t="s">
        <v>121</v>
      </c>
    </row>
    <row r="60" spans="7:23" ht="15.75" thickBot="1" x14ac:dyDescent="0.3">
      <c r="G60" s="81" t="s">
        <v>49</v>
      </c>
      <c r="H60" s="82"/>
      <c r="I60" s="82"/>
      <c r="J60" s="83">
        <f>SUM(J48:J52)</f>
        <v>0</v>
      </c>
      <c r="O60" s="76">
        <f>SUM(O14:O43)</f>
        <v>0</v>
      </c>
      <c r="P60" s="76">
        <f>SUM(P14:P43)</f>
        <v>0</v>
      </c>
      <c r="Q60" s="76">
        <f>SUM(Q14:Q43)</f>
        <v>0</v>
      </c>
      <c r="R60" s="89">
        <f>ROUNDUP(SUM(R14:R43),2)</f>
        <v>0</v>
      </c>
      <c r="S60" s="89">
        <f t="shared" ref="S60:T60" si="12">ROUNDUP(SUM(S14:S43),2)</f>
        <v>2</v>
      </c>
      <c r="T60" s="89">
        <f t="shared" si="12"/>
        <v>0</v>
      </c>
      <c r="U60" s="89">
        <f t="shared" ref="U60:V60" si="13">ROUNDUP(SUM(U14:U43),2)</f>
        <v>0</v>
      </c>
      <c r="V60" s="89">
        <f t="shared" si="13"/>
        <v>0</v>
      </c>
      <c r="W60" s="89">
        <f t="shared" ref="W60" si="14">ROUNDUP(SUM(W14:W43),2)</f>
        <v>0</v>
      </c>
    </row>
    <row r="61" spans="7:23" ht="15.75" thickBot="1" x14ac:dyDescent="0.3">
      <c r="G61" s="84" t="s">
        <v>48</v>
      </c>
      <c r="H61" s="85"/>
      <c r="I61" s="85"/>
      <c r="J61" s="86">
        <f>SUM(J53:J57)</f>
        <v>3</v>
      </c>
    </row>
    <row r="62" spans="7:23" ht="15.75" thickBot="1" x14ac:dyDescent="0.3"/>
    <row r="63" spans="7:23" ht="15.75" thickBot="1" x14ac:dyDescent="0.3">
      <c r="I63" s="87" t="s">
        <v>121</v>
      </c>
      <c r="J63" s="88">
        <f>SUM(J60:J61)</f>
        <v>3</v>
      </c>
    </row>
  </sheetData>
  <mergeCells count="2">
    <mergeCell ref="G48:G52"/>
    <mergeCell ref="G53:G57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1"/>
  <sheetViews>
    <sheetView zoomScale="85" zoomScaleNormal="85" workbookViewId="0">
      <selection activeCell="I12" sqref="I12:I27"/>
    </sheetView>
  </sheetViews>
  <sheetFormatPr defaultRowHeight="15" x14ac:dyDescent="0.25"/>
  <cols>
    <col min="1" max="1" width="20.85546875" bestFit="1" customWidth="1"/>
    <col min="2" max="2" width="19.5703125" bestFit="1" customWidth="1"/>
    <col min="3" max="3" width="42.42578125" bestFit="1" customWidth="1"/>
    <col min="4" max="4" width="31.140625" bestFit="1" customWidth="1"/>
    <col min="5" max="5" width="23.5703125" bestFit="1" customWidth="1"/>
    <col min="9" max="9" width="19" customWidth="1"/>
  </cols>
  <sheetData>
    <row r="2" spans="2:9" x14ac:dyDescent="0.25">
      <c r="B2" s="9" t="s">
        <v>258</v>
      </c>
      <c r="D2" s="9" t="s">
        <v>26</v>
      </c>
    </row>
    <row r="3" spans="2:9" x14ac:dyDescent="0.25">
      <c r="B3" s="9" t="s">
        <v>31</v>
      </c>
      <c r="D3" s="9" t="s">
        <v>34</v>
      </c>
    </row>
    <row r="4" spans="2:9" x14ac:dyDescent="0.25">
      <c r="B4" s="9" t="s">
        <v>32</v>
      </c>
      <c r="D4" s="9" t="s">
        <v>17</v>
      </c>
    </row>
    <row r="5" spans="2:9" x14ac:dyDescent="0.25">
      <c r="B5" s="9" t="s">
        <v>33</v>
      </c>
    </row>
    <row r="6" spans="2:9" x14ac:dyDescent="0.25">
      <c r="B6" s="9" t="s">
        <v>233</v>
      </c>
    </row>
    <row r="8" spans="2:9" x14ac:dyDescent="0.25">
      <c r="B8" s="9" t="s">
        <v>48</v>
      </c>
    </row>
    <row r="9" spans="2:9" x14ac:dyDescent="0.25">
      <c r="B9" s="9" t="s">
        <v>49</v>
      </c>
    </row>
    <row r="12" spans="2:9" x14ac:dyDescent="0.25">
      <c r="B12" s="9" t="s">
        <v>51</v>
      </c>
    </row>
    <row r="13" spans="2:9" x14ac:dyDescent="0.25">
      <c r="B13" s="9" t="s">
        <v>53</v>
      </c>
    </row>
    <row r="14" spans="2:9" x14ac:dyDescent="0.25">
      <c r="B14" s="9" t="s">
        <v>52</v>
      </c>
    </row>
    <row r="15" spans="2:9" x14ac:dyDescent="0.25">
      <c r="B15" s="9" t="s">
        <v>54</v>
      </c>
      <c r="I15" s="9"/>
    </row>
    <row r="16" spans="2:9" x14ac:dyDescent="0.25">
      <c r="B16" s="9" t="s">
        <v>55</v>
      </c>
      <c r="I16" s="9"/>
    </row>
    <row r="17" spans="2:9" x14ac:dyDescent="0.25">
      <c r="I17" s="9"/>
    </row>
    <row r="18" spans="2:9" x14ac:dyDescent="0.25">
      <c r="B18" s="9" t="s">
        <v>50</v>
      </c>
      <c r="C18" s="9" t="s">
        <v>60</v>
      </c>
      <c r="D18" s="9" t="s">
        <v>126</v>
      </c>
      <c r="E18" s="9" t="s">
        <v>243</v>
      </c>
      <c r="I18" s="9"/>
    </row>
    <row r="19" spans="2:9" x14ac:dyDescent="0.25">
      <c r="B19" s="9"/>
      <c r="C19" s="9"/>
      <c r="D19" s="9"/>
      <c r="E19" s="9"/>
      <c r="I19" s="9"/>
    </row>
    <row r="20" spans="2:9" x14ac:dyDescent="0.25">
      <c r="B20" s="63">
        <v>2</v>
      </c>
      <c r="C20" s="9">
        <v>2</v>
      </c>
      <c r="D20" s="9">
        <v>2</v>
      </c>
      <c r="E20" s="9">
        <v>2</v>
      </c>
      <c r="I20" s="9"/>
    </row>
    <row r="21" spans="2:9" x14ac:dyDescent="0.25">
      <c r="B21" s="63">
        <v>3</v>
      </c>
      <c r="C21" s="9">
        <v>3</v>
      </c>
      <c r="D21" s="9">
        <v>3</v>
      </c>
      <c r="E21" s="9">
        <v>4</v>
      </c>
      <c r="I21" s="9"/>
    </row>
    <row r="22" spans="2:9" x14ac:dyDescent="0.25">
      <c r="B22" s="63">
        <v>4</v>
      </c>
      <c r="C22" s="9">
        <v>4</v>
      </c>
      <c r="D22" s="9">
        <v>4</v>
      </c>
      <c r="E22" s="9">
        <v>6</v>
      </c>
      <c r="I22" s="9"/>
    </row>
    <row r="23" spans="2:9" x14ac:dyDescent="0.25">
      <c r="B23" s="63">
        <v>5</v>
      </c>
      <c r="C23" s="9">
        <v>5</v>
      </c>
      <c r="D23" s="9">
        <v>5</v>
      </c>
      <c r="E23" s="9">
        <v>8</v>
      </c>
    </row>
    <row r="24" spans="2:9" x14ac:dyDescent="0.25">
      <c r="B24" s="63" t="s">
        <v>56</v>
      </c>
      <c r="C24" s="9">
        <v>4</v>
      </c>
      <c r="D24" s="9">
        <v>2</v>
      </c>
      <c r="E24" s="9">
        <v>4</v>
      </c>
    </row>
    <row r="25" spans="2:9" x14ac:dyDescent="0.25">
      <c r="B25" s="63" t="s">
        <v>57</v>
      </c>
      <c r="C25" s="9">
        <v>6</v>
      </c>
      <c r="D25" s="9">
        <v>3</v>
      </c>
      <c r="E25" s="9">
        <v>8</v>
      </c>
    </row>
    <row r="26" spans="2:9" x14ac:dyDescent="0.25">
      <c r="B26" s="63" t="s">
        <v>58</v>
      </c>
      <c r="C26" s="9">
        <v>8</v>
      </c>
      <c r="D26" s="9">
        <v>4</v>
      </c>
      <c r="E26" s="9">
        <v>12</v>
      </c>
    </row>
    <row r="27" spans="2:9" x14ac:dyDescent="0.25">
      <c r="B27" s="63" t="s">
        <v>59</v>
      </c>
      <c r="C27" s="9">
        <v>10</v>
      </c>
      <c r="D27" s="9">
        <v>5</v>
      </c>
      <c r="E27" s="9">
        <v>16</v>
      </c>
    </row>
    <row r="30" spans="2:9" x14ac:dyDescent="0.25">
      <c r="B30" s="75"/>
    </row>
    <row r="31" spans="2:9" x14ac:dyDescent="0.25">
      <c r="B31" s="75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B33" sqref="B33"/>
    </sheetView>
  </sheetViews>
  <sheetFormatPr defaultRowHeight="15" x14ac:dyDescent="0.25"/>
  <cols>
    <col min="1" max="1" width="14.85546875" customWidth="1"/>
    <col min="2" max="2" width="14.85546875" bestFit="1" customWidth="1"/>
    <col min="3" max="3" width="45.7109375" bestFit="1" customWidth="1"/>
    <col min="4" max="4" width="5.140625" bestFit="1" customWidth="1"/>
    <col min="5" max="5" width="19.5703125" bestFit="1" customWidth="1"/>
  </cols>
  <sheetData>
    <row r="1" spans="2:5" x14ac:dyDescent="0.25">
      <c r="E1" t="s">
        <v>119</v>
      </c>
    </row>
    <row r="2" spans="2:5" x14ac:dyDescent="0.25">
      <c r="B2" t="s">
        <v>264</v>
      </c>
      <c r="C2" t="s">
        <v>65</v>
      </c>
      <c r="D2" t="s">
        <v>18</v>
      </c>
      <c r="E2">
        <f>'Veri Sayfası - 1'!J60*4+'Veri Sayfası - 1'!J61*2</f>
        <v>6</v>
      </c>
    </row>
    <row r="3" spans="2:5" x14ac:dyDescent="0.25">
      <c r="B3" t="s">
        <v>265</v>
      </c>
      <c r="C3" t="s">
        <v>67</v>
      </c>
      <c r="D3" t="s">
        <v>18</v>
      </c>
      <c r="E3">
        <f>'Veri Sayfası - 1'!J63*2</f>
        <v>6</v>
      </c>
    </row>
    <row r="4" spans="2:5" x14ac:dyDescent="0.25">
      <c r="B4" t="s">
        <v>266</v>
      </c>
      <c r="C4" t="s">
        <v>69</v>
      </c>
      <c r="D4" t="s">
        <v>18</v>
      </c>
      <c r="E4">
        <f>'Veri Sayfası - 1'!G44*2</f>
        <v>2</v>
      </c>
    </row>
    <row r="5" spans="2:5" x14ac:dyDescent="0.25">
      <c r="B5" t="s">
        <v>267</v>
      </c>
      <c r="C5" t="s">
        <v>71</v>
      </c>
      <c r="D5" t="s">
        <v>18</v>
      </c>
      <c r="E5">
        <f>'Veri Sayfası - 1'!K48*2</f>
        <v>0</v>
      </c>
    </row>
    <row r="6" spans="2:5" x14ac:dyDescent="0.25">
      <c r="B6" t="s">
        <v>268</v>
      </c>
      <c r="C6" t="s">
        <v>73</v>
      </c>
      <c r="D6" t="s">
        <v>18</v>
      </c>
      <c r="E6">
        <f>'Veri Sayfası - 1'!L48</f>
        <v>0</v>
      </c>
    </row>
    <row r="7" spans="2:5" x14ac:dyDescent="0.25">
      <c r="B7" t="s">
        <v>269</v>
      </c>
      <c r="C7" t="s">
        <v>75</v>
      </c>
      <c r="D7" t="s">
        <v>18</v>
      </c>
      <c r="E7">
        <f>'Veri Sayfası - 1'!L48</f>
        <v>0</v>
      </c>
    </row>
    <row r="8" spans="2:5" x14ac:dyDescent="0.25">
      <c r="B8" t="s">
        <v>270</v>
      </c>
      <c r="C8" t="s">
        <v>77</v>
      </c>
      <c r="D8" t="s">
        <v>18</v>
      </c>
      <c r="E8">
        <f>'Veri Sayfası - 1'!K48*2</f>
        <v>0</v>
      </c>
    </row>
    <row r="9" spans="2:5" x14ac:dyDescent="0.25">
      <c r="B9" t="s">
        <v>271</v>
      </c>
      <c r="C9" t="s">
        <v>79</v>
      </c>
      <c r="D9" t="s">
        <v>18</v>
      </c>
      <c r="E9">
        <f>'Veri Sayfası - 1'!K48*2</f>
        <v>0</v>
      </c>
    </row>
    <row r="10" spans="2:5" x14ac:dyDescent="0.25">
      <c r="B10" t="s">
        <v>272</v>
      </c>
      <c r="C10" t="s">
        <v>81</v>
      </c>
      <c r="D10" t="s">
        <v>18</v>
      </c>
      <c r="E10">
        <f>'Veri Sayfası - 1'!K48*2</f>
        <v>0</v>
      </c>
    </row>
    <row r="11" spans="2:5" x14ac:dyDescent="0.25">
      <c r="B11" t="s">
        <v>273</v>
      </c>
      <c r="C11" t="s">
        <v>83</v>
      </c>
      <c r="D11" t="s">
        <v>84</v>
      </c>
      <c r="E11">
        <f>'Veri Sayfası - 1'!N48+'Veri Sayfası - 1'!N53</f>
        <v>0</v>
      </c>
    </row>
    <row r="12" spans="2:5" x14ac:dyDescent="0.25">
      <c r="B12" s="91" t="s">
        <v>274</v>
      </c>
      <c r="C12" t="s">
        <v>85</v>
      </c>
      <c r="D12" t="s">
        <v>18</v>
      </c>
      <c r="E12">
        <f>'ANA SAYFA'!F2</f>
        <v>0</v>
      </c>
    </row>
    <row r="13" spans="2:5" x14ac:dyDescent="0.25">
      <c r="B13" t="s">
        <v>275</v>
      </c>
      <c r="C13" t="s">
        <v>87</v>
      </c>
      <c r="D13" t="s">
        <v>18</v>
      </c>
      <c r="E13">
        <f>'ANA SAYFA'!F3</f>
        <v>0</v>
      </c>
    </row>
    <row r="14" spans="2:5" x14ac:dyDescent="0.25">
      <c r="B14" t="s">
        <v>276</v>
      </c>
      <c r="C14" t="s">
        <v>89</v>
      </c>
      <c r="D14" t="s">
        <v>18</v>
      </c>
      <c r="E14">
        <f>'ANA SAYFA'!F4</f>
        <v>0</v>
      </c>
    </row>
    <row r="15" spans="2:5" x14ac:dyDescent="0.25">
      <c r="B15" t="s">
        <v>277</v>
      </c>
      <c r="C15" t="s">
        <v>91</v>
      </c>
      <c r="D15" t="s">
        <v>18</v>
      </c>
      <c r="E15">
        <f>E12+E13+E14</f>
        <v>0</v>
      </c>
    </row>
    <row r="16" spans="2:5" x14ac:dyDescent="0.25">
      <c r="B16" t="s">
        <v>278</v>
      </c>
      <c r="C16" t="s">
        <v>93</v>
      </c>
      <c r="D16" t="s">
        <v>18</v>
      </c>
      <c r="E16">
        <f>E15*2</f>
        <v>0</v>
      </c>
    </row>
    <row r="17" spans="2:5" x14ac:dyDescent="0.25">
      <c r="B17" t="s">
        <v>279</v>
      </c>
      <c r="C17" t="s">
        <v>95</v>
      </c>
      <c r="D17" t="s">
        <v>18</v>
      </c>
      <c r="E17">
        <f>'Veri Sayfası - 1'!O60</f>
        <v>0</v>
      </c>
    </row>
    <row r="18" spans="2:5" x14ac:dyDescent="0.25">
      <c r="B18" t="s">
        <v>280</v>
      </c>
      <c r="C18" t="s">
        <v>97</v>
      </c>
      <c r="D18" t="s">
        <v>84</v>
      </c>
      <c r="E18">
        <f>'Veri Sayfası - 1'!P60</f>
        <v>0</v>
      </c>
    </row>
    <row r="19" spans="2:5" x14ac:dyDescent="0.25">
      <c r="B19" t="s">
        <v>263</v>
      </c>
      <c r="C19" t="s">
        <v>98</v>
      </c>
      <c r="D19" t="s">
        <v>84</v>
      </c>
      <c r="E19">
        <f>'Veri Sayfası - 1'!Q60</f>
        <v>0</v>
      </c>
    </row>
    <row r="20" spans="2:5" x14ac:dyDescent="0.25">
      <c r="B20" t="s">
        <v>281</v>
      </c>
      <c r="C20" t="s">
        <v>100</v>
      </c>
      <c r="D20" t="s">
        <v>101</v>
      </c>
      <c r="E20" s="90">
        <f>'Veri Sayfası - 1'!R60</f>
        <v>0</v>
      </c>
    </row>
    <row r="21" spans="2:5" x14ac:dyDescent="0.25">
      <c r="B21" t="s">
        <v>282</v>
      </c>
      <c r="C21" t="s">
        <v>103</v>
      </c>
      <c r="D21" t="s">
        <v>18</v>
      </c>
      <c r="E21">
        <f>'Veri Sayfası - 1'!G44*3</f>
        <v>3</v>
      </c>
    </row>
    <row r="22" spans="2:5" x14ac:dyDescent="0.25">
      <c r="B22" t="s">
        <v>283</v>
      </c>
      <c r="C22" t="s">
        <v>106</v>
      </c>
      <c r="D22" t="s">
        <v>18</v>
      </c>
      <c r="E22">
        <f>'Veri Sayfası - 1'!L53</f>
        <v>4</v>
      </c>
    </row>
    <row r="23" spans="2:5" x14ac:dyDescent="0.25">
      <c r="B23" t="s">
        <v>284</v>
      </c>
      <c r="C23" t="s">
        <v>108</v>
      </c>
      <c r="D23" t="s">
        <v>18</v>
      </c>
      <c r="E23">
        <f>'Veri Sayfası - 1'!L53</f>
        <v>4</v>
      </c>
    </row>
    <row r="24" spans="2:5" x14ac:dyDescent="0.25">
      <c r="B24" t="s">
        <v>285</v>
      </c>
      <c r="C24" t="s">
        <v>110</v>
      </c>
      <c r="D24" t="s">
        <v>18</v>
      </c>
      <c r="E24">
        <f>'Veri Sayfası - 1'!K53*2</f>
        <v>2</v>
      </c>
    </row>
    <row r="25" spans="2:5" x14ac:dyDescent="0.25">
      <c r="B25" t="s">
        <v>286</v>
      </c>
      <c r="C25" t="s">
        <v>112</v>
      </c>
      <c r="D25" t="s">
        <v>18</v>
      </c>
      <c r="E25">
        <f>'Veri Sayfası - 1'!K53*2</f>
        <v>2</v>
      </c>
    </row>
    <row r="26" spans="2:5" x14ac:dyDescent="0.25">
      <c r="B26" t="s">
        <v>287</v>
      </c>
      <c r="C26" t="s">
        <v>114</v>
      </c>
      <c r="D26" t="s">
        <v>18</v>
      </c>
      <c r="E26" s="90">
        <f>'Veri Sayfası - 1'!T60</f>
        <v>0</v>
      </c>
    </row>
    <row r="27" spans="2:5" x14ac:dyDescent="0.25">
      <c r="B27" t="s">
        <v>288</v>
      </c>
      <c r="C27" t="s">
        <v>135</v>
      </c>
      <c r="D27" t="s">
        <v>18</v>
      </c>
      <c r="E27" s="90">
        <f>'Veri Sayfası - 1'!S60</f>
        <v>2</v>
      </c>
    </row>
    <row r="28" spans="2:5" x14ac:dyDescent="0.25">
      <c r="B28" t="s">
        <v>289</v>
      </c>
      <c r="C28" t="s">
        <v>139</v>
      </c>
      <c r="D28" t="s">
        <v>18</v>
      </c>
      <c r="E28" s="90">
        <f>'Veri Sayfası - 1'!T60</f>
        <v>0</v>
      </c>
    </row>
    <row r="29" spans="2:5" x14ac:dyDescent="0.25">
      <c r="B29" t="s">
        <v>290</v>
      </c>
      <c r="C29" t="s">
        <v>137</v>
      </c>
      <c r="D29" t="s">
        <v>18</v>
      </c>
      <c r="E29" s="90">
        <f>'Veri Sayfası - 1'!S60</f>
        <v>2</v>
      </c>
    </row>
    <row r="30" spans="2:5" x14ac:dyDescent="0.25">
      <c r="B30" t="s">
        <v>291</v>
      </c>
      <c r="C30" t="s">
        <v>116</v>
      </c>
      <c r="D30" t="s">
        <v>117</v>
      </c>
      <c r="E30" s="90">
        <f>'Veri Sayfası - 1'!U60</f>
        <v>0</v>
      </c>
    </row>
    <row r="31" spans="2:5" x14ac:dyDescent="0.25">
      <c r="B31" t="s">
        <v>295</v>
      </c>
      <c r="C31" t="s">
        <v>142</v>
      </c>
      <c r="D31" t="s">
        <v>18</v>
      </c>
      <c r="E31" s="90">
        <f>'Veri Sayfası - 1'!V60</f>
        <v>0</v>
      </c>
    </row>
    <row r="32" spans="2:5" x14ac:dyDescent="0.25">
      <c r="B32" t="s">
        <v>292</v>
      </c>
      <c r="C32" t="s">
        <v>144</v>
      </c>
      <c r="D32" t="s">
        <v>84</v>
      </c>
      <c r="E32" s="90">
        <f>'Veri Sayfası - 1'!W60</f>
        <v>0</v>
      </c>
    </row>
    <row r="33" spans="1:5" x14ac:dyDescent="0.25">
      <c r="A33" t="s">
        <v>297</v>
      </c>
      <c r="B33" s="190" t="s">
        <v>300</v>
      </c>
      <c r="C33" t="s">
        <v>301</v>
      </c>
      <c r="D33" t="s">
        <v>302</v>
      </c>
      <c r="E33">
        <f>SUMIF('Veri Sayfası - 1'!I14:I43,'TASLAK MALİYET'!A33,'Veri Sayfası - 1'!G14:G43)</f>
        <v>1</v>
      </c>
    </row>
  </sheetData>
  <conditionalFormatting sqref="C2:C30 C33">
    <cfRule type="duplicateValues" dxfId="3" priority="17"/>
  </conditionalFormatting>
  <pageMargins left="0.7" right="0.7" top="0.75" bottom="0.75" header="0.3" footer="0.3"/>
  <pageSetup paperSize="9" orientation="portrait" r:id="rId1"/>
  <ignoredErrors>
    <ignoredError sqref="E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8"/>
  <sheetViews>
    <sheetView view="pageBreakPreview" zoomScaleNormal="100" zoomScaleSheetLayoutView="100" workbookViewId="0">
      <selection activeCell="I22" sqref="H22:I24"/>
    </sheetView>
  </sheetViews>
  <sheetFormatPr defaultRowHeight="15" x14ac:dyDescent="0.25"/>
  <cols>
    <col min="1" max="1" width="17.85546875" customWidth="1"/>
    <col min="2" max="2" width="20.7109375" customWidth="1"/>
    <col min="3" max="3" width="17.140625" customWidth="1"/>
    <col min="4" max="4" width="21.85546875" customWidth="1"/>
    <col min="5" max="5" width="17.28515625" customWidth="1"/>
    <col min="6" max="6" width="30.5703125" customWidth="1"/>
    <col min="7" max="7" width="18" customWidth="1"/>
    <col min="8" max="8" width="17.28515625" customWidth="1"/>
    <col min="9" max="9" width="17" customWidth="1"/>
    <col min="10" max="10" width="10.28515625" customWidth="1"/>
    <col min="12" max="12" width="26.140625" style="75" customWidth="1"/>
    <col min="13" max="13" width="36.85546875" style="75" customWidth="1"/>
  </cols>
  <sheetData>
    <row r="1" spans="1:13" x14ac:dyDescent="0.25">
      <c r="A1" s="256" t="s">
        <v>163</v>
      </c>
      <c r="B1" s="257"/>
      <c r="C1" s="260" t="s">
        <v>221</v>
      </c>
      <c r="D1" s="261"/>
      <c r="E1" s="261"/>
      <c r="F1" s="262"/>
      <c r="H1" s="301" t="s">
        <v>7</v>
      </c>
      <c r="I1" s="302"/>
      <c r="L1" s="136"/>
      <c r="M1" s="136"/>
    </row>
    <row r="2" spans="1:13" ht="16.5" thickBot="1" x14ac:dyDescent="0.3">
      <c r="A2" s="258"/>
      <c r="B2" s="259"/>
      <c r="C2" s="263" t="s">
        <v>232</v>
      </c>
      <c r="D2" s="264"/>
      <c r="E2" s="264"/>
      <c r="F2" s="265"/>
      <c r="G2" s="120"/>
      <c r="H2" s="303"/>
      <c r="I2" s="304"/>
      <c r="L2" s="294" t="s">
        <v>195</v>
      </c>
      <c r="M2" s="294" t="s">
        <v>194</v>
      </c>
    </row>
    <row r="3" spans="1:13" ht="16.5" thickBot="1" x14ac:dyDescent="0.3">
      <c r="A3" s="258"/>
      <c r="B3" s="259"/>
      <c r="C3" s="105" t="s">
        <v>154</v>
      </c>
      <c r="D3" s="106" t="s">
        <v>153</v>
      </c>
      <c r="E3" s="106" t="s">
        <v>162</v>
      </c>
      <c r="F3" s="107" t="s">
        <v>155</v>
      </c>
      <c r="G3" s="120"/>
      <c r="H3" s="305">
        <f ca="1">'Veri Sayfası - 1'!C3</f>
        <v>46077</v>
      </c>
      <c r="I3" s="304"/>
      <c r="L3" s="294"/>
      <c r="M3" s="294"/>
    </row>
    <row r="4" spans="1:13" ht="50.1" customHeight="1" thickBot="1" x14ac:dyDescent="0.3">
      <c r="A4" s="272" t="s">
        <v>193</v>
      </c>
      <c r="B4" s="273"/>
      <c r="C4" s="134">
        <f>'Veri Sayfası - 1'!C7</f>
        <v>0</v>
      </c>
      <c r="D4" s="133">
        <f>'Veri Sayfası - 1'!C8</f>
        <v>0</v>
      </c>
      <c r="E4" s="137">
        <f>'Veri Sayfası - 1'!C9</f>
        <v>0</v>
      </c>
      <c r="F4" s="135">
        <f>'Veri Sayfası - 1'!C11</f>
        <v>0</v>
      </c>
      <c r="G4" s="120"/>
      <c r="H4" s="306"/>
      <c r="I4" s="307"/>
      <c r="L4" s="294"/>
      <c r="M4" s="294"/>
    </row>
    <row r="5" spans="1:13" ht="22.5" x14ac:dyDescent="0.25">
      <c r="A5" s="274">
        <f>VLOOKUP(A1,'Veri Sayfası - 1'!A14:G43,7,0)</f>
        <v>1</v>
      </c>
      <c r="B5" s="275"/>
      <c r="C5" s="108" t="s">
        <v>156</v>
      </c>
      <c r="D5" s="278">
        <f>VLOOKUP(A1,'Veri Sayfası - 1'!A14:C43,2,0)*10</f>
        <v>0</v>
      </c>
      <c r="E5" s="278"/>
      <c r="F5" s="279" t="s">
        <v>157</v>
      </c>
      <c r="G5" s="120"/>
      <c r="H5" s="239" t="s">
        <v>23</v>
      </c>
      <c r="I5" s="240"/>
      <c r="L5" s="295">
        <v>3</v>
      </c>
      <c r="M5" s="295">
        <f>VLOOKUP(A1,'Veri Sayfası - 1'!A14:F43,6,0)</f>
        <v>3</v>
      </c>
    </row>
    <row r="6" spans="1:13" ht="17.25" customHeight="1" thickBot="1" x14ac:dyDescent="0.3">
      <c r="A6" s="276"/>
      <c r="B6" s="277"/>
      <c r="C6" s="109" t="s">
        <v>158</v>
      </c>
      <c r="D6" s="281">
        <f>IF(A35 = "ALT EŞİK PROFİLİ VAR",(VLOOKUP(A1,'Veri Sayfası - 1'!A14:C43,3,0)*10)-15,VLOOKUP(A1,'Veri Sayfası - 1'!A14:C43,3,0)*10)</f>
        <v>-15</v>
      </c>
      <c r="E6" s="281"/>
      <c r="F6" s="280"/>
      <c r="G6" s="120"/>
      <c r="H6" s="297">
        <f>'Veri Sayfası - 1'!C4</f>
        <v>0</v>
      </c>
      <c r="I6" s="298"/>
      <c r="L6" s="295"/>
      <c r="M6" s="295"/>
    </row>
    <row r="7" spans="1:13" ht="16.5" customHeight="1" thickBot="1" x14ac:dyDescent="0.3">
      <c r="B7" s="120"/>
      <c r="C7" s="122"/>
      <c r="D7" s="123"/>
      <c r="E7" s="124"/>
      <c r="H7" s="299"/>
      <c r="I7" s="300"/>
      <c r="L7" s="295"/>
      <c r="M7" s="295"/>
    </row>
    <row r="8" spans="1:13" ht="20.25" customHeight="1" thickTop="1" thickBot="1" x14ac:dyDescent="0.3">
      <c r="B8" s="151" t="s">
        <v>228</v>
      </c>
      <c r="C8" s="194">
        <f>(D6-107)</f>
        <v>-122</v>
      </c>
      <c r="D8" s="194">
        <f>(D6-107)</f>
        <v>-122</v>
      </c>
      <c r="E8" s="194"/>
      <c r="F8" s="194">
        <f>(D6-107)</f>
        <v>-122</v>
      </c>
      <c r="H8" s="160"/>
      <c r="I8" s="160"/>
      <c r="L8" s="295"/>
      <c r="M8" s="295"/>
    </row>
    <row r="9" spans="1:13" ht="27" customHeight="1" thickTop="1" thickBot="1" x14ac:dyDescent="0.3">
      <c r="B9" s="152" t="s">
        <v>229</v>
      </c>
      <c r="C9" s="195">
        <f>(D5-168)/3+1</f>
        <v>-55</v>
      </c>
      <c r="D9" s="195">
        <f>(D5-86)/3+1</f>
        <v>-27.666666666666668</v>
      </c>
      <c r="E9" s="195"/>
      <c r="F9" s="195">
        <f>C9</f>
        <v>-55</v>
      </c>
      <c r="H9" s="121"/>
      <c r="L9" s="295"/>
      <c r="M9" s="295"/>
    </row>
    <row r="10" spans="1:13" ht="15.75" thickTop="1" x14ac:dyDescent="0.25">
      <c r="B10" s="75"/>
      <c r="C10" s="75"/>
      <c r="D10" s="75"/>
      <c r="E10" s="75"/>
      <c r="F10" s="75"/>
      <c r="G10" s="132"/>
      <c r="H10" s="121"/>
      <c r="I10" s="121"/>
      <c r="L10" s="295"/>
      <c r="M10" s="295"/>
    </row>
    <row r="11" spans="1:13" x14ac:dyDescent="0.25">
      <c r="L11" s="296" t="str">
        <f>IF(L5=M5," ","POZ NUMARASI YANLIŞ")</f>
        <v xml:space="preserve"> </v>
      </c>
      <c r="M11" s="296"/>
    </row>
    <row r="12" spans="1:13" ht="18.75" x14ac:dyDescent="0.25">
      <c r="A12" s="241" t="s">
        <v>214</v>
      </c>
      <c r="B12" s="244"/>
      <c r="C12" s="193" t="s">
        <v>159</v>
      </c>
      <c r="D12" s="193" t="s">
        <v>160</v>
      </c>
      <c r="F12" s="247" t="s">
        <v>216</v>
      </c>
      <c r="G12" s="250"/>
      <c r="H12" s="153" t="s">
        <v>159</v>
      </c>
      <c r="I12" s="153" t="s">
        <v>160</v>
      </c>
      <c r="L12" s="296"/>
      <c r="M12" s="296"/>
    </row>
    <row r="13" spans="1:13" ht="15" customHeight="1" x14ac:dyDescent="0.25">
      <c r="A13" s="242"/>
      <c r="B13" s="245"/>
      <c r="C13" s="236">
        <f>1*A5</f>
        <v>1</v>
      </c>
      <c r="D13" s="236">
        <f>(D5-110)/10</f>
        <v>-11</v>
      </c>
      <c r="F13" s="248"/>
      <c r="G13" s="251"/>
      <c r="H13" s="308">
        <f>2*A5</f>
        <v>2</v>
      </c>
      <c r="I13" s="308">
        <f>(D6-4)/10</f>
        <v>-1.9</v>
      </c>
      <c r="L13" s="296"/>
      <c r="M13" s="296"/>
    </row>
    <row r="14" spans="1:13" ht="15" customHeight="1" x14ac:dyDescent="0.25">
      <c r="A14" s="242"/>
      <c r="B14" s="245"/>
      <c r="C14" s="237"/>
      <c r="D14" s="237"/>
      <c r="F14" s="248"/>
      <c r="G14" s="251"/>
      <c r="H14" s="309"/>
      <c r="I14" s="309"/>
      <c r="L14" s="296"/>
      <c r="M14" s="296"/>
    </row>
    <row r="15" spans="1:13" ht="15" customHeight="1" x14ac:dyDescent="0.25">
      <c r="A15" s="242"/>
      <c r="B15" s="245"/>
      <c r="C15" s="237"/>
      <c r="D15" s="237"/>
      <c r="F15" s="248"/>
      <c r="G15" s="251"/>
      <c r="H15" s="309"/>
      <c r="I15" s="309"/>
      <c r="L15" s="296"/>
      <c r="M15" s="296"/>
    </row>
    <row r="16" spans="1:13" ht="15" customHeight="1" x14ac:dyDescent="0.25">
      <c r="A16" s="243"/>
      <c r="B16" s="246"/>
      <c r="C16" s="238"/>
      <c r="D16" s="238"/>
      <c r="F16" s="249"/>
      <c r="G16" s="252"/>
      <c r="H16" s="310"/>
      <c r="I16" s="310"/>
      <c r="L16" s="296"/>
      <c r="M16" s="296"/>
    </row>
    <row r="17" spans="1:13" ht="18.75" x14ac:dyDescent="0.25">
      <c r="A17" s="241" t="s">
        <v>215</v>
      </c>
      <c r="B17" s="244"/>
      <c r="C17" s="193" t="s">
        <v>159</v>
      </c>
      <c r="D17" s="193" t="s">
        <v>160</v>
      </c>
      <c r="F17" s="247">
        <v>11574</v>
      </c>
      <c r="G17" s="250"/>
      <c r="H17" s="154" t="s">
        <v>159</v>
      </c>
      <c r="I17" s="153" t="s">
        <v>160</v>
      </c>
      <c r="L17" s="296"/>
      <c r="M17" s="296"/>
    </row>
    <row r="18" spans="1:13" ht="15.75" customHeight="1" x14ac:dyDescent="0.25">
      <c r="A18" s="242"/>
      <c r="B18" s="245"/>
      <c r="C18" s="236">
        <f>1*A5</f>
        <v>1</v>
      </c>
      <c r="D18" s="236">
        <f>(D5-142)/10</f>
        <v>-14.2</v>
      </c>
      <c r="F18" s="248"/>
      <c r="G18" s="251"/>
      <c r="H18" s="192">
        <f>1*A5</f>
        <v>1</v>
      </c>
      <c r="I18" s="196">
        <f>(C9-35.4)/10</f>
        <v>-9.0400000000000009</v>
      </c>
      <c r="J18" s="156" t="s">
        <v>225</v>
      </c>
      <c r="L18" s="296"/>
      <c r="M18" s="296"/>
    </row>
    <row r="19" spans="1:13" ht="15.75" customHeight="1" x14ac:dyDescent="0.25">
      <c r="A19" s="242"/>
      <c r="B19" s="245"/>
      <c r="C19" s="237"/>
      <c r="D19" s="237"/>
      <c r="F19" s="248"/>
      <c r="G19" s="251"/>
      <c r="H19" s="192">
        <f>1*A5</f>
        <v>1</v>
      </c>
      <c r="I19" s="196">
        <f>(D9-30.8)/10</f>
        <v>-5.8466666666666667</v>
      </c>
      <c r="J19" s="156" t="s">
        <v>226</v>
      </c>
      <c r="L19" s="296"/>
      <c r="M19" s="296"/>
    </row>
    <row r="20" spans="1:13" ht="15.75" customHeight="1" x14ac:dyDescent="0.25">
      <c r="A20" s="243"/>
      <c r="B20" s="246"/>
      <c r="C20" s="238"/>
      <c r="D20" s="238"/>
      <c r="F20" s="249"/>
      <c r="G20" s="252"/>
      <c r="H20" s="192">
        <f>1*A5</f>
        <v>1</v>
      </c>
      <c r="I20" s="196">
        <f>(F9-35.4)/10</f>
        <v>-9.0400000000000009</v>
      </c>
      <c r="J20" s="156" t="s">
        <v>230</v>
      </c>
      <c r="L20" s="296"/>
      <c r="M20" s="296"/>
    </row>
    <row r="21" spans="1:13" ht="15.75" customHeight="1" x14ac:dyDescent="0.25">
      <c r="A21" s="241" t="s">
        <v>213</v>
      </c>
      <c r="B21" s="244"/>
      <c r="C21" s="193" t="s">
        <v>159</v>
      </c>
      <c r="D21" s="193" t="s">
        <v>160</v>
      </c>
      <c r="F21" s="247" t="s">
        <v>220</v>
      </c>
      <c r="G21" s="250"/>
      <c r="H21" s="157" t="s">
        <v>159</v>
      </c>
      <c r="I21" s="158" t="s">
        <v>160</v>
      </c>
      <c r="L21" s="296"/>
      <c r="M21" s="296"/>
    </row>
    <row r="22" spans="1:13" ht="15.75" customHeight="1" x14ac:dyDescent="0.25">
      <c r="A22" s="242"/>
      <c r="B22" s="245"/>
      <c r="C22" s="266">
        <f>2*A5</f>
        <v>2</v>
      </c>
      <c r="D22" s="269">
        <f>(D6-122)/10</f>
        <v>-13.7</v>
      </c>
      <c r="F22" s="248"/>
      <c r="G22" s="251"/>
      <c r="H22" s="155">
        <f>1*A5</f>
        <v>1</v>
      </c>
      <c r="I22" s="197">
        <f>(C9-35.4)/10</f>
        <v>-9.0400000000000009</v>
      </c>
      <c r="J22" s="159" t="s">
        <v>225</v>
      </c>
      <c r="L22" s="296"/>
      <c r="M22" s="296"/>
    </row>
    <row r="23" spans="1:13" ht="15.75" customHeight="1" x14ac:dyDescent="0.25">
      <c r="A23" s="242"/>
      <c r="B23" s="245"/>
      <c r="C23" s="267"/>
      <c r="D23" s="270"/>
      <c r="F23" s="248"/>
      <c r="G23" s="251"/>
      <c r="H23" s="155">
        <f>1*A5</f>
        <v>1</v>
      </c>
      <c r="I23" s="197">
        <f>(D9-30.8)/10</f>
        <v>-5.8466666666666667</v>
      </c>
      <c r="J23" s="159" t="s">
        <v>226</v>
      </c>
      <c r="L23" s="296"/>
      <c r="M23" s="296"/>
    </row>
    <row r="24" spans="1:13" ht="15.75" customHeight="1" x14ac:dyDescent="0.25">
      <c r="A24" s="243"/>
      <c r="B24" s="246"/>
      <c r="C24" s="268"/>
      <c r="D24" s="271"/>
      <c r="F24" s="249"/>
      <c r="G24" s="252"/>
      <c r="H24" s="155">
        <f>1*A5</f>
        <v>1</v>
      </c>
      <c r="I24" s="197">
        <f>(F9-35.4)/10</f>
        <v>-9.0400000000000009</v>
      </c>
      <c r="J24" s="159" t="s">
        <v>230</v>
      </c>
      <c r="L24" s="296"/>
      <c r="M24" s="296"/>
    </row>
    <row r="25" spans="1:13" ht="15.75" customHeight="1" thickBot="1" x14ac:dyDescent="0.3">
      <c r="A25" s="253">
        <v>11646</v>
      </c>
      <c r="B25" s="244"/>
      <c r="C25" s="193" t="s">
        <v>159</v>
      </c>
      <c r="D25" s="193" t="s">
        <v>160</v>
      </c>
      <c r="L25" s="296"/>
      <c r="M25" s="296"/>
    </row>
    <row r="26" spans="1:13" ht="15" customHeight="1" x14ac:dyDescent="0.25">
      <c r="A26" s="254"/>
      <c r="B26" s="245"/>
      <c r="C26" s="236">
        <f>4*A5</f>
        <v>4</v>
      </c>
      <c r="D26" s="236">
        <f>(D6-124)/10</f>
        <v>-13.9</v>
      </c>
      <c r="F26" s="282" t="s">
        <v>161</v>
      </c>
      <c r="G26" s="283"/>
      <c r="H26" s="283"/>
      <c r="I26" s="284"/>
      <c r="L26" s="296"/>
      <c r="M26" s="296"/>
    </row>
    <row r="27" spans="1:13" ht="15" customHeight="1" x14ac:dyDescent="0.25">
      <c r="A27" s="254"/>
      <c r="B27" s="245"/>
      <c r="C27" s="237"/>
      <c r="D27" s="237"/>
      <c r="F27" s="285"/>
      <c r="G27" s="286"/>
      <c r="H27" s="286"/>
      <c r="I27" s="287"/>
      <c r="L27" s="296"/>
      <c r="M27" s="296"/>
    </row>
    <row r="28" spans="1:13" ht="15" customHeight="1" x14ac:dyDescent="0.25">
      <c r="A28" s="254"/>
      <c r="B28" s="245"/>
      <c r="C28" s="237"/>
      <c r="D28" s="237"/>
      <c r="F28" s="288" t="str">
        <f>VLOOKUP(A1,'ANA SAYFA'!A13:H42,8,0)</f>
        <v>sol</v>
      </c>
      <c r="G28" s="289"/>
      <c r="H28" s="289"/>
      <c r="I28" s="290"/>
      <c r="L28" s="296"/>
      <c r="M28" s="296"/>
    </row>
    <row r="29" spans="1:13" ht="15" customHeight="1" x14ac:dyDescent="0.25">
      <c r="A29" s="255"/>
      <c r="B29" s="246"/>
      <c r="C29" s="238"/>
      <c r="D29" s="238"/>
      <c r="F29" s="288"/>
      <c r="G29" s="289"/>
      <c r="H29" s="289"/>
      <c r="I29" s="290"/>
      <c r="L29" s="296"/>
      <c r="M29" s="296"/>
    </row>
    <row r="30" spans="1:13" ht="19.5" thickBot="1" x14ac:dyDescent="0.3">
      <c r="A30" s="231" t="s">
        <v>299</v>
      </c>
      <c r="B30" s="232"/>
      <c r="C30" s="193" t="s">
        <v>159</v>
      </c>
      <c r="D30" s="193" t="s">
        <v>160</v>
      </c>
      <c r="F30" s="291"/>
      <c r="G30" s="292"/>
      <c r="H30" s="292"/>
      <c r="I30" s="293"/>
      <c r="L30" s="296"/>
      <c r="M30" s="296"/>
    </row>
    <row r="31" spans="1:13" x14ac:dyDescent="0.25">
      <c r="A31" s="231"/>
      <c r="B31" s="232"/>
      <c r="C31" s="233">
        <f>IF(A35="ALT EŞİK PROFİLİ YOK",0,A5)</f>
        <v>1</v>
      </c>
      <c r="D31" s="234">
        <f>(D5-15)/10</f>
        <v>-1.5</v>
      </c>
      <c r="L31" s="296"/>
      <c r="M31" s="296"/>
    </row>
    <row r="32" spans="1:13" x14ac:dyDescent="0.25">
      <c r="A32" s="231"/>
      <c r="B32" s="232"/>
      <c r="C32" s="234"/>
      <c r="D32" s="234"/>
      <c r="L32" s="296"/>
      <c r="M32" s="296"/>
    </row>
    <row r="33" spans="1:13" ht="15" customHeight="1" x14ac:dyDescent="0.25">
      <c r="A33" s="231"/>
      <c r="B33" s="232"/>
      <c r="C33" s="234"/>
      <c r="D33" s="234"/>
      <c r="L33" s="296"/>
      <c r="M33" s="296"/>
    </row>
    <row r="34" spans="1:13" ht="15" customHeight="1" x14ac:dyDescent="0.25">
      <c r="L34" s="296"/>
      <c r="M34" s="296"/>
    </row>
    <row r="35" spans="1:13" x14ac:dyDescent="0.25">
      <c r="A35" s="235" t="str">
        <f>CONCATENATE("ALT EŞİK PROFİLİ ",VLOOKUP(A1,'Veri Sayfası - 1'!A14:I43,9,0))</f>
        <v>ALT EŞİK PROFİLİ VAR</v>
      </c>
      <c r="B35" s="235"/>
      <c r="C35" s="235"/>
      <c r="D35" s="235"/>
      <c r="L35" s="296"/>
      <c r="M35" s="296"/>
    </row>
    <row r="36" spans="1:13" x14ac:dyDescent="0.25">
      <c r="A36" s="235"/>
      <c r="B36" s="235"/>
      <c r="C36" s="235"/>
      <c r="D36" s="235"/>
    </row>
    <row r="37" spans="1:13" x14ac:dyDescent="0.25">
      <c r="A37" s="235"/>
      <c r="B37" s="235"/>
      <c r="C37" s="235"/>
      <c r="D37" s="235"/>
    </row>
    <row r="57" spans="1:1" x14ac:dyDescent="0.25">
      <c r="A57" t="s">
        <v>297</v>
      </c>
    </row>
    <row r="58" spans="1:1" x14ac:dyDescent="0.25">
      <c r="A58" t="s">
        <v>298</v>
      </c>
    </row>
  </sheetData>
  <mergeCells count="50">
    <mergeCell ref="F26:I27"/>
    <mergeCell ref="F28:I30"/>
    <mergeCell ref="L2:L4"/>
    <mergeCell ref="M2:M4"/>
    <mergeCell ref="L5:L8"/>
    <mergeCell ref="M5:M8"/>
    <mergeCell ref="L9:L10"/>
    <mergeCell ref="M9:M10"/>
    <mergeCell ref="L11:M35"/>
    <mergeCell ref="H6:I7"/>
    <mergeCell ref="H1:I2"/>
    <mergeCell ref="H3:I4"/>
    <mergeCell ref="G21:G24"/>
    <mergeCell ref="H13:H16"/>
    <mergeCell ref="I13:I16"/>
    <mergeCell ref="G17:G20"/>
    <mergeCell ref="A4:B4"/>
    <mergeCell ref="A5:B6"/>
    <mergeCell ref="D5:E5"/>
    <mergeCell ref="F5:F6"/>
    <mergeCell ref="D6:E6"/>
    <mergeCell ref="A25:A29"/>
    <mergeCell ref="B25:B29"/>
    <mergeCell ref="C26:C29"/>
    <mergeCell ref="D26:D29"/>
    <mergeCell ref="A1:B3"/>
    <mergeCell ref="C1:F1"/>
    <mergeCell ref="C2:F2"/>
    <mergeCell ref="A21:A24"/>
    <mergeCell ref="B21:B24"/>
    <mergeCell ref="F21:F24"/>
    <mergeCell ref="C22:C24"/>
    <mergeCell ref="D22:D24"/>
    <mergeCell ref="A17:A20"/>
    <mergeCell ref="B17:B20"/>
    <mergeCell ref="F17:F20"/>
    <mergeCell ref="C18:C20"/>
    <mergeCell ref="D18:D20"/>
    <mergeCell ref="H5:I5"/>
    <mergeCell ref="A12:A16"/>
    <mergeCell ref="B12:B16"/>
    <mergeCell ref="F12:F16"/>
    <mergeCell ref="G12:G16"/>
    <mergeCell ref="C13:C16"/>
    <mergeCell ref="D13:D16"/>
    <mergeCell ref="A30:A33"/>
    <mergeCell ref="B30:B33"/>
    <mergeCell ref="C31:C33"/>
    <mergeCell ref="D31:D33"/>
    <mergeCell ref="A35:D37"/>
  </mergeCells>
  <printOptions horizontalCentered="1" verticalCentered="1"/>
  <pageMargins left="0.2" right="0.2" top="0.5" bottom="0.5" header="0.3" footer="0.3"/>
  <pageSetup paperSize="9" scale="76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F97F-BB5D-439C-8651-550D35A170AC}">
  <sheetPr>
    <pageSetUpPr fitToPage="1"/>
  </sheetPr>
  <dimension ref="A1:M47"/>
  <sheetViews>
    <sheetView view="pageBreakPreview" zoomScaleNormal="100" zoomScaleSheetLayoutView="100" workbookViewId="0">
      <selection activeCell="C8" sqref="C8:D9"/>
    </sheetView>
  </sheetViews>
  <sheetFormatPr defaultRowHeight="15" x14ac:dyDescent="0.25"/>
  <cols>
    <col min="1" max="1" width="17.85546875" customWidth="1"/>
    <col min="2" max="2" width="20.7109375" customWidth="1"/>
    <col min="3" max="3" width="17.140625" customWidth="1"/>
    <col min="4" max="4" width="21.85546875" customWidth="1"/>
    <col min="5" max="5" width="17.28515625" customWidth="1"/>
    <col min="6" max="6" width="30.5703125" customWidth="1"/>
    <col min="7" max="7" width="18" customWidth="1"/>
    <col min="8" max="8" width="17.28515625" customWidth="1"/>
    <col min="9" max="9" width="17" customWidth="1"/>
    <col min="10" max="10" width="10.28515625" customWidth="1"/>
    <col min="12" max="12" width="26.140625" style="75" customWidth="1"/>
    <col min="13" max="13" width="36.85546875" style="75" customWidth="1"/>
  </cols>
  <sheetData>
    <row r="1" spans="1:13" x14ac:dyDescent="0.25">
      <c r="A1" s="256" t="s">
        <v>164</v>
      </c>
      <c r="B1" s="257"/>
      <c r="C1" s="260" t="s">
        <v>221</v>
      </c>
      <c r="D1" s="261"/>
      <c r="E1" s="261"/>
      <c r="F1" s="262"/>
      <c r="H1" s="301" t="s">
        <v>7</v>
      </c>
      <c r="I1" s="302"/>
      <c r="L1" s="136"/>
      <c r="M1" s="136"/>
    </row>
    <row r="2" spans="1:13" ht="16.5" thickBot="1" x14ac:dyDescent="0.3">
      <c r="A2" s="258"/>
      <c r="B2" s="259"/>
      <c r="C2" s="263" t="s">
        <v>261</v>
      </c>
      <c r="D2" s="264"/>
      <c r="E2" s="264"/>
      <c r="F2" s="265"/>
      <c r="G2" s="120"/>
      <c r="H2" s="303"/>
      <c r="I2" s="304"/>
      <c r="L2" s="294" t="s">
        <v>195</v>
      </c>
      <c r="M2" s="294" t="s">
        <v>194</v>
      </c>
    </row>
    <row r="3" spans="1:13" ht="16.5" thickBot="1" x14ac:dyDescent="0.3">
      <c r="A3" s="258"/>
      <c r="B3" s="259"/>
      <c r="C3" s="105" t="s">
        <v>154</v>
      </c>
      <c r="D3" s="106" t="s">
        <v>153</v>
      </c>
      <c r="E3" s="106" t="s">
        <v>162</v>
      </c>
      <c r="F3" s="107" t="s">
        <v>155</v>
      </c>
      <c r="G3" s="120"/>
      <c r="H3" s="305">
        <f ca="1">'Veri Sayfası - 1'!C3</f>
        <v>46077</v>
      </c>
      <c r="I3" s="304"/>
      <c r="L3" s="294"/>
      <c r="M3" s="294"/>
    </row>
    <row r="4" spans="1:13" ht="50.1" customHeight="1" thickBot="1" x14ac:dyDescent="0.3">
      <c r="A4" s="272">
        <v>3</v>
      </c>
      <c r="B4" s="273"/>
      <c r="C4" s="134">
        <f>'Veri Sayfası - 1'!C7</f>
        <v>0</v>
      </c>
      <c r="D4" s="133">
        <f>'Veri Sayfası - 1'!C8</f>
        <v>0</v>
      </c>
      <c r="E4" s="137">
        <f>'Veri Sayfası - 1'!C9</f>
        <v>0</v>
      </c>
      <c r="F4" s="135">
        <f>'Veri Sayfası - 1'!C11</f>
        <v>0</v>
      </c>
      <c r="G4" s="120"/>
      <c r="H4" s="306"/>
      <c r="I4" s="307"/>
      <c r="L4" s="294"/>
      <c r="M4" s="294"/>
    </row>
    <row r="5" spans="1:13" ht="22.5" x14ac:dyDescent="0.25">
      <c r="A5" s="274">
        <f>VLOOKUP(A1,'Veri Sayfası - 1'!A14:G43,7,0)</f>
        <v>0</v>
      </c>
      <c r="B5" s="275"/>
      <c r="C5" s="108" t="s">
        <v>156</v>
      </c>
      <c r="D5" s="278">
        <f>VLOOKUP(A1,'Veri Sayfası - 1'!A14:C43,2,0)*10</f>
        <v>0</v>
      </c>
      <c r="E5" s="278"/>
      <c r="F5" s="279" t="s">
        <v>157</v>
      </c>
      <c r="G5" s="120"/>
      <c r="H5" s="239" t="s">
        <v>23</v>
      </c>
      <c r="I5" s="240"/>
      <c r="L5" s="295">
        <v>2</v>
      </c>
      <c r="M5" s="295">
        <f>VLOOKUP(A1,'Veri Sayfası - 1'!A14:F43,6,0)</f>
        <v>0</v>
      </c>
    </row>
    <row r="6" spans="1:13" ht="17.25" customHeight="1" thickBot="1" x14ac:dyDescent="0.3">
      <c r="A6" s="276"/>
      <c r="B6" s="277"/>
      <c r="C6" s="109" t="s">
        <v>158</v>
      </c>
      <c r="D6" s="281">
        <f>IF(A45 = "ALT EŞİK PROFİLİ VAR",(VLOOKUP(A1,'Veri Sayfası - 1'!A14:C43,3,0)*10)-15,VLOOKUP(A1,'Veri Sayfası - 1'!A14:C43,3,0)*10)</f>
        <v>0</v>
      </c>
      <c r="E6" s="281"/>
      <c r="F6" s="280"/>
      <c r="G6" s="120"/>
      <c r="H6" s="297">
        <f>'Veri Sayfası - 1'!C4</f>
        <v>0</v>
      </c>
      <c r="I6" s="298"/>
      <c r="L6" s="295"/>
      <c r="M6" s="295"/>
    </row>
    <row r="7" spans="1:13" ht="16.5" customHeight="1" thickBot="1" x14ac:dyDescent="0.3">
      <c r="B7" s="120"/>
      <c r="C7" s="122"/>
      <c r="D7" s="123"/>
      <c r="E7" s="124"/>
      <c r="H7" s="299"/>
      <c r="I7" s="300"/>
      <c r="L7" s="295"/>
      <c r="M7" s="295"/>
    </row>
    <row r="8" spans="1:13" ht="20.25" customHeight="1" thickTop="1" thickBot="1" x14ac:dyDescent="0.3">
      <c r="B8" s="151" t="s">
        <v>228</v>
      </c>
      <c r="C8" s="194">
        <f>(D6-107)</f>
        <v>-107</v>
      </c>
      <c r="D8" s="198">
        <f>(D6-107)</f>
        <v>-107</v>
      </c>
      <c r="E8" s="132"/>
      <c r="H8" s="160"/>
      <c r="I8" s="160"/>
      <c r="L8" s="295"/>
      <c r="M8" s="295"/>
    </row>
    <row r="9" spans="1:13" ht="27" customHeight="1" thickTop="1" thickBot="1" x14ac:dyDescent="0.3">
      <c r="B9" s="152" t="s">
        <v>229</v>
      </c>
      <c r="C9" s="195">
        <f>(D5/2-80)</f>
        <v>-80</v>
      </c>
      <c r="D9" s="199">
        <f>C9-11</f>
        <v>-91</v>
      </c>
      <c r="H9" s="121"/>
      <c r="L9" s="295"/>
      <c r="M9" s="295"/>
    </row>
    <row r="10" spans="1:13" ht="16.5" thickTop="1" x14ac:dyDescent="0.25">
      <c r="B10" s="75"/>
      <c r="C10" s="75"/>
      <c r="D10" s="189" t="s">
        <v>262</v>
      </c>
      <c r="E10" s="75"/>
      <c r="F10" s="75"/>
      <c r="G10" s="132"/>
      <c r="H10" s="121"/>
      <c r="I10" s="121"/>
      <c r="L10" s="295"/>
      <c r="M10" s="295"/>
    </row>
    <row r="11" spans="1:13" x14ac:dyDescent="0.25">
      <c r="L11" s="296" t="str">
        <f>IF(L5=M5," ","POZ NUMARASI YANLIŞ")</f>
        <v>POZ NUMARASI YANLIŞ</v>
      </c>
      <c r="M11" s="296"/>
    </row>
    <row r="12" spans="1:13" ht="18.75" x14ac:dyDescent="0.25">
      <c r="A12" s="241" t="s">
        <v>214</v>
      </c>
      <c r="B12" s="244"/>
      <c r="C12" s="193" t="s">
        <v>159</v>
      </c>
      <c r="D12" s="193" t="s">
        <v>160</v>
      </c>
      <c r="F12" s="247" t="s">
        <v>216</v>
      </c>
      <c r="G12" s="250"/>
      <c r="H12" s="153" t="s">
        <v>159</v>
      </c>
      <c r="I12" s="153" t="s">
        <v>160</v>
      </c>
      <c r="L12" s="296"/>
      <c r="M12" s="296"/>
    </row>
    <row r="13" spans="1:13" ht="15" customHeight="1" x14ac:dyDescent="0.25">
      <c r="A13" s="242"/>
      <c r="B13" s="245"/>
      <c r="C13" s="311">
        <f>1*A5</f>
        <v>0</v>
      </c>
      <c r="D13" s="236">
        <f>(D5-110)/10</f>
        <v>-11</v>
      </c>
      <c r="F13" s="248"/>
      <c r="G13" s="251"/>
      <c r="H13" s="312">
        <f>2*A5</f>
        <v>0</v>
      </c>
      <c r="I13" s="308">
        <f>(D6-4)/10</f>
        <v>-0.4</v>
      </c>
      <c r="L13" s="296"/>
      <c r="M13" s="296"/>
    </row>
    <row r="14" spans="1:13" ht="15" customHeight="1" x14ac:dyDescent="0.25">
      <c r="A14" s="242"/>
      <c r="B14" s="245"/>
      <c r="C14" s="237"/>
      <c r="D14" s="237"/>
      <c r="F14" s="248"/>
      <c r="G14" s="251"/>
      <c r="H14" s="313"/>
      <c r="I14" s="309"/>
      <c r="L14" s="296"/>
      <c r="M14" s="296"/>
    </row>
    <row r="15" spans="1:13" ht="15" customHeight="1" x14ac:dyDescent="0.25">
      <c r="A15" s="242"/>
      <c r="B15" s="245"/>
      <c r="C15" s="237"/>
      <c r="D15" s="237"/>
      <c r="F15" s="248"/>
      <c r="G15" s="251"/>
      <c r="H15" s="313"/>
      <c r="I15" s="309"/>
      <c r="L15" s="296"/>
      <c r="M15" s="296"/>
    </row>
    <row r="16" spans="1:13" ht="15" customHeight="1" x14ac:dyDescent="0.25">
      <c r="A16" s="243"/>
      <c r="B16" s="246"/>
      <c r="C16" s="238"/>
      <c r="D16" s="238"/>
      <c r="F16" s="249"/>
      <c r="G16" s="252"/>
      <c r="H16" s="314"/>
      <c r="I16" s="310"/>
      <c r="L16" s="296"/>
      <c r="M16" s="296"/>
    </row>
    <row r="17" spans="1:13" ht="18.75" x14ac:dyDescent="0.25">
      <c r="A17" s="241" t="s">
        <v>215</v>
      </c>
      <c r="B17" s="244"/>
      <c r="C17" s="193" t="s">
        <v>159</v>
      </c>
      <c r="D17" s="193" t="s">
        <v>160</v>
      </c>
      <c r="F17" s="247">
        <v>11574</v>
      </c>
      <c r="G17" s="250"/>
      <c r="H17" s="154" t="s">
        <v>159</v>
      </c>
      <c r="I17" s="153" t="s">
        <v>160</v>
      </c>
      <c r="L17" s="296"/>
      <c r="M17" s="296"/>
    </row>
    <row r="18" spans="1:13" ht="15.75" customHeight="1" x14ac:dyDescent="0.25">
      <c r="A18" s="242"/>
      <c r="B18" s="245"/>
      <c r="C18" s="311">
        <f>1*A5</f>
        <v>0</v>
      </c>
      <c r="D18" s="236">
        <f>(D5-142)/10</f>
        <v>-14.2</v>
      </c>
      <c r="F18" s="248"/>
      <c r="G18" s="251"/>
      <c r="H18" s="191">
        <f>1*A5</f>
        <v>0</v>
      </c>
      <c r="I18" s="196">
        <f>(C9-35)/10</f>
        <v>-11.5</v>
      </c>
      <c r="J18" s="156" t="s">
        <v>225</v>
      </c>
      <c r="L18" s="296"/>
      <c r="M18" s="296"/>
    </row>
    <row r="19" spans="1:13" ht="15.75" customHeight="1" x14ac:dyDescent="0.25">
      <c r="A19" s="242"/>
      <c r="B19" s="245"/>
      <c r="C19" s="237"/>
      <c r="D19" s="237"/>
      <c r="F19" s="248"/>
      <c r="G19" s="251"/>
      <c r="H19" s="191">
        <f>1*A5</f>
        <v>0</v>
      </c>
      <c r="I19" s="196">
        <f>(D9-36)/10</f>
        <v>-12.7</v>
      </c>
      <c r="J19" s="156" t="s">
        <v>226</v>
      </c>
      <c r="L19" s="296"/>
      <c r="M19" s="296"/>
    </row>
    <row r="20" spans="1:13" ht="15.75" customHeight="1" x14ac:dyDescent="0.25">
      <c r="A20" s="243"/>
      <c r="B20" s="246"/>
      <c r="C20" s="237"/>
      <c r="D20" s="238"/>
      <c r="F20" s="249"/>
      <c r="G20" s="252"/>
      <c r="H20" s="192"/>
      <c r="I20" s="196"/>
      <c r="J20" s="156"/>
      <c r="L20" s="296"/>
      <c r="M20" s="296"/>
    </row>
    <row r="21" spans="1:13" ht="15.75" customHeight="1" x14ac:dyDescent="0.25">
      <c r="A21" s="241" t="s">
        <v>213</v>
      </c>
      <c r="B21" s="244"/>
      <c r="C21" s="193" t="s">
        <v>159</v>
      </c>
      <c r="D21" s="193" t="s">
        <v>160</v>
      </c>
      <c r="F21" s="247" t="s">
        <v>220</v>
      </c>
      <c r="G21" s="250"/>
      <c r="H21" s="157" t="s">
        <v>159</v>
      </c>
      <c r="I21" s="158" t="s">
        <v>160</v>
      </c>
      <c r="L21" s="296"/>
      <c r="M21" s="296"/>
    </row>
    <row r="22" spans="1:13" ht="15.75" customHeight="1" x14ac:dyDescent="0.25">
      <c r="A22" s="242"/>
      <c r="B22" s="245"/>
      <c r="C22" s="311">
        <f>2*A5</f>
        <v>0</v>
      </c>
      <c r="D22" s="269">
        <f>(D6-122)/10</f>
        <v>-12.2</v>
      </c>
      <c r="F22" s="248"/>
      <c r="G22" s="251"/>
      <c r="H22" s="191">
        <f>1*A5</f>
        <v>0</v>
      </c>
      <c r="I22" s="196">
        <f>I18</f>
        <v>-11.5</v>
      </c>
      <c r="J22" s="159" t="s">
        <v>225</v>
      </c>
      <c r="L22" s="296"/>
      <c r="M22" s="296"/>
    </row>
    <row r="23" spans="1:13" ht="15.75" customHeight="1" x14ac:dyDescent="0.25">
      <c r="A23" s="242"/>
      <c r="B23" s="245"/>
      <c r="C23" s="237"/>
      <c r="D23" s="270"/>
      <c r="F23" s="248"/>
      <c r="G23" s="251"/>
      <c r="H23" s="191">
        <f>1*A5</f>
        <v>0</v>
      </c>
      <c r="I23" s="196">
        <f>I19</f>
        <v>-12.7</v>
      </c>
      <c r="J23" s="159" t="s">
        <v>226</v>
      </c>
      <c r="L23" s="296"/>
      <c r="M23" s="296"/>
    </row>
    <row r="24" spans="1:13" ht="15.75" customHeight="1" x14ac:dyDescent="0.25">
      <c r="A24" s="243"/>
      <c r="B24" s="246"/>
      <c r="C24" s="237"/>
      <c r="D24" s="271"/>
      <c r="F24" s="249"/>
      <c r="G24" s="252"/>
      <c r="H24" s="192"/>
      <c r="I24" s="196"/>
      <c r="J24" s="159"/>
      <c r="L24" s="296"/>
      <c r="M24" s="296"/>
    </row>
    <row r="25" spans="1:13" ht="15.75" customHeight="1" thickBot="1" x14ac:dyDescent="0.3">
      <c r="A25" s="253">
        <v>11646</v>
      </c>
      <c r="B25" s="244"/>
      <c r="C25" s="193" t="s">
        <v>159</v>
      </c>
      <c r="D25" s="193" t="s">
        <v>160</v>
      </c>
      <c r="L25" s="296"/>
      <c r="M25" s="296"/>
    </row>
    <row r="26" spans="1:13" ht="15" customHeight="1" x14ac:dyDescent="0.25">
      <c r="A26" s="254"/>
      <c r="B26" s="245"/>
      <c r="C26" s="311">
        <f>2*A5</f>
        <v>0</v>
      </c>
      <c r="D26" s="236">
        <f>(D6-124)/10</f>
        <v>-12.4</v>
      </c>
      <c r="F26" s="282" t="s">
        <v>161</v>
      </c>
      <c r="G26" s="283"/>
      <c r="H26" s="283"/>
      <c r="I26" s="284"/>
      <c r="L26" s="296"/>
      <c r="M26" s="296"/>
    </row>
    <row r="27" spans="1:13" ht="15" customHeight="1" x14ac:dyDescent="0.25">
      <c r="A27" s="254"/>
      <c r="B27" s="245"/>
      <c r="C27" s="315"/>
      <c r="D27" s="237"/>
      <c r="F27" s="285"/>
      <c r="G27" s="286"/>
      <c r="H27" s="286"/>
      <c r="I27" s="287"/>
      <c r="L27" s="296"/>
      <c r="M27" s="296"/>
    </row>
    <row r="28" spans="1:13" ht="15" customHeight="1" x14ac:dyDescent="0.25">
      <c r="A28" s="254"/>
      <c r="B28" s="245"/>
      <c r="C28" s="315"/>
      <c r="D28" s="237"/>
      <c r="F28" s="288">
        <f>VLOOKUP(A1,'ANA SAYFA'!A13:H42,8,0)</f>
        <v>0</v>
      </c>
      <c r="G28" s="289"/>
      <c r="H28" s="289"/>
      <c r="I28" s="290"/>
      <c r="L28" s="296"/>
      <c r="M28" s="296"/>
    </row>
    <row r="29" spans="1:13" ht="15" customHeight="1" x14ac:dyDescent="0.25">
      <c r="A29" s="255"/>
      <c r="B29" s="246"/>
      <c r="C29" s="316"/>
      <c r="D29" s="238"/>
      <c r="F29" s="288"/>
      <c r="G29" s="289"/>
      <c r="H29" s="289"/>
      <c r="I29" s="290"/>
      <c r="L29" s="296"/>
      <c r="M29" s="296"/>
    </row>
    <row r="30" spans="1:13" ht="19.5" thickBot="1" x14ac:dyDescent="0.3">
      <c r="A30" s="253">
        <v>12039</v>
      </c>
      <c r="B30" s="244"/>
      <c r="C30" s="193" t="s">
        <v>159</v>
      </c>
      <c r="D30" s="193" t="s">
        <v>160</v>
      </c>
      <c r="F30" s="291"/>
      <c r="G30" s="292"/>
      <c r="H30" s="292"/>
      <c r="I30" s="293"/>
      <c r="L30" s="296"/>
      <c r="M30" s="296"/>
    </row>
    <row r="31" spans="1:13" ht="15" customHeight="1" x14ac:dyDescent="0.25">
      <c r="A31" s="254"/>
      <c r="B31" s="245"/>
      <c r="C31" s="311">
        <f>C36</f>
        <v>0</v>
      </c>
      <c r="D31" s="236">
        <f>(D6-68)/10</f>
        <v>-6.8</v>
      </c>
      <c r="L31" s="296"/>
      <c r="M31" s="296"/>
    </row>
    <row r="32" spans="1:13" ht="15" customHeight="1" x14ac:dyDescent="0.25">
      <c r="A32" s="254"/>
      <c r="B32" s="245"/>
      <c r="C32" s="315"/>
      <c r="D32" s="237"/>
      <c r="L32" s="296"/>
      <c r="M32" s="296"/>
    </row>
    <row r="33" spans="1:13" ht="15" customHeight="1" x14ac:dyDescent="0.25">
      <c r="A33" s="254"/>
      <c r="B33" s="245"/>
      <c r="C33" s="315"/>
      <c r="D33" s="237"/>
      <c r="L33" s="296"/>
      <c r="M33" s="296"/>
    </row>
    <row r="34" spans="1:13" ht="15" customHeight="1" x14ac:dyDescent="0.25">
      <c r="A34" s="255"/>
      <c r="B34" s="246"/>
      <c r="C34" s="316"/>
      <c r="D34" s="238"/>
      <c r="L34" s="296"/>
      <c r="M34" s="296"/>
    </row>
    <row r="35" spans="1:13" ht="18.75" x14ac:dyDescent="0.25">
      <c r="A35" s="253">
        <v>12061</v>
      </c>
      <c r="B35" s="244"/>
      <c r="C35" s="193" t="s">
        <v>159</v>
      </c>
      <c r="D35" s="193" t="s">
        <v>160</v>
      </c>
      <c r="L35" s="296"/>
      <c r="M35" s="296"/>
    </row>
    <row r="36" spans="1:13" ht="15" customHeight="1" x14ac:dyDescent="0.25">
      <c r="A36" s="254"/>
      <c r="B36" s="245"/>
      <c r="C36" s="311">
        <f>A5</f>
        <v>0</v>
      </c>
      <c r="D36" s="236">
        <f>I13</f>
        <v>-0.4</v>
      </c>
    </row>
    <row r="37" spans="1:13" ht="15" customHeight="1" x14ac:dyDescent="0.25">
      <c r="A37" s="254"/>
      <c r="B37" s="245"/>
      <c r="C37" s="237"/>
      <c r="D37" s="237"/>
    </row>
    <row r="38" spans="1:13" ht="15" customHeight="1" x14ac:dyDescent="0.25">
      <c r="A38" s="254"/>
      <c r="B38" s="245"/>
      <c r="C38" s="237"/>
      <c r="D38" s="237"/>
    </row>
    <row r="39" spans="1:13" ht="15" customHeight="1" x14ac:dyDescent="0.25">
      <c r="A39" s="255"/>
      <c r="B39" s="246"/>
      <c r="C39" s="238"/>
      <c r="D39" s="238"/>
    </row>
    <row r="40" spans="1:13" ht="18.75" x14ac:dyDescent="0.25">
      <c r="A40" s="231" t="s">
        <v>299</v>
      </c>
      <c r="B40" s="232"/>
      <c r="C40" s="193" t="s">
        <v>159</v>
      </c>
      <c r="D40" s="193" t="s">
        <v>160</v>
      </c>
    </row>
    <row r="41" spans="1:13" ht="15" customHeight="1" x14ac:dyDescent="0.25">
      <c r="A41" s="231"/>
      <c r="B41" s="232"/>
      <c r="C41" s="233">
        <f>IF(A45="ALT EŞİK PROFİLİ YOK",0,A5)</f>
        <v>0</v>
      </c>
      <c r="D41" s="234">
        <f>(D5-15)/10</f>
        <v>-1.5</v>
      </c>
    </row>
    <row r="42" spans="1:13" ht="15" customHeight="1" x14ac:dyDescent="0.25">
      <c r="A42" s="231"/>
      <c r="B42" s="232"/>
      <c r="C42" s="234"/>
      <c r="D42" s="234"/>
    </row>
    <row r="43" spans="1:13" ht="15" customHeight="1" x14ac:dyDescent="0.25">
      <c r="A43" s="231"/>
      <c r="B43" s="232"/>
      <c r="C43" s="234"/>
      <c r="D43" s="234"/>
    </row>
    <row r="45" spans="1:13" x14ac:dyDescent="0.25">
      <c r="A45" s="235" t="str">
        <f>CONCATENATE("ALT EŞİK PROFİLİ ",VLOOKUP(A1,'Veri Sayfası - 1'!A14:I43,9,0))</f>
        <v>ALT EŞİK PROFİLİ YOK</v>
      </c>
      <c r="B45" s="235"/>
      <c r="C45" s="235"/>
      <c r="D45" s="235"/>
    </row>
    <row r="46" spans="1:13" x14ac:dyDescent="0.25">
      <c r="A46" s="235"/>
      <c r="B46" s="235"/>
      <c r="C46" s="235"/>
      <c r="D46" s="235"/>
    </row>
    <row r="47" spans="1:13" x14ac:dyDescent="0.25">
      <c r="A47" s="235"/>
      <c r="B47" s="235"/>
      <c r="C47" s="235"/>
      <c r="D47" s="235"/>
    </row>
  </sheetData>
  <mergeCells count="58">
    <mergeCell ref="A35:A39"/>
    <mergeCell ref="B35:B39"/>
    <mergeCell ref="C36:C39"/>
    <mergeCell ref="D36:D39"/>
    <mergeCell ref="A25:A29"/>
    <mergeCell ref="B25:B29"/>
    <mergeCell ref="C26:C29"/>
    <mergeCell ref="D26:D29"/>
    <mergeCell ref="F26:I27"/>
    <mergeCell ref="F28:I30"/>
    <mergeCell ref="A30:A34"/>
    <mergeCell ref="B30:B34"/>
    <mergeCell ref="C31:C34"/>
    <mergeCell ref="D31:D34"/>
    <mergeCell ref="D18:D20"/>
    <mergeCell ref="A21:A24"/>
    <mergeCell ref="B21:B24"/>
    <mergeCell ref="F21:F24"/>
    <mergeCell ref="G21:G24"/>
    <mergeCell ref="C22:C24"/>
    <mergeCell ref="D22:D24"/>
    <mergeCell ref="L9:L10"/>
    <mergeCell ref="M9:M10"/>
    <mergeCell ref="L11:M35"/>
    <mergeCell ref="A12:A16"/>
    <mergeCell ref="B12:B16"/>
    <mergeCell ref="F12:F16"/>
    <mergeCell ref="G12:G16"/>
    <mergeCell ref="C13:C16"/>
    <mergeCell ref="D13:D16"/>
    <mergeCell ref="H13:H16"/>
    <mergeCell ref="I13:I16"/>
    <mergeCell ref="A17:A20"/>
    <mergeCell ref="B17:B20"/>
    <mergeCell ref="F17:F20"/>
    <mergeCell ref="G17:G20"/>
    <mergeCell ref="C18:C20"/>
    <mergeCell ref="M5:M8"/>
    <mergeCell ref="D6:E6"/>
    <mergeCell ref="H6:I7"/>
    <mergeCell ref="A1:B3"/>
    <mergeCell ref="C1:F1"/>
    <mergeCell ref="H1:I2"/>
    <mergeCell ref="C2:F2"/>
    <mergeCell ref="L2:L4"/>
    <mergeCell ref="M2:M4"/>
    <mergeCell ref="H3:I4"/>
    <mergeCell ref="A4:B4"/>
    <mergeCell ref="A5:B6"/>
    <mergeCell ref="D5:E5"/>
    <mergeCell ref="F5:F6"/>
    <mergeCell ref="H5:I5"/>
    <mergeCell ref="L5:L8"/>
    <mergeCell ref="A40:A43"/>
    <mergeCell ref="B40:B43"/>
    <mergeCell ref="C41:C43"/>
    <mergeCell ref="D41:D43"/>
    <mergeCell ref="A45:D47"/>
  </mergeCells>
  <printOptions horizontalCentered="1" verticalCentered="1"/>
  <pageMargins left="0.2" right="0.2" top="0.5" bottom="0.5" header="0.3" footer="0.3"/>
  <pageSetup paperSize="9" scale="66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9"/>
  <sheetViews>
    <sheetView view="pageBreakPreview" zoomScale="83" zoomScaleNormal="115" zoomScaleSheetLayoutView="83" workbookViewId="0">
      <selection activeCell="I13" sqref="I13"/>
    </sheetView>
  </sheetViews>
  <sheetFormatPr defaultRowHeight="15" x14ac:dyDescent="0.25"/>
  <cols>
    <col min="1" max="1" width="16.5703125" customWidth="1"/>
    <col min="2" max="3" width="15.7109375" customWidth="1"/>
    <col min="4" max="4" width="18.85546875" customWidth="1"/>
    <col min="5" max="5" width="17.28515625" customWidth="1"/>
    <col min="6" max="6" width="18.28515625" customWidth="1"/>
    <col min="7" max="8" width="15.7109375" customWidth="1"/>
    <col min="9" max="9" width="16.5703125" bestFit="1" customWidth="1"/>
    <col min="10" max="12" width="15" customWidth="1"/>
    <col min="13" max="13" width="26.140625" style="75" customWidth="1"/>
    <col min="14" max="14" width="36.85546875" style="75" customWidth="1"/>
  </cols>
  <sheetData>
    <row r="1" spans="1:14" ht="15.75" customHeight="1" x14ac:dyDescent="0.25">
      <c r="A1" s="256" t="s">
        <v>165</v>
      </c>
      <c r="B1" s="257"/>
      <c r="C1" s="260" t="s">
        <v>221</v>
      </c>
      <c r="D1" s="261"/>
      <c r="E1" s="261"/>
      <c r="F1" s="262"/>
      <c r="H1" s="301" t="s">
        <v>7</v>
      </c>
      <c r="I1" s="302"/>
      <c r="M1" s="136"/>
      <c r="N1" s="136"/>
    </row>
    <row r="2" spans="1:14" ht="16.5" thickBot="1" x14ac:dyDescent="0.3">
      <c r="A2" s="258"/>
      <c r="B2" s="259"/>
      <c r="C2" s="263" t="s">
        <v>231</v>
      </c>
      <c r="D2" s="264"/>
      <c r="E2" s="264"/>
      <c r="F2" s="265"/>
      <c r="G2" s="120"/>
      <c r="H2" s="303"/>
      <c r="I2" s="304"/>
      <c r="M2" s="294" t="s">
        <v>195</v>
      </c>
      <c r="N2" s="294" t="s">
        <v>194</v>
      </c>
    </row>
    <row r="3" spans="1:14" ht="16.5" thickBot="1" x14ac:dyDescent="0.3">
      <c r="A3" s="258"/>
      <c r="B3" s="259"/>
      <c r="C3" s="105" t="s">
        <v>154</v>
      </c>
      <c r="D3" s="106" t="s">
        <v>153</v>
      </c>
      <c r="E3" s="106" t="s">
        <v>162</v>
      </c>
      <c r="F3" s="107" t="s">
        <v>155</v>
      </c>
      <c r="G3" s="120"/>
      <c r="H3" s="305">
        <f ca="1">'Veri Sayfası - 1'!C3</f>
        <v>46077</v>
      </c>
      <c r="I3" s="304"/>
      <c r="M3" s="294"/>
      <c r="N3" s="294"/>
    </row>
    <row r="4" spans="1:14" ht="50.1" customHeight="1" thickBot="1" x14ac:dyDescent="0.3">
      <c r="A4" s="272" t="s">
        <v>193</v>
      </c>
      <c r="B4" s="273"/>
      <c r="C4" s="134">
        <f>'Veri Sayfası - 1'!C7</f>
        <v>0</v>
      </c>
      <c r="D4" s="133">
        <f>'Veri Sayfası - 1'!C8</f>
        <v>0</v>
      </c>
      <c r="E4" s="137">
        <f>'Veri Sayfası - 1'!C9</f>
        <v>0</v>
      </c>
      <c r="F4" s="135">
        <f>'Veri Sayfası - 1'!C11</f>
        <v>0</v>
      </c>
      <c r="G4" s="120"/>
      <c r="H4" s="306"/>
      <c r="I4" s="307"/>
      <c r="M4" s="294"/>
      <c r="N4" s="294"/>
    </row>
    <row r="5" spans="1:14" ht="16.899999999999999" customHeight="1" x14ac:dyDescent="0.25">
      <c r="A5" s="274">
        <f>VLOOKUP(A1,'Veri Sayfası - 1'!A14:G43,7,0)</f>
        <v>0</v>
      </c>
      <c r="B5" s="275"/>
      <c r="C5" s="108" t="s">
        <v>156</v>
      </c>
      <c r="D5" s="278">
        <f>VLOOKUP(A1,'Veri Sayfası - 1'!A14:C43,2,0)*10</f>
        <v>0</v>
      </c>
      <c r="E5" s="278"/>
      <c r="F5" s="279" t="s">
        <v>157</v>
      </c>
      <c r="G5" s="120"/>
      <c r="H5" s="239" t="s">
        <v>23</v>
      </c>
      <c r="I5" s="240"/>
      <c r="M5" s="295" t="s">
        <v>57</v>
      </c>
      <c r="N5" s="295">
        <f>VLOOKUP(A1,'Veri Sayfası - 1'!A14:F43,6,0)</f>
        <v>0</v>
      </c>
    </row>
    <row r="6" spans="1:14" ht="23.25" thickBot="1" x14ac:dyDescent="0.3">
      <c r="A6" s="276"/>
      <c r="B6" s="277"/>
      <c r="C6" s="109" t="s">
        <v>158</v>
      </c>
      <c r="D6" s="281">
        <f>IF(A47 = "ALT EŞİK PROFİLİ VAR",(VLOOKUP(A1,'Veri Sayfası - 1'!A14:C43,3,0)*10)-15,VLOOKUP(A1,'Veri Sayfası - 1'!A14:C43,3,0)*10)</f>
        <v>0</v>
      </c>
      <c r="E6" s="281"/>
      <c r="F6" s="280"/>
      <c r="G6" s="120"/>
      <c r="H6" s="297">
        <f>'Veri Sayfası - 1'!C4</f>
        <v>0</v>
      </c>
      <c r="I6" s="298"/>
      <c r="M6" s="295"/>
      <c r="N6" s="295"/>
    </row>
    <row r="7" spans="1:14" ht="16.5" thickBot="1" x14ac:dyDescent="0.3">
      <c r="B7" s="120"/>
      <c r="C7" s="122"/>
      <c r="D7" s="123"/>
      <c r="E7" s="124"/>
      <c r="G7" s="125"/>
      <c r="H7" s="299"/>
      <c r="I7" s="300"/>
      <c r="M7" s="295"/>
      <c r="N7" s="295"/>
    </row>
    <row r="8" spans="1:14" ht="16.5" thickTop="1" thickBot="1" x14ac:dyDescent="0.3">
      <c r="B8" s="126"/>
      <c r="C8" s="127" t="s">
        <v>222</v>
      </c>
      <c r="D8" s="130" t="s">
        <v>223</v>
      </c>
      <c r="E8" s="127" t="s">
        <v>222</v>
      </c>
      <c r="F8" s="140" t="s">
        <v>224</v>
      </c>
      <c r="G8" s="130" t="s">
        <v>223</v>
      </c>
      <c r="H8" s="127" t="s">
        <v>222</v>
      </c>
      <c r="I8" s="121"/>
      <c r="M8" s="295"/>
      <c r="N8" s="295"/>
    </row>
    <row r="9" spans="1:14" ht="22.5" thickTop="1" thickBot="1" x14ac:dyDescent="0.3">
      <c r="B9" s="139" t="s">
        <v>158</v>
      </c>
      <c r="C9" s="207">
        <f>(D6-107)</f>
        <v>-107</v>
      </c>
      <c r="D9" s="208">
        <f>(D6-107)</f>
        <v>-107</v>
      </c>
      <c r="E9" s="209">
        <f>(D6-107)</f>
        <v>-107</v>
      </c>
      <c r="F9" s="210">
        <f>(D6-107)</f>
        <v>-107</v>
      </c>
      <c r="G9" s="211">
        <f>(D6-107)</f>
        <v>-107</v>
      </c>
      <c r="H9" s="212">
        <f>G9</f>
        <v>-107</v>
      </c>
      <c r="I9" s="121"/>
      <c r="M9" s="295"/>
      <c r="N9" s="295"/>
    </row>
    <row r="10" spans="1:14" ht="22.5" thickTop="1" thickBot="1" x14ac:dyDescent="0.3">
      <c r="B10" s="138" t="s">
        <v>156</v>
      </c>
      <c r="C10" s="213">
        <f>(D5-280)/6+1</f>
        <v>-45.666666666666664</v>
      </c>
      <c r="D10" s="214">
        <f>(D5-112)/6+1</f>
        <v>-17.666666666666668</v>
      </c>
      <c r="E10" s="213">
        <f>C10</f>
        <v>-45.666666666666664</v>
      </c>
      <c r="F10" s="215">
        <f>(D5-100)/6+1</f>
        <v>-15.666666666666668</v>
      </c>
      <c r="G10" s="214">
        <f>D10</f>
        <v>-17.666666666666668</v>
      </c>
      <c r="H10" s="213">
        <f>E10</f>
        <v>-45.666666666666664</v>
      </c>
      <c r="I10" s="121"/>
      <c r="M10" s="295"/>
      <c r="N10" s="295"/>
    </row>
    <row r="11" spans="1:14" ht="15.75" thickTop="1" x14ac:dyDescent="0.25">
      <c r="B11" s="75"/>
      <c r="C11" s="75"/>
      <c r="D11" s="75"/>
      <c r="E11" s="144"/>
      <c r="F11" s="145"/>
      <c r="G11" s="132"/>
      <c r="H11" s="121"/>
      <c r="I11" s="121"/>
      <c r="M11" s="296" t="str">
        <f>IF(M5=N5," ","POZ NUMARASI YANLIŞ")</f>
        <v>POZ NUMARASI YANLIŞ</v>
      </c>
      <c r="N11" s="296"/>
    </row>
    <row r="12" spans="1:14" x14ac:dyDescent="0.25">
      <c r="B12" s="75"/>
      <c r="C12" s="75"/>
      <c r="D12" s="75"/>
      <c r="E12" s="146"/>
      <c r="F12" s="147"/>
      <c r="G12" s="132"/>
      <c r="H12" s="121"/>
      <c r="I12" s="121"/>
      <c r="M12" s="296"/>
      <c r="N12" s="296"/>
    </row>
    <row r="13" spans="1:14" x14ac:dyDescent="0.25">
      <c r="B13" s="75"/>
      <c r="C13" s="75"/>
      <c r="D13" s="75"/>
      <c r="E13" s="146"/>
      <c r="F13" s="147"/>
      <c r="G13" s="132"/>
      <c r="H13" s="121"/>
      <c r="I13" s="121"/>
      <c r="M13" s="296"/>
      <c r="N13" s="296"/>
    </row>
    <row r="14" spans="1:14" ht="15.75" thickBot="1" x14ac:dyDescent="0.3">
      <c r="B14" s="75"/>
      <c r="C14" s="75"/>
      <c r="D14" s="75"/>
      <c r="E14" s="148"/>
      <c r="F14" s="149"/>
      <c r="G14" s="132"/>
      <c r="H14" s="121"/>
      <c r="I14" s="121"/>
      <c r="M14" s="296"/>
      <c r="N14" s="296"/>
    </row>
    <row r="15" spans="1:14" ht="16.5" thickTop="1" thickBot="1" x14ac:dyDescent="0.3">
      <c r="M15" s="296"/>
      <c r="N15" s="296"/>
    </row>
    <row r="16" spans="1:14" ht="19.5" thickBot="1" x14ac:dyDescent="0.3">
      <c r="A16" s="317" t="s">
        <v>214</v>
      </c>
      <c r="B16" s="319"/>
      <c r="C16" s="200" t="s">
        <v>159</v>
      </c>
      <c r="D16" s="200" t="s">
        <v>160</v>
      </c>
      <c r="E16" s="129"/>
      <c r="F16" s="321" t="s">
        <v>216</v>
      </c>
      <c r="G16" s="339"/>
      <c r="H16" s="150" t="s">
        <v>159</v>
      </c>
      <c r="I16" s="150" t="s">
        <v>160</v>
      </c>
      <c r="M16" s="296"/>
      <c r="N16" s="296"/>
    </row>
    <row r="17" spans="1:14" ht="15" customHeight="1" x14ac:dyDescent="0.25">
      <c r="A17" s="318"/>
      <c r="B17" s="320"/>
      <c r="C17" s="323">
        <f>1*A5</f>
        <v>0</v>
      </c>
      <c r="D17" s="323">
        <f>(D5-110)/10</f>
        <v>-11</v>
      </c>
      <c r="F17" s="322"/>
      <c r="G17" s="340"/>
      <c r="H17" s="355">
        <f>2*A5</f>
        <v>0</v>
      </c>
      <c r="I17" s="355">
        <f>(D6-4)/10</f>
        <v>-0.4</v>
      </c>
      <c r="M17" s="296"/>
      <c r="N17" s="296"/>
    </row>
    <row r="18" spans="1:14" ht="15" customHeight="1" x14ac:dyDescent="0.25">
      <c r="A18" s="318"/>
      <c r="B18" s="320"/>
      <c r="C18" s="324"/>
      <c r="D18" s="324"/>
      <c r="F18" s="322"/>
      <c r="G18" s="340"/>
      <c r="H18" s="356"/>
      <c r="I18" s="356"/>
      <c r="M18" s="296"/>
      <c r="N18" s="296"/>
    </row>
    <row r="19" spans="1:14" ht="15" customHeight="1" x14ac:dyDescent="0.25">
      <c r="A19" s="318"/>
      <c r="B19" s="320"/>
      <c r="C19" s="324"/>
      <c r="D19" s="324"/>
      <c r="F19" s="322"/>
      <c r="G19" s="340"/>
      <c r="H19" s="356"/>
      <c r="I19" s="356"/>
      <c r="M19" s="296"/>
      <c r="N19" s="296"/>
    </row>
    <row r="20" spans="1:14" ht="15.75" thickBot="1" x14ac:dyDescent="0.3">
      <c r="A20" s="318"/>
      <c r="B20" s="320"/>
      <c r="C20" s="324"/>
      <c r="D20" s="324"/>
      <c r="F20" s="322"/>
      <c r="G20" s="340"/>
      <c r="H20" s="356"/>
      <c r="I20" s="356"/>
      <c r="M20" s="296"/>
      <c r="N20" s="296"/>
    </row>
    <row r="21" spans="1:14" ht="19.5" thickBot="1" x14ac:dyDescent="0.3">
      <c r="A21" s="317" t="s">
        <v>215</v>
      </c>
      <c r="B21" s="319"/>
      <c r="C21" s="200" t="s">
        <v>159</v>
      </c>
      <c r="D21" s="200" t="s">
        <v>160</v>
      </c>
      <c r="F21" s="325">
        <v>11574</v>
      </c>
      <c r="G21" s="341"/>
      <c r="H21" s="150" t="s">
        <v>159</v>
      </c>
      <c r="I21" s="150" t="s">
        <v>160</v>
      </c>
      <c r="M21" s="296"/>
      <c r="N21" s="296"/>
    </row>
    <row r="22" spans="1:14" ht="15.75" customHeight="1" x14ac:dyDescent="0.25">
      <c r="A22" s="318"/>
      <c r="B22" s="320"/>
      <c r="C22" s="323">
        <f>1*A5</f>
        <v>0</v>
      </c>
      <c r="D22" s="323">
        <f>(D5-142)/10</f>
        <v>-14.2</v>
      </c>
      <c r="F22" s="326"/>
      <c r="G22" s="342"/>
      <c r="H22" s="335">
        <f>3*A5</f>
        <v>0</v>
      </c>
      <c r="I22" s="201" t="s">
        <v>225</v>
      </c>
      <c r="M22" s="296"/>
      <c r="N22" s="296"/>
    </row>
    <row r="23" spans="1:14" ht="15.75" customHeight="1" thickBot="1" x14ac:dyDescent="0.3">
      <c r="A23" s="318"/>
      <c r="B23" s="320"/>
      <c r="C23" s="324"/>
      <c r="D23" s="324"/>
      <c r="F23" s="326"/>
      <c r="G23" s="342"/>
      <c r="H23" s="336"/>
      <c r="I23" s="202">
        <f>(C10-35.4)/10</f>
        <v>-8.1066666666666656</v>
      </c>
      <c r="M23" s="296"/>
      <c r="N23" s="296"/>
    </row>
    <row r="24" spans="1:14" ht="15.75" customHeight="1" x14ac:dyDescent="0.25">
      <c r="A24" s="318"/>
      <c r="B24" s="320"/>
      <c r="C24" s="324"/>
      <c r="D24" s="324"/>
      <c r="F24" s="326"/>
      <c r="G24" s="342"/>
      <c r="H24" s="337">
        <f>2*A5</f>
        <v>0</v>
      </c>
      <c r="I24" s="203" t="s">
        <v>226</v>
      </c>
      <c r="M24" s="296"/>
      <c r="N24" s="296"/>
    </row>
    <row r="25" spans="1:14" ht="21.75" thickBot="1" x14ac:dyDescent="0.3">
      <c r="A25" s="318"/>
      <c r="B25" s="320"/>
      <c r="C25" s="324"/>
      <c r="D25" s="324"/>
      <c r="F25" s="326"/>
      <c r="G25" s="342"/>
      <c r="H25" s="338"/>
      <c r="I25" s="204">
        <f>(D10-31)/10</f>
        <v>-4.8666666666666671</v>
      </c>
      <c r="M25" s="296"/>
      <c r="N25" s="296"/>
    </row>
    <row r="26" spans="1:14" ht="15.75" customHeight="1" thickBot="1" x14ac:dyDescent="0.3">
      <c r="A26" s="317" t="s">
        <v>213</v>
      </c>
      <c r="B26" s="319"/>
      <c r="C26" s="200" t="s">
        <v>159</v>
      </c>
      <c r="D26" s="200" t="s">
        <v>160</v>
      </c>
      <c r="F26" s="326"/>
      <c r="G26" s="342"/>
      <c r="H26" s="347">
        <f>1*A5</f>
        <v>0</v>
      </c>
      <c r="I26" s="205" t="s">
        <v>227</v>
      </c>
      <c r="M26" s="296"/>
      <c r="N26" s="296"/>
    </row>
    <row r="27" spans="1:14" ht="15.75" customHeight="1" thickBot="1" x14ac:dyDescent="0.3">
      <c r="A27" s="318"/>
      <c r="B27" s="320"/>
      <c r="C27" s="349">
        <f>3*A5</f>
        <v>0</v>
      </c>
      <c r="D27" s="352">
        <f>(D6-122)/10</f>
        <v>-12.2</v>
      </c>
      <c r="F27" s="326"/>
      <c r="G27" s="342"/>
      <c r="H27" s="348"/>
      <c r="I27" s="206">
        <f>(F10-36)/10</f>
        <v>-5.166666666666667</v>
      </c>
      <c r="M27" s="296"/>
      <c r="N27" s="296"/>
    </row>
    <row r="28" spans="1:14" ht="15.75" customHeight="1" thickBot="1" x14ac:dyDescent="0.3">
      <c r="A28" s="318"/>
      <c r="B28" s="320"/>
      <c r="C28" s="350"/>
      <c r="D28" s="353"/>
      <c r="F28" s="329" t="s">
        <v>220</v>
      </c>
      <c r="G28" s="332"/>
      <c r="H28" s="150" t="s">
        <v>159</v>
      </c>
      <c r="I28" s="150" t="s">
        <v>160</v>
      </c>
      <c r="M28" s="296"/>
      <c r="N28" s="296"/>
    </row>
    <row r="29" spans="1:14" ht="15.75" customHeight="1" x14ac:dyDescent="0.25">
      <c r="A29" s="318"/>
      <c r="B29" s="320"/>
      <c r="C29" s="350"/>
      <c r="D29" s="353"/>
      <c r="F29" s="330"/>
      <c r="G29" s="333"/>
      <c r="H29" s="335">
        <f>3*A5</f>
        <v>0</v>
      </c>
      <c r="I29" s="201" t="s">
        <v>225</v>
      </c>
      <c r="M29" s="296"/>
      <c r="N29" s="296"/>
    </row>
    <row r="30" spans="1:14" ht="15.75" customHeight="1" thickBot="1" x14ac:dyDescent="0.3">
      <c r="A30" s="318"/>
      <c r="B30" s="320"/>
      <c r="C30" s="350"/>
      <c r="D30" s="353"/>
      <c r="F30" s="330"/>
      <c r="G30" s="333"/>
      <c r="H30" s="336"/>
      <c r="I30" s="202">
        <f>I23</f>
        <v>-8.1066666666666656</v>
      </c>
      <c r="M30" s="296"/>
      <c r="N30" s="296"/>
    </row>
    <row r="31" spans="1:14" ht="15" customHeight="1" thickBot="1" x14ac:dyDescent="0.3">
      <c r="A31" s="327"/>
      <c r="B31" s="328"/>
      <c r="C31" s="351"/>
      <c r="D31" s="354"/>
      <c r="F31" s="330"/>
      <c r="G31" s="333"/>
      <c r="H31" s="337">
        <f>2*A5</f>
        <v>0</v>
      </c>
      <c r="I31" s="203" t="s">
        <v>226</v>
      </c>
      <c r="M31" s="296"/>
      <c r="N31" s="296"/>
    </row>
    <row r="32" spans="1:14" ht="21.75" thickBot="1" x14ac:dyDescent="0.3">
      <c r="A32" s="343">
        <v>11646</v>
      </c>
      <c r="B32" s="319"/>
      <c r="C32" s="200" t="s">
        <v>159</v>
      </c>
      <c r="D32" s="200" t="s">
        <v>160</v>
      </c>
      <c r="F32" s="330"/>
      <c r="G32" s="333"/>
      <c r="H32" s="338"/>
      <c r="I32" s="204">
        <f>I25</f>
        <v>-4.8666666666666671</v>
      </c>
      <c r="M32" s="296"/>
      <c r="N32" s="296"/>
    </row>
    <row r="33" spans="1:14" ht="15.75" customHeight="1" x14ac:dyDescent="0.25">
      <c r="A33" s="344"/>
      <c r="B33" s="320"/>
      <c r="C33" s="324">
        <f>8*A5</f>
        <v>0</v>
      </c>
      <c r="D33" s="324">
        <f>(D6-124)/10</f>
        <v>-12.4</v>
      </c>
      <c r="F33" s="330"/>
      <c r="G33" s="333"/>
      <c r="H33" s="347">
        <f>1*A5</f>
        <v>0</v>
      </c>
      <c r="I33" s="205" t="s">
        <v>227</v>
      </c>
      <c r="M33" s="296"/>
      <c r="N33" s="296"/>
    </row>
    <row r="34" spans="1:14" ht="21.75" thickBot="1" x14ac:dyDescent="0.3">
      <c r="A34" s="344"/>
      <c r="B34" s="320"/>
      <c r="C34" s="324"/>
      <c r="D34" s="324"/>
      <c r="F34" s="331"/>
      <c r="G34" s="334"/>
      <c r="H34" s="348"/>
      <c r="I34" s="206">
        <f>I27</f>
        <v>-5.166666666666667</v>
      </c>
      <c r="M34" s="296"/>
      <c r="N34" s="296"/>
    </row>
    <row r="35" spans="1:14" ht="15" customHeight="1" thickBot="1" x14ac:dyDescent="0.3">
      <c r="A35" s="344"/>
      <c r="B35" s="320"/>
      <c r="C35" s="324"/>
      <c r="D35" s="324"/>
      <c r="M35" s="296"/>
      <c r="N35" s="296"/>
    </row>
    <row r="36" spans="1:14" ht="15.75" customHeight="1" thickBot="1" x14ac:dyDescent="0.3">
      <c r="A36" s="345"/>
      <c r="B36" s="328"/>
      <c r="C36" s="346"/>
      <c r="D36" s="346"/>
      <c r="F36" s="282" t="s">
        <v>161</v>
      </c>
      <c r="G36" s="283"/>
      <c r="H36" s="283"/>
      <c r="I36" s="284"/>
    </row>
    <row r="37" spans="1:14" ht="15" customHeight="1" x14ac:dyDescent="0.25">
      <c r="A37" s="343" t="s">
        <v>217</v>
      </c>
      <c r="B37" s="319"/>
      <c r="C37" s="200" t="s">
        <v>159</v>
      </c>
      <c r="D37" s="200" t="s">
        <v>160</v>
      </c>
      <c r="F37" s="285"/>
      <c r="G37" s="286"/>
      <c r="H37" s="286"/>
      <c r="I37" s="287"/>
    </row>
    <row r="38" spans="1:14" ht="15.75" customHeight="1" x14ac:dyDescent="0.25">
      <c r="A38" s="344"/>
      <c r="B38" s="320"/>
      <c r="C38" s="324">
        <f>1*A5</f>
        <v>0</v>
      </c>
      <c r="D38" s="324">
        <f>D27</f>
        <v>-12.2</v>
      </c>
      <c r="F38" s="288">
        <f>VLOOKUP(A1,'ANA SAYFA'!A13:H42,8,0)</f>
        <v>0</v>
      </c>
      <c r="G38" s="289"/>
      <c r="H38" s="289"/>
      <c r="I38" s="290"/>
    </row>
    <row r="39" spans="1:14" ht="15.75" customHeight="1" x14ac:dyDescent="0.25">
      <c r="A39" s="344"/>
      <c r="B39" s="320"/>
      <c r="C39" s="324"/>
      <c r="D39" s="324"/>
      <c r="F39" s="288"/>
      <c r="G39" s="289"/>
      <c r="H39" s="289"/>
      <c r="I39" s="290"/>
    </row>
    <row r="40" spans="1:14" ht="15.75" customHeight="1" thickBot="1" x14ac:dyDescent="0.3">
      <c r="A40" s="344"/>
      <c r="B40" s="320"/>
      <c r="C40" s="324"/>
      <c r="D40" s="324"/>
      <c r="F40" s="291"/>
      <c r="G40" s="292"/>
      <c r="H40" s="292"/>
      <c r="I40" s="293"/>
    </row>
    <row r="41" spans="1:14" ht="15.75" customHeight="1" thickBot="1" x14ac:dyDescent="0.3">
      <c r="A41" s="345"/>
      <c r="B41" s="328"/>
      <c r="C41" s="346"/>
      <c r="D41" s="346"/>
      <c r="F41" s="161"/>
      <c r="G41" s="161"/>
      <c r="H41" s="161"/>
      <c r="I41" s="161"/>
    </row>
    <row r="42" spans="1:14" ht="15.75" customHeight="1" x14ac:dyDescent="0.25">
      <c r="A42" s="231" t="s">
        <v>299</v>
      </c>
      <c r="B42" s="232"/>
      <c r="C42" s="193" t="s">
        <v>159</v>
      </c>
      <c r="D42" s="193" t="s">
        <v>160</v>
      </c>
    </row>
    <row r="43" spans="1:14" ht="15.75" customHeight="1" x14ac:dyDescent="0.25">
      <c r="A43" s="231"/>
      <c r="B43" s="232"/>
      <c r="C43" s="233">
        <f>IF(A47="ALT EŞİK PROFİLİ YOK",0,A5)</f>
        <v>0</v>
      </c>
      <c r="D43" s="234">
        <f>(D5-15)/10</f>
        <v>-1.5</v>
      </c>
    </row>
    <row r="44" spans="1:14" ht="15" customHeight="1" x14ac:dyDescent="0.25">
      <c r="A44" s="231"/>
      <c r="B44" s="232"/>
      <c r="C44" s="234"/>
      <c r="D44" s="234"/>
    </row>
    <row r="45" spans="1:14" x14ac:dyDescent="0.25">
      <c r="A45" s="231"/>
      <c r="B45" s="232"/>
      <c r="C45" s="234"/>
      <c r="D45" s="234"/>
    </row>
    <row r="47" spans="1:14" x14ac:dyDescent="0.25">
      <c r="A47" s="235" t="str">
        <f>CONCATENATE("ALT EŞİK PROFİLİ ",VLOOKUP(A1,'Veri Sayfası - 1'!A14:I43,9,0))</f>
        <v>ALT EŞİK PROFİLİ YOK</v>
      </c>
      <c r="B47" s="235"/>
      <c r="C47" s="235"/>
      <c r="D47" s="235"/>
    </row>
    <row r="48" spans="1:14" x14ac:dyDescent="0.25">
      <c r="A48" s="235"/>
      <c r="B48" s="235"/>
      <c r="C48" s="235"/>
      <c r="D48" s="235"/>
    </row>
    <row r="49" spans="1:4" x14ac:dyDescent="0.25">
      <c r="A49" s="235"/>
      <c r="B49" s="235"/>
      <c r="C49" s="235"/>
      <c r="D49" s="235"/>
    </row>
  </sheetData>
  <mergeCells count="60">
    <mergeCell ref="M11:N35"/>
    <mergeCell ref="H1:I2"/>
    <mergeCell ref="C2:F2"/>
    <mergeCell ref="H3:I4"/>
    <mergeCell ref="H17:H20"/>
    <mergeCell ref="I17:I20"/>
    <mergeCell ref="H22:H23"/>
    <mergeCell ref="H24:H25"/>
    <mergeCell ref="M2:M4"/>
    <mergeCell ref="N2:N4"/>
    <mergeCell ref="M5:M8"/>
    <mergeCell ref="N5:N8"/>
    <mergeCell ref="M9:M10"/>
    <mergeCell ref="N9:N10"/>
    <mergeCell ref="H5:I5"/>
    <mergeCell ref="D6:E6"/>
    <mergeCell ref="H6:I7"/>
    <mergeCell ref="F5:F6"/>
    <mergeCell ref="F38:I40"/>
    <mergeCell ref="A37:A41"/>
    <mergeCell ref="B37:B41"/>
    <mergeCell ref="C38:C41"/>
    <mergeCell ref="D38:D41"/>
    <mergeCell ref="F36:I37"/>
    <mergeCell ref="A32:A36"/>
    <mergeCell ref="B32:B36"/>
    <mergeCell ref="C33:C36"/>
    <mergeCell ref="D33:D36"/>
    <mergeCell ref="H33:H34"/>
    <mergeCell ref="H26:H27"/>
    <mergeCell ref="C27:C31"/>
    <mergeCell ref="D27:D31"/>
    <mergeCell ref="G28:G34"/>
    <mergeCell ref="H29:H30"/>
    <mergeCell ref="H31:H32"/>
    <mergeCell ref="G16:G20"/>
    <mergeCell ref="G21:G27"/>
    <mergeCell ref="A21:A25"/>
    <mergeCell ref="B21:B25"/>
    <mergeCell ref="F21:F27"/>
    <mergeCell ref="C22:C25"/>
    <mergeCell ref="D22:D25"/>
    <mergeCell ref="A26:A31"/>
    <mergeCell ref="B26:B31"/>
    <mergeCell ref="F28:F34"/>
    <mergeCell ref="A1:B3"/>
    <mergeCell ref="C1:F1"/>
    <mergeCell ref="A16:A20"/>
    <mergeCell ref="B16:B20"/>
    <mergeCell ref="F16:F20"/>
    <mergeCell ref="A4:B4"/>
    <mergeCell ref="A5:B6"/>
    <mergeCell ref="D5:E5"/>
    <mergeCell ref="C17:C20"/>
    <mergeCell ref="D17:D20"/>
    <mergeCell ref="A47:D49"/>
    <mergeCell ref="A42:A45"/>
    <mergeCell ref="B42:B45"/>
    <mergeCell ref="C43:C45"/>
    <mergeCell ref="D43:D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9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58"/>
  <sheetViews>
    <sheetView view="pageBreakPreview" topLeftCell="A13" zoomScale="83" zoomScaleNormal="115" zoomScaleSheetLayoutView="83" workbookViewId="0">
      <selection activeCell="K43" sqref="K43"/>
    </sheetView>
  </sheetViews>
  <sheetFormatPr defaultRowHeight="15" x14ac:dyDescent="0.25"/>
  <cols>
    <col min="1" max="1" width="16.5703125" customWidth="1"/>
    <col min="2" max="3" width="15.7109375" customWidth="1"/>
    <col min="4" max="4" width="16.5703125" customWidth="1"/>
    <col min="5" max="5" width="17.28515625" customWidth="1"/>
    <col min="6" max="6" width="18.28515625" customWidth="1"/>
    <col min="7" max="8" width="15.7109375" customWidth="1"/>
    <col min="9" max="9" width="16.5703125" bestFit="1" customWidth="1"/>
    <col min="10" max="12" width="15" customWidth="1"/>
    <col min="13" max="13" width="26.140625" style="75" customWidth="1"/>
    <col min="14" max="14" width="36.85546875" style="75" customWidth="1"/>
  </cols>
  <sheetData>
    <row r="1" spans="1:14" ht="15.75" customHeight="1" x14ac:dyDescent="0.25">
      <c r="A1" s="256" t="s">
        <v>166</v>
      </c>
      <c r="B1" s="257"/>
      <c r="C1" s="260" t="s">
        <v>221</v>
      </c>
      <c r="D1" s="261"/>
      <c r="E1" s="261"/>
      <c r="F1" s="262"/>
      <c r="H1" s="301" t="s">
        <v>7</v>
      </c>
      <c r="I1" s="302"/>
      <c r="M1" s="136"/>
      <c r="N1" s="136"/>
    </row>
    <row r="2" spans="1:14" ht="16.5" thickBot="1" x14ac:dyDescent="0.3">
      <c r="A2" s="258"/>
      <c r="B2" s="259"/>
      <c r="C2" s="263" t="s">
        <v>231</v>
      </c>
      <c r="D2" s="264"/>
      <c r="E2" s="264"/>
      <c r="F2" s="265"/>
      <c r="G2" s="120"/>
      <c r="H2" s="303"/>
      <c r="I2" s="304"/>
      <c r="M2" s="294" t="s">
        <v>195</v>
      </c>
      <c r="N2" s="294" t="s">
        <v>194</v>
      </c>
    </row>
    <row r="3" spans="1:14" ht="16.5" thickBot="1" x14ac:dyDescent="0.3">
      <c r="A3" s="258"/>
      <c r="B3" s="259"/>
      <c r="C3" s="105" t="s">
        <v>154</v>
      </c>
      <c r="D3" s="106" t="s">
        <v>153</v>
      </c>
      <c r="E3" s="106" t="s">
        <v>162</v>
      </c>
      <c r="F3" s="107" t="s">
        <v>155</v>
      </c>
      <c r="G3" s="120"/>
      <c r="H3" s="305">
        <f ca="1">'Veri Sayfası - 1'!C3</f>
        <v>46077</v>
      </c>
      <c r="I3" s="304"/>
      <c r="M3" s="294"/>
      <c r="N3" s="294"/>
    </row>
    <row r="4" spans="1:14" ht="50.1" customHeight="1" thickBot="1" x14ac:dyDescent="0.3">
      <c r="A4" s="272" t="s">
        <v>193</v>
      </c>
      <c r="B4" s="273"/>
      <c r="C4" s="134">
        <f>'Veri Sayfası - 1'!C7</f>
        <v>0</v>
      </c>
      <c r="D4" s="133">
        <f>'Veri Sayfası - 1'!C8</f>
        <v>0</v>
      </c>
      <c r="E4" s="137">
        <f>'Veri Sayfası - 1'!C9</f>
        <v>0</v>
      </c>
      <c r="F4" s="135">
        <f>'Veri Sayfası - 1'!C11</f>
        <v>0</v>
      </c>
      <c r="G4" s="120"/>
      <c r="H4" s="306"/>
      <c r="I4" s="307"/>
      <c r="M4" s="294"/>
      <c r="N4" s="294"/>
    </row>
    <row r="5" spans="1:14" ht="16.899999999999999" customHeight="1" x14ac:dyDescent="0.25">
      <c r="A5" s="274">
        <f>VLOOKUP(A1,'Veri Sayfası - 1'!A14:G43,7,0)</f>
        <v>0</v>
      </c>
      <c r="B5" s="275"/>
      <c r="C5" s="108" t="s">
        <v>156</v>
      </c>
      <c r="D5" s="278">
        <f>VLOOKUP(A1,'Veri Sayfası - 1'!A14:C43,2,0)*10</f>
        <v>0</v>
      </c>
      <c r="E5" s="278"/>
      <c r="F5" s="279" t="s">
        <v>157</v>
      </c>
      <c r="G5" s="120"/>
      <c r="H5" s="239" t="s">
        <v>23</v>
      </c>
      <c r="I5" s="240"/>
      <c r="M5" s="295" t="s">
        <v>56</v>
      </c>
      <c r="N5" s="295">
        <f>VLOOKUP(A1,'Veri Sayfası - 1'!A14:F43,6,0)</f>
        <v>0</v>
      </c>
    </row>
    <row r="6" spans="1:14" ht="23.25" customHeight="1" thickBot="1" x14ac:dyDescent="0.3">
      <c r="A6" s="276"/>
      <c r="B6" s="277"/>
      <c r="C6" s="109" t="s">
        <v>158</v>
      </c>
      <c r="D6" s="281">
        <f>IF(A56 = "ALT EŞİK PROFİLİ VAR",(VLOOKUP(A1,'Veri Sayfası - 1'!A14:C43,3,0)*10)-15,VLOOKUP(A1,'Veri Sayfası - 1'!A14:C43,3,0)*10)</f>
        <v>0</v>
      </c>
      <c r="E6" s="281"/>
      <c r="F6" s="280"/>
      <c r="G6" s="120"/>
      <c r="H6" s="297">
        <f>'Veri Sayfası - 1'!C4</f>
        <v>0</v>
      </c>
      <c r="I6" s="298"/>
      <c r="M6" s="295"/>
      <c r="N6" s="295"/>
    </row>
    <row r="7" spans="1:14" ht="16.5" customHeight="1" thickBot="1" x14ac:dyDescent="0.3">
      <c r="B7" s="120"/>
      <c r="C7" s="120"/>
      <c r="D7" s="123"/>
      <c r="E7" s="124"/>
      <c r="G7" s="125"/>
      <c r="H7" s="299"/>
      <c r="I7" s="300"/>
      <c r="M7" s="295"/>
      <c r="N7" s="295"/>
    </row>
    <row r="8" spans="1:14" ht="16.5" customHeight="1" thickTop="1" thickBot="1" x14ac:dyDescent="0.3">
      <c r="B8" s="75"/>
      <c r="C8" s="75"/>
      <c r="D8" s="131" t="s">
        <v>222</v>
      </c>
      <c r="E8" s="127" t="s">
        <v>223</v>
      </c>
      <c r="F8" s="140" t="s">
        <v>224</v>
      </c>
      <c r="G8" s="185" t="s">
        <v>256</v>
      </c>
      <c r="H8" s="121"/>
      <c r="L8" s="178"/>
      <c r="M8" s="295"/>
      <c r="N8" s="295"/>
    </row>
    <row r="9" spans="1:14" ht="16.5" customHeight="1" thickTop="1" x14ac:dyDescent="0.25">
      <c r="B9" s="179"/>
      <c r="C9" s="183" t="s">
        <v>158</v>
      </c>
      <c r="D9" s="181">
        <f>(D6-107)</f>
        <v>-107</v>
      </c>
      <c r="E9" s="141">
        <f>(D6-107)</f>
        <v>-107</v>
      </c>
      <c r="F9" s="142">
        <f>(D6-107)</f>
        <v>-107</v>
      </c>
      <c r="G9" s="186">
        <f>(D6-107)</f>
        <v>-107</v>
      </c>
      <c r="H9" s="121"/>
      <c r="L9" s="295"/>
      <c r="M9" s="295"/>
      <c r="N9" s="295"/>
    </row>
    <row r="10" spans="1:14" ht="16.5" customHeight="1" thickBot="1" x14ac:dyDescent="0.3">
      <c r="B10" s="180"/>
      <c r="C10" s="184" t="s">
        <v>156</v>
      </c>
      <c r="D10" s="182">
        <f>ROUNDDOWN(D5/4-80,0)</f>
        <v>-80</v>
      </c>
      <c r="E10" s="128">
        <f>D10+16</f>
        <v>-64</v>
      </c>
      <c r="F10" s="143">
        <f>D10+49</f>
        <v>-31</v>
      </c>
      <c r="G10" s="187">
        <f>D10+3</f>
        <v>-77</v>
      </c>
      <c r="H10" s="121"/>
      <c r="L10" s="295"/>
      <c r="M10" s="295"/>
      <c r="N10"/>
    </row>
    <row r="11" spans="1:14" ht="16.5" thickTop="1" thickBot="1" x14ac:dyDescent="0.3">
      <c r="B11" s="75"/>
      <c r="C11" s="75"/>
      <c r="D11" s="131" t="s">
        <v>257</v>
      </c>
      <c r="E11" s="144"/>
      <c r="F11" s="145"/>
      <c r="G11" s="187" t="s">
        <v>257</v>
      </c>
      <c r="H11" s="121"/>
      <c r="I11" s="121"/>
      <c r="M11" s="296" t="str">
        <f>IF(M5=N5," ","POZ NUMARASI YANLIŞ")</f>
        <v>POZ NUMARASI YANLIŞ</v>
      </c>
      <c r="N11" s="296"/>
    </row>
    <row r="12" spans="1:14" ht="15.75" thickTop="1" x14ac:dyDescent="0.25">
      <c r="B12" s="75"/>
      <c r="C12" s="75"/>
      <c r="D12" s="75"/>
      <c r="E12" s="146"/>
      <c r="F12" s="147"/>
      <c r="G12" s="132"/>
      <c r="H12" s="121"/>
      <c r="I12" s="121"/>
      <c r="M12" s="296"/>
      <c r="N12" s="296"/>
    </row>
    <row r="13" spans="1:14" x14ac:dyDescent="0.25">
      <c r="B13" s="75"/>
      <c r="C13" s="75"/>
      <c r="D13" s="75"/>
      <c r="E13" s="146"/>
      <c r="F13" s="147"/>
      <c r="G13" s="132"/>
      <c r="H13" s="121"/>
      <c r="I13" s="121"/>
      <c r="M13" s="296"/>
      <c r="N13" s="296"/>
    </row>
    <row r="14" spans="1:14" ht="15.75" thickBot="1" x14ac:dyDescent="0.3">
      <c r="B14" s="75"/>
      <c r="C14" s="75"/>
      <c r="D14" s="75"/>
      <c r="E14" s="148"/>
      <c r="F14" s="149"/>
      <c r="G14" s="132"/>
      <c r="H14" s="121"/>
      <c r="I14" s="121"/>
      <c r="M14" s="296"/>
      <c r="N14" s="296"/>
    </row>
    <row r="15" spans="1:14" ht="16.5" thickTop="1" thickBot="1" x14ac:dyDescent="0.3">
      <c r="M15" s="296"/>
      <c r="N15" s="296"/>
    </row>
    <row r="16" spans="1:14" ht="15.75" thickBot="1" x14ac:dyDescent="0.3">
      <c r="A16" s="361" t="s">
        <v>214</v>
      </c>
      <c r="B16" s="339"/>
      <c r="C16" s="150" t="s">
        <v>159</v>
      </c>
      <c r="D16" s="150" t="s">
        <v>160</v>
      </c>
      <c r="E16" s="129"/>
      <c r="F16" s="321" t="s">
        <v>216</v>
      </c>
      <c r="G16" s="339"/>
      <c r="H16" s="150" t="s">
        <v>159</v>
      </c>
      <c r="I16" s="150" t="s">
        <v>160</v>
      </c>
      <c r="M16" s="296"/>
      <c r="N16" s="296"/>
    </row>
    <row r="17" spans="1:14" ht="15" customHeight="1" x14ac:dyDescent="0.25">
      <c r="A17" s="362"/>
      <c r="B17" s="340"/>
      <c r="C17" s="355">
        <f>1*A5</f>
        <v>0</v>
      </c>
      <c r="D17" s="355">
        <f>(D5-110)/10</f>
        <v>-11</v>
      </c>
      <c r="F17" s="322"/>
      <c r="G17" s="340"/>
      <c r="H17" s="355">
        <f>2*A5</f>
        <v>0</v>
      </c>
      <c r="I17" s="355">
        <f>(D6-4)/10</f>
        <v>-0.4</v>
      </c>
      <c r="M17" s="296"/>
      <c r="N17" s="296"/>
    </row>
    <row r="18" spans="1:14" ht="15" customHeight="1" x14ac:dyDescent="0.25">
      <c r="A18" s="362"/>
      <c r="B18" s="340"/>
      <c r="C18" s="356"/>
      <c r="D18" s="356"/>
      <c r="F18" s="322"/>
      <c r="G18" s="340"/>
      <c r="H18" s="356"/>
      <c r="I18" s="356"/>
      <c r="M18" s="296"/>
      <c r="N18" s="296"/>
    </row>
    <row r="19" spans="1:14" ht="15" customHeight="1" x14ac:dyDescent="0.25">
      <c r="A19" s="362"/>
      <c r="B19" s="340"/>
      <c r="C19" s="356"/>
      <c r="D19" s="356"/>
      <c r="F19" s="322"/>
      <c r="G19" s="340"/>
      <c r="H19" s="356"/>
      <c r="I19" s="356"/>
      <c r="M19" s="296"/>
      <c r="N19" s="296"/>
    </row>
    <row r="20" spans="1:14" ht="15.75" thickBot="1" x14ac:dyDescent="0.3">
      <c r="A20" s="362"/>
      <c r="B20" s="340"/>
      <c r="C20" s="356"/>
      <c r="D20" s="356"/>
      <c r="F20" s="322"/>
      <c r="G20" s="340"/>
      <c r="H20" s="356"/>
      <c r="I20" s="356"/>
      <c r="M20" s="296"/>
      <c r="N20" s="296"/>
    </row>
    <row r="21" spans="1:14" ht="15.75" thickBot="1" x14ac:dyDescent="0.3">
      <c r="A21" s="361" t="s">
        <v>215</v>
      </c>
      <c r="B21" s="339"/>
      <c r="C21" s="150" t="s">
        <v>159</v>
      </c>
      <c r="D21" s="150" t="s">
        <v>160</v>
      </c>
      <c r="F21" s="325">
        <v>11574</v>
      </c>
      <c r="G21" s="341"/>
      <c r="H21" s="150" t="s">
        <v>159</v>
      </c>
      <c r="I21" s="150" t="s">
        <v>160</v>
      </c>
      <c r="M21" s="296"/>
      <c r="N21" s="296"/>
    </row>
    <row r="22" spans="1:14" ht="15.75" customHeight="1" x14ac:dyDescent="0.25">
      <c r="A22" s="362"/>
      <c r="B22" s="340"/>
      <c r="C22" s="355">
        <f>1*A5</f>
        <v>0</v>
      </c>
      <c r="D22" s="355">
        <f>(D5-142)/10</f>
        <v>-14.2</v>
      </c>
      <c r="F22" s="326"/>
      <c r="G22" s="342"/>
      <c r="H22" s="377">
        <f>1*$A$5</f>
        <v>0</v>
      </c>
      <c r="I22" s="216" t="s">
        <v>225</v>
      </c>
      <c r="M22" s="296"/>
      <c r="N22" s="296"/>
    </row>
    <row r="23" spans="1:14" ht="15.75" customHeight="1" x14ac:dyDescent="0.25">
      <c r="A23" s="362"/>
      <c r="B23" s="340"/>
      <c r="C23" s="356"/>
      <c r="D23" s="356"/>
      <c r="F23" s="326"/>
      <c r="G23" s="342"/>
      <c r="H23" s="377"/>
      <c r="I23" s="216">
        <f>(D10-35)/10</f>
        <v>-11.5</v>
      </c>
      <c r="M23" s="296"/>
      <c r="N23" s="296"/>
    </row>
    <row r="24" spans="1:14" ht="15.75" customHeight="1" x14ac:dyDescent="0.25">
      <c r="A24" s="362"/>
      <c r="B24" s="340"/>
      <c r="C24" s="356"/>
      <c r="D24" s="356"/>
      <c r="F24" s="326"/>
      <c r="G24" s="342"/>
      <c r="H24" s="375">
        <f t="shared" ref="H24" si="0">1*$A$5</f>
        <v>0</v>
      </c>
      <c r="I24" s="217" t="s">
        <v>226</v>
      </c>
      <c r="M24" s="296"/>
      <c r="N24" s="296"/>
    </row>
    <row r="25" spans="1:14" ht="15.75" customHeight="1" x14ac:dyDescent="0.25">
      <c r="A25" s="362"/>
      <c r="B25" s="340"/>
      <c r="C25" s="356"/>
      <c r="D25" s="356"/>
      <c r="F25" s="326"/>
      <c r="G25" s="342"/>
      <c r="H25" s="376"/>
      <c r="I25" s="217">
        <f>(E10-35)/10</f>
        <v>-9.9</v>
      </c>
      <c r="M25" s="296"/>
      <c r="N25" s="296"/>
    </row>
    <row r="26" spans="1:14" ht="15.75" customHeight="1" x14ac:dyDescent="0.25">
      <c r="A26" s="362"/>
      <c r="B26" s="340"/>
      <c r="C26" s="356"/>
      <c r="D26" s="356"/>
      <c r="F26" s="326"/>
      <c r="G26" s="342"/>
      <c r="H26" s="378">
        <f t="shared" ref="H26" si="1">1*$A$5</f>
        <v>0</v>
      </c>
      <c r="I26" s="218" t="s">
        <v>227</v>
      </c>
      <c r="M26" s="296"/>
      <c r="N26" s="296"/>
    </row>
    <row r="27" spans="1:14" ht="15.75" customHeight="1" thickBot="1" x14ac:dyDescent="0.3">
      <c r="A27" s="362"/>
      <c r="B27" s="340"/>
      <c r="C27" s="356"/>
      <c r="D27" s="356"/>
      <c r="F27" s="326"/>
      <c r="G27" s="342"/>
      <c r="H27" s="379"/>
      <c r="I27" s="218">
        <f>(F10-36)/10</f>
        <v>-6.7</v>
      </c>
      <c r="M27" s="296"/>
      <c r="N27" s="296"/>
    </row>
    <row r="28" spans="1:14" ht="15.75" customHeight="1" thickBot="1" x14ac:dyDescent="0.3">
      <c r="A28" s="361" t="s">
        <v>213</v>
      </c>
      <c r="B28" s="339"/>
      <c r="C28" s="150" t="s">
        <v>159</v>
      </c>
      <c r="D28" s="150" t="s">
        <v>160</v>
      </c>
      <c r="F28" s="326"/>
      <c r="G28" s="342"/>
      <c r="H28" s="380">
        <f t="shared" ref="H28" si="2">1*$A$5</f>
        <v>0</v>
      </c>
      <c r="I28" s="219" t="s">
        <v>230</v>
      </c>
      <c r="M28" s="296"/>
      <c r="N28" s="296"/>
    </row>
    <row r="29" spans="1:14" ht="15.75" customHeight="1" thickBot="1" x14ac:dyDescent="0.3">
      <c r="A29" s="362"/>
      <c r="B29" s="340"/>
      <c r="C29" s="365">
        <f>3*A5</f>
        <v>0</v>
      </c>
      <c r="D29" s="368">
        <f>(D6-122)/10</f>
        <v>-12.2</v>
      </c>
      <c r="F29" s="326"/>
      <c r="G29" s="342"/>
      <c r="H29" s="381"/>
      <c r="I29" s="219">
        <f>(G10-35)/10</f>
        <v>-11.2</v>
      </c>
      <c r="M29" s="296"/>
      <c r="N29" s="296"/>
    </row>
    <row r="30" spans="1:14" ht="15.75" customHeight="1" x14ac:dyDescent="0.25">
      <c r="A30" s="362"/>
      <c r="B30" s="340"/>
      <c r="C30" s="366"/>
      <c r="D30" s="369"/>
      <c r="F30" s="329" t="s">
        <v>220</v>
      </c>
      <c r="G30" s="332"/>
      <c r="H30" s="188" t="s">
        <v>159</v>
      </c>
      <c r="I30" s="188" t="s">
        <v>160</v>
      </c>
      <c r="M30" s="296"/>
      <c r="N30" s="296"/>
    </row>
    <row r="31" spans="1:14" ht="15.75" customHeight="1" x14ac:dyDescent="0.25">
      <c r="A31" s="362"/>
      <c r="B31" s="340"/>
      <c r="C31" s="366"/>
      <c r="D31" s="369"/>
      <c r="F31" s="330"/>
      <c r="G31" s="333"/>
      <c r="H31" s="377">
        <f>$A$5</f>
        <v>0</v>
      </c>
      <c r="I31" s="216" t="s">
        <v>225</v>
      </c>
      <c r="M31" s="296"/>
      <c r="N31" s="296"/>
    </row>
    <row r="32" spans="1:14" ht="15.75" customHeight="1" x14ac:dyDescent="0.25">
      <c r="A32" s="362"/>
      <c r="B32" s="340"/>
      <c r="C32" s="366"/>
      <c r="D32" s="369"/>
      <c r="F32" s="330"/>
      <c r="G32" s="333"/>
      <c r="H32" s="377"/>
      <c r="I32" s="216">
        <f>I23</f>
        <v>-11.5</v>
      </c>
      <c r="M32" s="296"/>
      <c r="N32" s="296"/>
    </row>
    <row r="33" spans="1:14" ht="15.75" customHeight="1" x14ac:dyDescent="0.25">
      <c r="A33" s="362"/>
      <c r="B33" s="340"/>
      <c r="C33" s="366"/>
      <c r="D33" s="369"/>
      <c r="F33" s="330"/>
      <c r="G33" s="333"/>
      <c r="H33" s="375">
        <f t="shared" ref="H33" si="3">$A$5</f>
        <v>0</v>
      </c>
      <c r="I33" s="217" t="s">
        <v>226</v>
      </c>
      <c r="M33" s="296"/>
      <c r="N33" s="296"/>
    </row>
    <row r="34" spans="1:14" ht="15.75" customHeight="1" x14ac:dyDescent="0.25">
      <c r="A34" s="362"/>
      <c r="B34" s="340"/>
      <c r="C34" s="366"/>
      <c r="D34" s="369"/>
      <c r="F34" s="330"/>
      <c r="G34" s="333"/>
      <c r="H34" s="376"/>
      <c r="I34" s="217">
        <f>I25</f>
        <v>-9.9</v>
      </c>
      <c r="M34" s="296"/>
      <c r="N34" s="296"/>
    </row>
    <row r="35" spans="1:14" ht="15" customHeight="1" thickBot="1" x14ac:dyDescent="0.3">
      <c r="A35" s="363"/>
      <c r="B35" s="364"/>
      <c r="C35" s="367"/>
      <c r="D35" s="370"/>
      <c r="F35" s="330"/>
      <c r="G35" s="333"/>
      <c r="H35" s="378">
        <f t="shared" ref="H35" si="4">$A$5</f>
        <v>0</v>
      </c>
      <c r="I35" s="218" t="s">
        <v>227</v>
      </c>
      <c r="M35" s="296"/>
      <c r="N35" s="296"/>
    </row>
    <row r="36" spans="1:14" ht="15.75" customHeight="1" x14ac:dyDescent="0.25">
      <c r="A36" s="371">
        <v>11646</v>
      </c>
      <c r="B36" s="339"/>
      <c r="C36" s="150" t="s">
        <v>159</v>
      </c>
      <c r="D36" s="150" t="s">
        <v>160</v>
      </c>
      <c r="F36" s="330"/>
      <c r="G36" s="333"/>
      <c r="H36" s="379"/>
      <c r="I36" s="218">
        <f>I27</f>
        <v>-6.7</v>
      </c>
      <c r="M36" s="296"/>
      <c r="N36" s="296"/>
    </row>
    <row r="37" spans="1:14" ht="15.75" customHeight="1" x14ac:dyDescent="0.25">
      <c r="A37" s="372"/>
      <c r="B37" s="340"/>
      <c r="C37" s="356">
        <f>4*A5</f>
        <v>0</v>
      </c>
      <c r="D37" s="356">
        <f>(D6-124)/10</f>
        <v>-12.4</v>
      </c>
      <c r="F37" s="330"/>
      <c r="G37" s="333"/>
      <c r="H37" s="380">
        <f t="shared" ref="H37" si="5">$A$5</f>
        <v>0</v>
      </c>
      <c r="I37" s="219" t="s">
        <v>230</v>
      </c>
      <c r="M37" s="296"/>
      <c r="N37" s="296"/>
    </row>
    <row r="38" spans="1:14" ht="15.75" customHeight="1" thickBot="1" x14ac:dyDescent="0.3">
      <c r="A38" s="372"/>
      <c r="B38" s="340"/>
      <c r="C38" s="356"/>
      <c r="D38" s="356"/>
      <c r="F38" s="331"/>
      <c r="G38" s="334"/>
      <c r="H38" s="381"/>
      <c r="I38" s="219">
        <f>I29</f>
        <v>-11.2</v>
      </c>
      <c r="M38" s="296"/>
      <c r="N38" s="296"/>
    </row>
    <row r="39" spans="1:14" ht="15" customHeight="1" thickBot="1" x14ac:dyDescent="0.3">
      <c r="A39" s="372"/>
      <c r="B39" s="340"/>
      <c r="C39" s="356"/>
      <c r="D39" s="356"/>
      <c r="M39" s="296"/>
      <c r="N39" s="296"/>
    </row>
    <row r="40" spans="1:14" ht="15.75" customHeight="1" thickBot="1" x14ac:dyDescent="0.3">
      <c r="A40" s="373"/>
      <c r="B40" s="364"/>
      <c r="C40" s="374"/>
      <c r="D40" s="374"/>
      <c r="F40" s="282" t="s">
        <v>161</v>
      </c>
      <c r="G40" s="283"/>
      <c r="H40" s="283"/>
      <c r="I40" s="284"/>
    </row>
    <row r="41" spans="1:14" ht="15" customHeight="1" x14ac:dyDescent="0.25">
      <c r="A41" s="371" t="s">
        <v>217</v>
      </c>
      <c r="B41" s="339"/>
      <c r="C41" s="150" t="s">
        <v>159</v>
      </c>
      <c r="D41" s="150" t="s">
        <v>160</v>
      </c>
      <c r="F41" s="285"/>
      <c r="G41" s="286"/>
      <c r="H41" s="286"/>
      <c r="I41" s="287"/>
    </row>
    <row r="42" spans="1:14" ht="15.75" customHeight="1" x14ac:dyDescent="0.25">
      <c r="A42" s="372"/>
      <c r="B42" s="340"/>
      <c r="C42" s="356">
        <f>1*A5</f>
        <v>0</v>
      </c>
      <c r="D42" s="356">
        <f>D29</f>
        <v>-12.2</v>
      </c>
      <c r="F42" s="288">
        <f>VLOOKUP(A1,'ANA SAYFA'!A13:H42,8,0)</f>
        <v>0</v>
      </c>
      <c r="G42" s="289"/>
      <c r="H42" s="289"/>
      <c r="I42" s="290"/>
    </row>
    <row r="43" spans="1:14" ht="15.75" customHeight="1" x14ac:dyDescent="0.25">
      <c r="A43" s="372"/>
      <c r="B43" s="340"/>
      <c r="C43" s="356"/>
      <c r="D43" s="356"/>
      <c r="F43" s="288"/>
      <c r="G43" s="289"/>
      <c r="H43" s="289"/>
      <c r="I43" s="290"/>
    </row>
    <row r="44" spans="1:14" ht="15.75" customHeight="1" thickBot="1" x14ac:dyDescent="0.3">
      <c r="A44" s="372"/>
      <c r="B44" s="340"/>
      <c r="C44" s="356"/>
      <c r="D44" s="356"/>
      <c r="F44" s="291"/>
      <c r="G44" s="292"/>
      <c r="H44" s="292"/>
      <c r="I44" s="293"/>
    </row>
    <row r="45" spans="1:14" ht="15.75" customHeight="1" thickBot="1" x14ac:dyDescent="0.3">
      <c r="A45" s="373"/>
      <c r="B45" s="364"/>
      <c r="C45" s="374"/>
      <c r="D45" s="374"/>
      <c r="F45" s="161"/>
      <c r="G45" s="161"/>
      <c r="H45" s="161"/>
      <c r="I45" s="161"/>
    </row>
    <row r="46" spans="1:14" ht="15.75" customHeight="1" x14ac:dyDescent="0.25">
      <c r="A46" s="371">
        <v>12061</v>
      </c>
      <c r="B46" s="339"/>
      <c r="C46" s="150" t="s">
        <v>159</v>
      </c>
      <c r="D46" s="150" t="s">
        <v>160</v>
      </c>
      <c r="F46" s="386">
        <v>12069</v>
      </c>
      <c r="G46" s="339"/>
      <c r="H46" s="150" t="s">
        <v>159</v>
      </c>
      <c r="I46" s="150" t="s">
        <v>160</v>
      </c>
    </row>
    <row r="47" spans="1:14" ht="15.75" customHeight="1" x14ac:dyDescent="0.25">
      <c r="A47" s="372"/>
      <c r="B47" s="340"/>
      <c r="C47" s="356">
        <f>2*A5</f>
        <v>0</v>
      </c>
      <c r="D47" s="356">
        <f>$I$17</f>
        <v>-0.4</v>
      </c>
      <c r="F47" s="387"/>
      <c r="G47" s="340"/>
      <c r="H47" s="382">
        <f>2*A5</f>
        <v>0</v>
      </c>
      <c r="I47" s="384">
        <f>D47-6.8</f>
        <v>-7.2</v>
      </c>
    </row>
    <row r="48" spans="1:14" x14ac:dyDescent="0.25">
      <c r="A48" s="372"/>
      <c r="B48" s="340"/>
      <c r="C48" s="356"/>
      <c r="D48" s="356"/>
      <c r="F48" s="387"/>
      <c r="G48" s="340"/>
      <c r="H48" s="382"/>
      <c r="I48" s="384"/>
    </row>
    <row r="49" spans="1:9" x14ac:dyDescent="0.25">
      <c r="A49" s="372"/>
      <c r="B49" s="340"/>
      <c r="C49" s="356"/>
      <c r="D49" s="356"/>
      <c r="F49" s="387"/>
      <c r="G49" s="340"/>
      <c r="H49" s="382"/>
      <c r="I49" s="384"/>
    </row>
    <row r="50" spans="1:9" ht="15.75" thickBot="1" x14ac:dyDescent="0.3">
      <c r="A50" s="373"/>
      <c r="B50" s="364"/>
      <c r="C50" s="374"/>
      <c r="D50" s="374"/>
      <c r="F50" s="388"/>
      <c r="G50" s="364"/>
      <c r="H50" s="383"/>
      <c r="I50" s="385"/>
    </row>
    <row r="51" spans="1:9" x14ac:dyDescent="0.25">
      <c r="A51" s="357" t="s">
        <v>299</v>
      </c>
      <c r="B51" s="358"/>
      <c r="C51" s="153" t="s">
        <v>159</v>
      </c>
      <c r="D51" s="153" t="s">
        <v>160</v>
      </c>
    </row>
    <row r="52" spans="1:9" ht="15" customHeight="1" x14ac:dyDescent="0.25">
      <c r="A52" s="357"/>
      <c r="B52" s="358"/>
      <c r="C52" s="359">
        <f>IF(A56="ALT EŞİK PROFİLİ YOK",0,A5)</f>
        <v>0</v>
      </c>
      <c r="D52" s="360">
        <f>(D5-15)/10</f>
        <v>-1.5</v>
      </c>
    </row>
    <row r="53" spans="1:9" ht="15" customHeight="1" x14ac:dyDescent="0.25">
      <c r="A53" s="357"/>
      <c r="B53" s="358"/>
      <c r="C53" s="360"/>
      <c r="D53" s="360"/>
    </row>
    <row r="54" spans="1:9" ht="15" customHeight="1" x14ac:dyDescent="0.25">
      <c r="A54" s="357"/>
      <c r="B54" s="358"/>
      <c r="C54" s="360"/>
      <c r="D54" s="360"/>
    </row>
    <row r="56" spans="1:9" x14ac:dyDescent="0.25">
      <c r="A56" s="235" t="str">
        <f>CONCATENATE("ALT EŞİK PROFİLİ ",VLOOKUP(A1,'Veri Sayfası - 1'!A14:I42,9,0))</f>
        <v>ALT EŞİK PROFİLİ YOK</v>
      </c>
      <c r="B56" s="235"/>
      <c r="C56" s="235"/>
      <c r="D56" s="235"/>
    </row>
    <row r="57" spans="1:9" x14ac:dyDescent="0.25">
      <c r="A57" s="235"/>
      <c r="B57" s="235"/>
      <c r="C57" s="235"/>
      <c r="D57" s="235"/>
    </row>
    <row r="58" spans="1:9" x14ac:dyDescent="0.25">
      <c r="A58" s="235"/>
      <c r="B58" s="235"/>
      <c r="C58" s="235"/>
      <c r="D58" s="235"/>
    </row>
  </sheetData>
  <mergeCells count="69">
    <mergeCell ref="G46:G50"/>
    <mergeCell ref="H47:H50"/>
    <mergeCell ref="I47:I50"/>
    <mergeCell ref="A46:A50"/>
    <mergeCell ref="B46:B50"/>
    <mergeCell ref="C47:C50"/>
    <mergeCell ref="D47:D50"/>
    <mergeCell ref="F46:F50"/>
    <mergeCell ref="H24:H25"/>
    <mergeCell ref="H31:H32"/>
    <mergeCell ref="H33:H34"/>
    <mergeCell ref="M5:M10"/>
    <mergeCell ref="G30:G38"/>
    <mergeCell ref="H35:H36"/>
    <mergeCell ref="I17:I20"/>
    <mergeCell ref="H22:H23"/>
    <mergeCell ref="H26:H27"/>
    <mergeCell ref="L9:L10"/>
    <mergeCell ref="M11:N39"/>
    <mergeCell ref="H17:H20"/>
    <mergeCell ref="N5:N9"/>
    <mergeCell ref="H28:H29"/>
    <mergeCell ref="H37:H38"/>
    <mergeCell ref="A41:A45"/>
    <mergeCell ref="B41:B45"/>
    <mergeCell ref="C42:C45"/>
    <mergeCell ref="D42:D45"/>
    <mergeCell ref="F42:I44"/>
    <mergeCell ref="A21:A27"/>
    <mergeCell ref="B21:B27"/>
    <mergeCell ref="F21:F29"/>
    <mergeCell ref="G21:G29"/>
    <mergeCell ref="C22:C27"/>
    <mergeCell ref="D22:D27"/>
    <mergeCell ref="A28:A35"/>
    <mergeCell ref="B28:B35"/>
    <mergeCell ref="C29:C35"/>
    <mergeCell ref="D29:D35"/>
    <mergeCell ref="F30:F38"/>
    <mergeCell ref="A36:A40"/>
    <mergeCell ref="B36:B40"/>
    <mergeCell ref="C37:C40"/>
    <mergeCell ref="D37:D40"/>
    <mergeCell ref="F40:I41"/>
    <mergeCell ref="A16:A20"/>
    <mergeCell ref="B16:B20"/>
    <mergeCell ref="F16:F20"/>
    <mergeCell ref="G16:G20"/>
    <mergeCell ref="C17:C20"/>
    <mergeCell ref="D17:D20"/>
    <mergeCell ref="A5:B6"/>
    <mergeCell ref="D5:E5"/>
    <mergeCell ref="F5:F6"/>
    <mergeCell ref="H5:I5"/>
    <mergeCell ref="D6:E6"/>
    <mergeCell ref="H6:I7"/>
    <mergeCell ref="N2:N4"/>
    <mergeCell ref="H3:I4"/>
    <mergeCell ref="A4:B4"/>
    <mergeCell ref="A1:B3"/>
    <mergeCell ref="C1:F1"/>
    <mergeCell ref="H1:I2"/>
    <mergeCell ref="C2:F2"/>
    <mergeCell ref="M2:M4"/>
    <mergeCell ref="A51:A54"/>
    <mergeCell ref="B51:B54"/>
    <mergeCell ref="C52:C54"/>
    <mergeCell ref="D52:D54"/>
    <mergeCell ref="A56:D5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55"/>
  <sheetViews>
    <sheetView view="pageBreakPreview" topLeftCell="A5" zoomScale="25" zoomScaleNormal="55" zoomScaleSheetLayoutView="25" workbookViewId="0">
      <selection activeCell="N16" sqref="N16"/>
    </sheetView>
  </sheetViews>
  <sheetFormatPr defaultColWidth="9.140625" defaultRowHeight="26.25" x14ac:dyDescent="0.2"/>
  <cols>
    <col min="1" max="1" width="10.7109375" style="20" customWidth="1"/>
    <col min="2" max="2" width="40.7109375" style="57" customWidth="1"/>
    <col min="3" max="3" width="115.7109375" style="48" customWidth="1"/>
    <col min="4" max="4" width="30.7109375" style="20" customWidth="1"/>
    <col min="5" max="6" width="35.7109375" style="20" customWidth="1"/>
    <col min="7" max="7" width="60.7109375" style="20" customWidth="1"/>
    <col min="8" max="8" width="36" style="20" bestFit="1" customWidth="1"/>
    <col min="9" max="16384" width="9.140625" style="20"/>
  </cols>
  <sheetData>
    <row r="1" spans="1:8" ht="50.1" customHeight="1" x14ac:dyDescent="0.65">
      <c r="A1" s="14"/>
      <c r="B1" s="15" t="s">
        <v>37</v>
      </c>
      <c r="C1" s="16"/>
      <c r="D1" s="17"/>
      <c r="E1" s="15" t="s">
        <v>38</v>
      </c>
      <c r="F1" s="18"/>
      <c r="G1" s="19"/>
    </row>
    <row r="2" spans="1:8" ht="50.1" customHeight="1" x14ac:dyDescent="0.65">
      <c r="A2" s="14"/>
      <c r="B2" s="15" t="s">
        <v>39</v>
      </c>
      <c r="C2" s="16"/>
      <c r="D2" s="17"/>
      <c r="E2" s="15" t="s">
        <v>40</v>
      </c>
      <c r="F2" s="165"/>
      <c r="G2" s="165"/>
    </row>
    <row r="3" spans="1:8" ht="50.1" customHeight="1" x14ac:dyDescent="0.65">
      <c r="A3" s="14"/>
      <c r="B3" s="21"/>
      <c r="C3" s="22"/>
      <c r="D3" s="17"/>
      <c r="E3" s="15" t="s">
        <v>41</v>
      </c>
      <c r="F3" s="165"/>
      <c r="G3" s="165"/>
    </row>
    <row r="4" spans="1:8" x14ac:dyDescent="0.2">
      <c r="A4" s="14"/>
      <c r="B4" s="23"/>
      <c r="C4" s="24"/>
      <c r="D4" s="14"/>
      <c r="E4" s="14"/>
      <c r="F4" s="14"/>
      <c r="G4" s="14"/>
    </row>
    <row r="5" spans="1:8" s="25" customFormat="1" ht="78.75" customHeight="1" x14ac:dyDescent="0.5"/>
    <row r="6" spans="1:8" s="25" customFormat="1" ht="31.5" customHeight="1" x14ac:dyDescent="0.5">
      <c r="A6" s="26"/>
      <c r="B6" s="396" t="s">
        <v>63</v>
      </c>
      <c r="C6" s="397"/>
      <c r="F6" s="398" t="s">
        <v>7</v>
      </c>
      <c r="G6" s="399">
        <f ca="1">TODAY()</f>
        <v>46077</v>
      </c>
      <c r="H6" s="400"/>
    </row>
    <row r="7" spans="1:8" s="25" customFormat="1" ht="65.099999999999994" customHeight="1" x14ac:dyDescent="0.5">
      <c r="A7" s="27"/>
      <c r="B7" s="28" t="s">
        <v>5</v>
      </c>
      <c r="C7" s="29">
        <f>'Veri Sayfası - 1'!C8</f>
        <v>0</v>
      </c>
      <c r="D7" s="30"/>
      <c r="F7" s="398"/>
      <c r="G7" s="399"/>
      <c r="H7" s="400"/>
    </row>
    <row r="8" spans="1:8" s="25" customFormat="1" ht="65.099999999999994" customHeight="1" x14ac:dyDescent="0.5">
      <c r="A8" s="27"/>
      <c r="B8" s="28" t="s">
        <v>42</v>
      </c>
      <c r="C8" s="29">
        <f>'Veri Sayfası - 1'!C9</f>
        <v>0</v>
      </c>
      <c r="F8" s="31" t="s">
        <v>8</v>
      </c>
      <c r="G8" s="102">
        <f>'Veri Sayfası - 1'!C11</f>
        <v>0</v>
      </c>
      <c r="H8" s="32"/>
    </row>
    <row r="9" spans="1:8" s="25" customFormat="1" ht="65.099999999999994" customHeight="1" x14ac:dyDescent="0.5">
      <c r="A9" s="27"/>
      <c r="B9" s="28" t="s">
        <v>6</v>
      </c>
      <c r="C9" s="29">
        <f>'Veri Sayfası - 1'!G44</f>
        <v>1</v>
      </c>
      <c r="F9" s="31" t="s">
        <v>9</v>
      </c>
      <c r="G9" s="31"/>
      <c r="H9" s="32"/>
    </row>
    <row r="10" spans="1:8" s="25" customFormat="1" ht="65.099999999999994" customHeight="1" x14ac:dyDescent="0.5">
      <c r="A10" s="27"/>
      <c r="B10" s="28" t="s">
        <v>43</v>
      </c>
      <c r="C10" s="33"/>
      <c r="F10" s="31" t="s">
        <v>10</v>
      </c>
      <c r="G10" s="34"/>
      <c r="H10" s="32"/>
    </row>
    <row r="11" spans="1:8" s="25" customFormat="1" ht="40.5" customHeight="1" x14ac:dyDescent="0.5">
      <c r="A11" s="27"/>
      <c r="B11" s="35"/>
      <c r="C11" s="35"/>
      <c r="D11" s="36"/>
      <c r="E11" s="36"/>
    </row>
    <row r="12" spans="1:8" ht="30" customHeight="1" x14ac:dyDescent="0.2">
      <c r="A12" s="389" t="s">
        <v>44</v>
      </c>
      <c r="B12" s="391" t="s">
        <v>3</v>
      </c>
      <c r="C12" s="391" t="s">
        <v>0</v>
      </c>
      <c r="D12" s="391" t="s">
        <v>1</v>
      </c>
      <c r="E12" s="391" t="s">
        <v>4</v>
      </c>
      <c r="F12" s="391" t="s">
        <v>2</v>
      </c>
      <c r="G12" s="401" t="s">
        <v>45</v>
      </c>
    </row>
    <row r="13" spans="1:8" ht="30" customHeight="1" x14ac:dyDescent="0.2">
      <c r="A13" s="390"/>
      <c r="B13" s="392"/>
      <c r="C13" s="392"/>
      <c r="D13" s="392"/>
      <c r="E13" s="392"/>
      <c r="F13" s="392"/>
      <c r="G13" s="401"/>
    </row>
    <row r="14" spans="1:8" ht="50.1" customHeight="1" x14ac:dyDescent="0.2">
      <c r="A14" s="37">
        <v>1</v>
      </c>
      <c r="B14" s="38" t="s">
        <v>264</v>
      </c>
      <c r="C14" s="39" t="str">
        <f>VLOOKUP(B14,'Sürme Malzeme Listesi'!A2:E34,3,FALSE)</f>
        <v>SÜRME MERKEZLEME</v>
      </c>
      <c r="D14" s="39" t="str">
        <f>VLOOKUP(B14,'Sürme Malzeme Listesi'!A2:E34,4,FALSE)</f>
        <v>AD</v>
      </c>
      <c r="E14" s="100">
        <f>VLOOKUP(B14,'TASLAK MALİYET'!B:E,4,0)</f>
        <v>6</v>
      </c>
      <c r="F14" s="166"/>
      <c r="G14" s="167">
        <f>E14*F14</f>
        <v>0</v>
      </c>
    </row>
    <row r="15" spans="1:8" ht="50.1" customHeight="1" x14ac:dyDescent="0.2">
      <c r="A15" s="37">
        <v>2</v>
      </c>
      <c r="B15" s="38" t="s">
        <v>265</v>
      </c>
      <c r="C15" s="39" t="str">
        <f>VLOOKUP(B15,'Sürme Malzeme Listesi'!A3:E35,3,FALSE)</f>
        <v xml:space="preserve">SÜRME TEKERİ ÇİFTLİ </v>
      </c>
      <c r="D15" s="39" t="str">
        <f>VLOOKUP(B15,'Sürme Malzeme Listesi'!A3:E35,4,FALSE)</f>
        <v>AD</v>
      </c>
      <c r="E15" s="100">
        <f>VLOOKUP(B15,'TASLAK MALİYET'!B:E,4,0)</f>
        <v>6</v>
      </c>
      <c r="F15" s="166"/>
      <c r="G15" s="167">
        <f t="shared" ref="G15:G46" si="0">E15*F15</f>
        <v>0</v>
      </c>
    </row>
    <row r="16" spans="1:8" ht="50.1" customHeight="1" x14ac:dyDescent="0.2">
      <c r="A16" s="37">
        <v>3</v>
      </c>
      <c r="B16" s="38" t="s">
        <v>266</v>
      </c>
      <c r="C16" s="39" t="str">
        <f>VLOOKUP(B16,'Sürme Malzeme Listesi'!A4:E36,3,FALSE)</f>
        <v>SÜRME DİKME ALT KAPAK PLASTİK</v>
      </c>
      <c r="D16" s="39" t="str">
        <f>VLOOKUP(B16,'Sürme Malzeme Listesi'!A4:E36,4,FALSE)</f>
        <v>AD</v>
      </c>
      <c r="E16" s="100">
        <f>VLOOKUP(B16,'TASLAK MALİYET'!B:E,4,0)</f>
        <v>2</v>
      </c>
      <c r="F16" s="166"/>
      <c r="G16" s="167">
        <f t="shared" si="0"/>
        <v>0</v>
      </c>
    </row>
    <row r="17" spans="1:7" ht="50.1" customHeight="1" x14ac:dyDescent="0.2">
      <c r="A17" s="37">
        <v>4</v>
      </c>
      <c r="B17" s="38" t="s">
        <v>267</v>
      </c>
      <c r="C17" s="39" t="str">
        <f>VLOOKUP(B17,'Sürme Malzeme Listesi'!A5:E37,3,FALSE)</f>
        <v>ISI CAM SÜRME SU TAHLİYE PLASTİK</v>
      </c>
      <c r="D17" s="39" t="str">
        <f>VLOOKUP(B17,'Sürme Malzeme Listesi'!A5:E37,4,FALSE)</f>
        <v>AD</v>
      </c>
      <c r="E17" s="100">
        <f>VLOOKUP(B17,'TASLAK MALİYET'!B:E,4,0)</f>
        <v>0</v>
      </c>
      <c r="F17" s="166"/>
      <c r="G17" s="167">
        <f t="shared" si="0"/>
        <v>0</v>
      </c>
    </row>
    <row r="18" spans="1:7" ht="50.1" customHeight="1" x14ac:dyDescent="0.2">
      <c r="A18" s="37">
        <v>5</v>
      </c>
      <c r="B18" s="38" t="s">
        <v>268</v>
      </c>
      <c r="C18" s="39" t="str">
        <f>VLOOKUP(B18,'Sürme Malzeme Listesi'!A6:E38,3,FALSE)</f>
        <v>ISI CAM SÜRME ALT ORTA PLASTİK</v>
      </c>
      <c r="D18" s="39" t="str">
        <f>VLOOKUP(B18,'Sürme Malzeme Listesi'!A6:E38,4,FALSE)</f>
        <v>AD</v>
      </c>
      <c r="E18" s="100">
        <f>VLOOKUP(B18,'TASLAK MALİYET'!B:E,4,0)</f>
        <v>0</v>
      </c>
      <c r="F18" s="166"/>
      <c r="G18" s="167">
        <f t="shared" si="0"/>
        <v>0</v>
      </c>
    </row>
    <row r="19" spans="1:7" ht="50.1" customHeight="1" x14ac:dyDescent="0.2">
      <c r="A19" s="37">
        <v>6</v>
      </c>
      <c r="B19" s="38" t="s">
        <v>269</v>
      </c>
      <c r="C19" s="39" t="str">
        <f>VLOOKUP(B19,'Sürme Malzeme Listesi'!A7:E39,3,FALSE)</f>
        <v>ISI CAM SÜRME ÜST ORTA PLASTİK</v>
      </c>
      <c r="D19" s="39" t="str">
        <f>VLOOKUP(B19,'Sürme Malzeme Listesi'!A7:E39,4,FALSE)</f>
        <v>AD</v>
      </c>
      <c r="E19" s="100">
        <f>VLOOKUP(B19,'TASLAK MALİYET'!B:E,4,0)</f>
        <v>0</v>
      </c>
      <c r="F19" s="166"/>
      <c r="G19" s="167">
        <f t="shared" si="0"/>
        <v>0</v>
      </c>
    </row>
    <row r="20" spans="1:7" ht="50.1" customHeight="1" x14ac:dyDescent="0.2">
      <c r="A20" s="37">
        <v>7</v>
      </c>
      <c r="B20" s="38" t="s">
        <v>270</v>
      </c>
      <c r="C20" s="39" t="str">
        <f>VLOOKUP(B20,'Sürme Malzeme Listesi'!A8:E40,3,FALSE)</f>
        <v>ISI CAM SÜRME ALT KULP PLASTİK</v>
      </c>
      <c r="D20" s="39" t="str">
        <f>VLOOKUP(B20,'Sürme Malzeme Listesi'!A8:E40,4,FALSE)</f>
        <v>AD</v>
      </c>
      <c r="E20" s="100">
        <f>VLOOKUP(B20,'TASLAK MALİYET'!B:E,4,0)</f>
        <v>0</v>
      </c>
      <c r="F20" s="166"/>
      <c r="G20" s="167">
        <f t="shared" si="0"/>
        <v>0</v>
      </c>
    </row>
    <row r="21" spans="1:7" ht="50.1" customHeight="1" x14ac:dyDescent="0.2">
      <c r="A21" s="37">
        <v>8</v>
      </c>
      <c r="B21" s="38" t="s">
        <v>271</v>
      </c>
      <c r="C21" s="39" t="str">
        <f>VLOOKUP(B21,'Sürme Malzeme Listesi'!A9:E41,3,FALSE)</f>
        <v>ISI CAM SÜRME ÜST KULP PLASTİK</v>
      </c>
      <c r="D21" s="39" t="str">
        <f>VLOOKUP(B21,'Sürme Malzeme Listesi'!A9:E41,4,FALSE)</f>
        <v>AD</v>
      </c>
      <c r="E21" s="100">
        <f>VLOOKUP(B21,'TASLAK MALİYET'!B:E,4,0)</f>
        <v>0</v>
      </c>
      <c r="F21" s="166"/>
      <c r="G21" s="167">
        <f t="shared" si="0"/>
        <v>0</v>
      </c>
    </row>
    <row r="22" spans="1:7" ht="50.1" customHeight="1" x14ac:dyDescent="0.2">
      <c r="A22" s="37">
        <v>9</v>
      </c>
      <c r="B22" s="38" t="s">
        <v>272</v>
      </c>
      <c r="C22" s="39" t="str">
        <f>VLOOKUP(B22,'Sürme Malzeme Listesi'!A10:E42,3,FALSE)</f>
        <v>ISICAMLI SÜRME METAL KÖŞE</v>
      </c>
      <c r="D22" s="39" t="str">
        <f>VLOOKUP(B22,'Sürme Malzeme Listesi'!A10:E42,4,FALSE)</f>
        <v>AD</v>
      </c>
      <c r="E22" s="100">
        <f>VLOOKUP(B22,'TASLAK MALİYET'!B:E,4,0)</f>
        <v>0</v>
      </c>
      <c r="F22" s="166"/>
      <c r="G22" s="167">
        <f t="shared" si="0"/>
        <v>0</v>
      </c>
    </row>
    <row r="23" spans="1:7" ht="50.1" customHeight="1" x14ac:dyDescent="0.2">
      <c r="A23" s="37">
        <v>10</v>
      </c>
      <c r="B23" s="38" t="s">
        <v>273</v>
      </c>
      <c r="C23" s="39" t="str">
        <f>VLOOKUP(B23,'Sürme Malzeme Listesi'!A11:E43,3,FALSE)</f>
        <v>SÜRME SÜRME RAY 6,50X250</v>
      </c>
      <c r="D23" s="39" t="str">
        <f>VLOOKUP(B23,'Sürme Malzeme Listesi'!A11:E43,4,FALSE)</f>
        <v>MTR</v>
      </c>
      <c r="E23" s="100">
        <f>VLOOKUP(B23,'TASLAK MALİYET'!B:E,4,0)</f>
        <v>0</v>
      </c>
      <c r="F23" s="166"/>
      <c r="G23" s="167">
        <f t="shared" si="0"/>
        <v>0</v>
      </c>
    </row>
    <row r="24" spans="1:7" ht="50.1" customHeight="1" x14ac:dyDescent="0.2">
      <c r="A24" s="37">
        <v>11</v>
      </c>
      <c r="B24" s="38" t="s">
        <v>274</v>
      </c>
      <c r="C24" s="39" t="str">
        <f>VLOOKUP(B24,'Sürme Malzeme Listesi'!A12:E44,3,FALSE)</f>
        <v>Rotoline Secustik Pencere Kolu Titan 40 mm</v>
      </c>
      <c r="D24" s="39" t="str">
        <f>VLOOKUP(B24,'Sürme Malzeme Listesi'!A12:E44,4,FALSE)</f>
        <v>AD</v>
      </c>
      <c r="E24" s="100">
        <f>VLOOKUP(B24,'TASLAK MALİYET'!B:E,4,0)</f>
        <v>0</v>
      </c>
      <c r="F24" s="166"/>
      <c r="G24" s="167">
        <f t="shared" si="0"/>
        <v>0</v>
      </c>
    </row>
    <row r="25" spans="1:7" ht="50.1" customHeight="1" x14ac:dyDescent="0.2">
      <c r="A25" s="37">
        <v>12</v>
      </c>
      <c r="B25" s="38" t="s">
        <v>275</v>
      </c>
      <c r="C25" s="39" t="str">
        <f>VLOOKUP(B25,'Sürme Malzeme Listesi'!A13:E45,3,FALSE)</f>
        <v>Rotoline Kilitli Kol Titan 35 mm</v>
      </c>
      <c r="D25" s="39" t="str">
        <f>VLOOKUP(B25,'Sürme Malzeme Listesi'!A13:E45,4,FALSE)</f>
        <v>AD</v>
      </c>
      <c r="E25" s="100">
        <f>VLOOKUP(B25,'TASLAK MALİYET'!B:E,4,0)</f>
        <v>0</v>
      </c>
      <c r="F25" s="166"/>
      <c r="G25" s="167">
        <f t="shared" si="0"/>
        <v>0</v>
      </c>
    </row>
    <row r="26" spans="1:7" ht="50.1" customHeight="1" x14ac:dyDescent="0.2">
      <c r="A26" s="37">
        <v>13</v>
      </c>
      <c r="B26" s="38" t="s">
        <v>276</v>
      </c>
      <c r="C26" s="39" t="str">
        <f>VLOOKUP(B26,'Sürme Malzeme Listesi'!A14:E46,3,FALSE)</f>
        <v>Gömme Kol Gri</v>
      </c>
      <c r="D26" s="39" t="str">
        <f>VLOOKUP(B26,'Sürme Malzeme Listesi'!A14:E46,4,FALSE)</f>
        <v>AD</v>
      </c>
      <c r="E26" s="100">
        <f>VLOOKUP(B26,'TASLAK MALİYET'!B:E,4,0)</f>
        <v>0</v>
      </c>
      <c r="F26" s="166"/>
      <c r="G26" s="167">
        <f t="shared" si="0"/>
        <v>0</v>
      </c>
    </row>
    <row r="27" spans="1:7" ht="50.1" customHeight="1" x14ac:dyDescent="0.2">
      <c r="A27" s="37">
        <v>14</v>
      </c>
      <c r="B27" s="38" t="s">
        <v>277</v>
      </c>
      <c r="C27" s="39" t="str">
        <f>VLOOKUP(B27,'Sürme Malzeme Listesi'!A15:E47,3,FALSE)</f>
        <v>NT T.A. İspanyolet   800 1P D15</v>
      </c>
      <c r="D27" s="39" t="str">
        <f>VLOOKUP(B27,'Sürme Malzeme Listesi'!A15:E47,4,FALSE)</f>
        <v>AD</v>
      </c>
      <c r="E27" s="100">
        <f>VLOOKUP(B27,'TASLAK MALİYET'!B:E,4,0)</f>
        <v>0</v>
      </c>
      <c r="F27" s="166"/>
      <c r="G27" s="167">
        <f t="shared" si="0"/>
        <v>0</v>
      </c>
    </row>
    <row r="28" spans="1:7" ht="50.1" customHeight="1" x14ac:dyDescent="0.2">
      <c r="A28" s="37">
        <v>15</v>
      </c>
      <c r="B28" s="38" t="s">
        <v>278</v>
      </c>
      <c r="C28" s="39" t="str">
        <f>VLOOKUP(B28,'Sürme Malzeme Listesi'!A16:E48,3,FALSE)</f>
        <v>NT GÖMME KARŞILIĞI</v>
      </c>
      <c r="D28" s="39" t="str">
        <f>VLOOKUP(B28,'Sürme Malzeme Listesi'!A16:E48,4,FALSE)</f>
        <v>AD</v>
      </c>
      <c r="E28" s="100">
        <f>VLOOKUP(B28,'TASLAK MALİYET'!B:E,4,0)</f>
        <v>0</v>
      </c>
      <c r="F28" s="166"/>
      <c r="G28" s="167">
        <f t="shared" si="0"/>
        <v>0</v>
      </c>
    </row>
    <row r="29" spans="1:7" ht="50.1" customHeight="1" x14ac:dyDescent="0.2">
      <c r="A29" s="37">
        <v>16</v>
      </c>
      <c r="B29" s="38" t="s">
        <v>279</v>
      </c>
      <c r="C29" s="39" t="str">
        <f>VLOOKUP(B29,'Sürme Malzeme Listesi'!A17:E49,3,FALSE)</f>
        <v>ISICAMLI SÜRME ORTA BİRLEŞTİRME APARATI</v>
      </c>
      <c r="D29" s="39" t="str">
        <f>VLOOKUP(B29,'Sürme Malzeme Listesi'!A17:E49,4,FALSE)</f>
        <v>AD</v>
      </c>
      <c r="E29" s="100">
        <f>VLOOKUP(B29,'TASLAK MALİYET'!B:E,4,0)</f>
        <v>0</v>
      </c>
      <c r="F29" s="166"/>
      <c r="G29" s="167">
        <f t="shared" si="0"/>
        <v>0</v>
      </c>
    </row>
    <row r="30" spans="1:7" ht="50.1" customHeight="1" x14ac:dyDescent="0.2">
      <c r="A30" s="37">
        <v>17</v>
      </c>
      <c r="B30" s="38" t="s">
        <v>280</v>
      </c>
      <c r="C30" s="39" t="str">
        <f>VLOOKUP(B30,'Sürme Malzeme Listesi'!A18:E50,3,FALSE)</f>
        <v>KIL FİTİL SÜRME PANORAMA 48X450</v>
      </c>
      <c r="D30" s="39" t="str">
        <f>VLOOKUP(B30,'Sürme Malzeme Listesi'!A18:E50,4,FALSE)</f>
        <v>MTR</v>
      </c>
      <c r="E30" s="100">
        <f>VLOOKUP(B30,'TASLAK MALİYET'!B:E,4,0)</f>
        <v>0</v>
      </c>
      <c r="F30" s="166"/>
      <c r="G30" s="167">
        <f t="shared" si="0"/>
        <v>0</v>
      </c>
    </row>
    <row r="31" spans="1:7" ht="50.1" customHeight="1" x14ac:dyDescent="0.2">
      <c r="A31" s="37">
        <v>18</v>
      </c>
      <c r="B31" s="38" t="s">
        <v>263</v>
      </c>
      <c r="C31" s="39" t="str">
        <f>VLOOKUP(B31,'Sürme Malzeme Listesi'!A19:E51,3,FALSE)</f>
        <v>KIL FİTİL SÜRME 67x550</v>
      </c>
      <c r="D31" s="39" t="str">
        <f>VLOOKUP(B31,'Sürme Malzeme Listesi'!A19:E51,4,FALSE)</f>
        <v>MTR</v>
      </c>
      <c r="E31" s="100">
        <f>VLOOKUP(B31,'TASLAK MALİYET'!B:E,4,0)</f>
        <v>0</v>
      </c>
      <c r="F31" s="166"/>
      <c r="G31" s="167">
        <f t="shared" si="0"/>
        <v>0</v>
      </c>
    </row>
    <row r="32" spans="1:7" ht="50.1" customHeight="1" x14ac:dyDescent="0.2">
      <c r="A32" s="37">
        <v>19</v>
      </c>
      <c r="B32" s="38" t="s">
        <v>281</v>
      </c>
      <c r="C32" s="39" t="str">
        <f>VLOOKUP(B32,'Sürme Malzeme Listesi'!A20:E52,3,FALSE)</f>
        <v xml:space="preserve">SÜRME EPDM KAUÇUK FİTİL </v>
      </c>
      <c r="D32" s="39" t="str">
        <f>VLOOKUP(B32,'Sürme Malzeme Listesi'!A20:E52,4,FALSE)</f>
        <v>KG</v>
      </c>
      <c r="E32" s="100">
        <f>VLOOKUP(B32,'TASLAK MALİYET'!B:E,4,0)</f>
        <v>0</v>
      </c>
      <c r="F32" s="166"/>
      <c r="G32" s="167">
        <f t="shared" si="0"/>
        <v>0</v>
      </c>
    </row>
    <row r="33" spans="1:8" ht="50.1" customHeight="1" x14ac:dyDescent="0.2">
      <c r="A33" s="37">
        <v>20</v>
      </c>
      <c r="B33" s="38" t="s">
        <v>282</v>
      </c>
      <c r="C33" s="39" t="str">
        <f>VLOOKUP(B33,'Sürme Malzeme Listesi'!A21:E53,3,FALSE)</f>
        <v>HUUN FİX ALL HİGH TACK ŞEFFAF 290 ML</v>
      </c>
      <c r="D33" s="39" t="str">
        <f>VLOOKUP(B33,'Sürme Malzeme Listesi'!A21:E53,4,FALSE)</f>
        <v>AD</v>
      </c>
      <c r="E33" s="100">
        <f>VLOOKUP(B33,'TASLAK MALİYET'!B:E,4,0)</f>
        <v>3</v>
      </c>
      <c r="F33" s="166"/>
      <c r="G33" s="167">
        <f t="shared" si="0"/>
        <v>0</v>
      </c>
    </row>
    <row r="34" spans="1:8" ht="50.1" customHeight="1" x14ac:dyDescent="0.2">
      <c r="A34" s="37">
        <v>21</v>
      </c>
      <c r="B34" s="38" t="s">
        <v>283</v>
      </c>
      <c r="C34" s="39" t="str">
        <f>VLOOKUP(B34,'Sürme Malzeme Listesi'!A22:E54,3,FALSE)</f>
        <v>TEK CAM SÜRME ALT ARA PLASTİK</v>
      </c>
      <c r="D34" s="39" t="str">
        <f>VLOOKUP(B34,'Sürme Malzeme Listesi'!A22:E54,4,FALSE)</f>
        <v>AD</v>
      </c>
      <c r="E34" s="100">
        <f>VLOOKUP(B34,'TASLAK MALİYET'!B:E,4,0)</f>
        <v>4</v>
      </c>
      <c r="F34" s="166"/>
      <c r="G34" s="167">
        <f t="shared" si="0"/>
        <v>0</v>
      </c>
    </row>
    <row r="35" spans="1:8" ht="50.1" customHeight="1" x14ac:dyDescent="0.2">
      <c r="A35" s="37">
        <v>22</v>
      </c>
      <c r="B35" s="38" t="s">
        <v>284</v>
      </c>
      <c r="C35" s="39" t="str">
        <f>VLOOKUP(B35,'Sürme Malzeme Listesi'!A23:E55,3,FALSE)</f>
        <v>TEK CAM SÜRME ÜST ARA PLASTİK</v>
      </c>
      <c r="D35" s="39" t="str">
        <f>VLOOKUP(B35,'Sürme Malzeme Listesi'!A23:E55,4,FALSE)</f>
        <v>AD</v>
      </c>
      <c r="E35" s="100">
        <f>VLOOKUP(B35,'TASLAK MALİYET'!B:E,4,0)</f>
        <v>4</v>
      </c>
      <c r="F35" s="166"/>
      <c r="G35" s="167">
        <f t="shared" si="0"/>
        <v>0</v>
      </c>
    </row>
    <row r="36" spans="1:8" ht="50.1" customHeight="1" x14ac:dyDescent="0.2">
      <c r="A36" s="37">
        <v>23</v>
      </c>
      <c r="B36" s="38" t="s">
        <v>285</v>
      </c>
      <c r="C36" s="39" t="str">
        <f>VLOOKUP(B36,'Sürme Malzeme Listesi'!A24:E56,3,FALSE)</f>
        <v>TEKCAM ÜST KULP SİYAH</v>
      </c>
      <c r="D36" s="39" t="str">
        <f>VLOOKUP(B36,'Sürme Malzeme Listesi'!A24:E56,4,FALSE)</f>
        <v>AD</v>
      </c>
      <c r="E36" s="100">
        <f>VLOOKUP(B36,'TASLAK MALİYET'!B:E,4,0)</f>
        <v>2</v>
      </c>
      <c r="F36" s="166"/>
      <c r="G36" s="167">
        <f t="shared" si="0"/>
        <v>0</v>
      </c>
    </row>
    <row r="37" spans="1:8" ht="50.1" customHeight="1" x14ac:dyDescent="0.2">
      <c r="A37" s="37">
        <v>24</v>
      </c>
      <c r="B37" s="38" t="s">
        <v>286</v>
      </c>
      <c r="C37" s="39" t="str">
        <f>VLOOKUP(B37,'Sürme Malzeme Listesi'!A25:E57,3,FALSE)</f>
        <v>TEKCAM ALT KULP SİYAH</v>
      </c>
      <c r="D37" s="39" t="str">
        <f>VLOOKUP(B37,'Sürme Malzeme Listesi'!A25:E57,4,FALSE)</f>
        <v>AD</v>
      </c>
      <c r="E37" s="100">
        <f>VLOOKUP(B37,'TASLAK MALİYET'!B:E,4,0)</f>
        <v>2</v>
      </c>
      <c r="F37" s="166"/>
      <c r="G37" s="167">
        <f t="shared" si="0"/>
        <v>0</v>
      </c>
    </row>
    <row r="38" spans="1:8" ht="50.1" customHeight="1" x14ac:dyDescent="0.2">
      <c r="A38" s="37">
        <v>25</v>
      </c>
      <c r="B38" s="38" t="s">
        <v>287</v>
      </c>
      <c r="C38" s="39" t="str">
        <f>VLOOKUP(B38,'Sürme Malzeme Listesi'!A26:E58,3,FALSE)</f>
        <v>TEK CAM SÜRME SU TAHLİYE PLASTİK</v>
      </c>
      <c r="D38" s="39" t="str">
        <f>VLOOKUP(B38,'Sürme Malzeme Listesi'!A26:E58,4,FALSE)</f>
        <v>AD</v>
      </c>
      <c r="E38" s="100">
        <f>VLOOKUP(B38,'TASLAK MALİYET'!B:E,4,0)</f>
        <v>0</v>
      </c>
      <c r="F38" s="166"/>
      <c r="G38" s="167">
        <f t="shared" si="0"/>
        <v>0</v>
      </c>
    </row>
    <row r="39" spans="1:8" ht="50.1" customHeight="1" x14ac:dyDescent="0.2">
      <c r="A39" s="37">
        <v>26</v>
      </c>
      <c r="B39" s="38" t="s">
        <v>288</v>
      </c>
      <c r="C39" s="39" t="str">
        <f>VLOOKUP(B39,'Sürme Malzeme Listesi'!A27:E59,3,FALSE)</f>
        <v>SÜRME 3 LÜ SU TAHLİYESİ</v>
      </c>
      <c r="D39" s="39" t="str">
        <f>VLOOKUP(B39,'Sürme Malzeme Listesi'!A27:E59,4,FALSE)</f>
        <v>AD</v>
      </c>
      <c r="E39" s="100">
        <f>VLOOKUP(B39,'TASLAK MALİYET'!B:E,4,0)</f>
        <v>2</v>
      </c>
      <c r="F39" s="166"/>
      <c r="G39" s="167">
        <f t="shared" si="0"/>
        <v>0</v>
      </c>
    </row>
    <row r="40" spans="1:8" ht="50.1" customHeight="1" x14ac:dyDescent="0.2">
      <c r="A40" s="37">
        <v>27</v>
      </c>
      <c r="B40" s="38" t="s">
        <v>289</v>
      </c>
      <c r="C40" s="39" t="str">
        <f>VLOOKUP(B40,'Sürme Malzeme Listesi'!A28:E60,3,FALSE)</f>
        <v>TEKCAM SÜRME KÖŞE SACI LAZER KESİM</v>
      </c>
      <c r="D40" s="39" t="str">
        <f>VLOOKUP(B40,'Sürme Malzeme Listesi'!A28:E60,4,FALSE)</f>
        <v>AD</v>
      </c>
      <c r="E40" s="100">
        <f>VLOOKUP(B40,'TASLAK MALİYET'!B:E,4,0)</f>
        <v>0</v>
      </c>
      <c r="F40" s="166"/>
      <c r="G40" s="167">
        <f t="shared" si="0"/>
        <v>0</v>
      </c>
    </row>
    <row r="41" spans="1:8" ht="50.1" customHeight="1" x14ac:dyDescent="0.2">
      <c r="A41" s="37">
        <v>28</v>
      </c>
      <c r="B41" s="38" t="s">
        <v>290</v>
      </c>
      <c r="C41" s="39" t="str">
        <f>VLOOKUP(B41,'Sürme Malzeme Listesi'!A29:E61,3,FALSE)</f>
        <v>ÜÇLÜ SÜRME BİRLEŞTİRME SACI</v>
      </c>
      <c r="D41" s="39" t="str">
        <f>VLOOKUP(B41,'Sürme Malzeme Listesi'!A29:E61,4,FALSE)</f>
        <v>AD</v>
      </c>
      <c r="E41" s="100">
        <f>VLOOKUP(B41,'TASLAK MALİYET'!B:E,4,0)</f>
        <v>2</v>
      </c>
      <c r="F41" s="166"/>
      <c r="G41" s="167">
        <f t="shared" si="0"/>
        <v>0</v>
      </c>
    </row>
    <row r="42" spans="1:8" ht="50.1" customHeight="1" x14ac:dyDescent="0.2">
      <c r="A42" s="37">
        <v>29</v>
      </c>
      <c r="B42" s="38" t="s">
        <v>291</v>
      </c>
      <c r="C42" s="39" t="str">
        <f>VLOOKUP(B42,'Sürme Malzeme Listesi'!A30:E62,3,FALSE)</f>
        <v xml:space="preserve">TEKCAM SÜRME ORTA BİRLEŞTİRME PLASTİĞİ </v>
      </c>
      <c r="D42" s="39" t="str">
        <f>VLOOKUP(B42,'Sürme Malzeme Listesi'!A30:E62,4,FALSE)</f>
        <v>TK</v>
      </c>
      <c r="E42" s="100">
        <f>VLOOKUP(B42,'TASLAK MALİYET'!B:E,4,0)</f>
        <v>0</v>
      </c>
      <c r="F42" s="166"/>
      <c r="G42" s="167">
        <f t="shared" si="0"/>
        <v>0</v>
      </c>
    </row>
    <row r="43" spans="1:8" ht="50.1" customHeight="1" x14ac:dyDescent="0.2">
      <c r="A43" s="37">
        <v>30</v>
      </c>
      <c r="B43" s="38" t="s">
        <v>292</v>
      </c>
      <c r="C43" s="39" t="str">
        <f>VLOOKUP(B43,'Sürme Malzeme Listesi'!A31:E63,3,FALSE)</f>
        <v>914.CB.R.2C Cam Balkon Profili 10 mm Şeffaf&amp;#4</v>
      </c>
      <c r="D43" s="39" t="str">
        <f>VLOOKUP(B43,'Sürme Malzeme Listesi'!A31:E63,4,FALSE)</f>
        <v>MTR</v>
      </c>
      <c r="E43" s="100">
        <f>VLOOKUP(B43,'TASLAK MALİYET'!B:E,4,0)</f>
        <v>0</v>
      </c>
      <c r="F43" s="166"/>
      <c r="G43" s="167">
        <f t="shared" si="0"/>
        <v>0</v>
      </c>
    </row>
    <row r="44" spans="1:8" s="94" customFormat="1" ht="49.5" customHeight="1" x14ac:dyDescent="0.2">
      <c r="A44" s="37">
        <v>31</v>
      </c>
      <c r="B44" s="38" t="s">
        <v>295</v>
      </c>
      <c r="C44" s="39" t="str">
        <f>VLOOKUP(B44,'Sürme Malzeme Listesi'!A34:E66,3,FALSE)</f>
        <v>ÇERÇEVESİZ SÜRME METAL KAPAK</v>
      </c>
      <c r="D44" s="39" t="str">
        <f>VLOOKUP(B44,'Sürme Malzeme Listesi'!A34:E66,4,FALSE)</f>
        <v>AD</v>
      </c>
      <c r="E44" s="100">
        <f>VLOOKUP(B44,'TASLAK MALİYET'!B:E,4,0)</f>
        <v>0</v>
      </c>
      <c r="F44" s="166"/>
      <c r="G44" s="167">
        <f t="shared" si="0"/>
        <v>0</v>
      </c>
      <c r="H44" s="95" t="s">
        <v>49</v>
      </c>
    </row>
    <row r="45" spans="1:8" s="94" customFormat="1" ht="49.5" customHeight="1" x14ac:dyDescent="0.2">
      <c r="A45" s="37">
        <v>32</v>
      </c>
      <c r="B45" s="39" t="s">
        <v>300</v>
      </c>
      <c r="C45" s="39" t="s">
        <v>301</v>
      </c>
      <c r="D45" s="39" t="s">
        <v>302</v>
      </c>
      <c r="E45" s="100">
        <f>VLOOKUP(B45,'TASLAK MALİYET'!B2:E33,4,0)</f>
        <v>1</v>
      </c>
      <c r="F45" s="166"/>
      <c r="G45" s="167">
        <f>F45*E45</f>
        <v>0</v>
      </c>
      <c r="H45" s="95"/>
    </row>
    <row r="46" spans="1:8" s="94" customFormat="1" ht="49.5" customHeight="1" x14ac:dyDescent="0.2">
      <c r="A46" s="37">
        <v>33</v>
      </c>
      <c r="B46" s="39" t="s">
        <v>303</v>
      </c>
      <c r="C46" s="39" t="s">
        <v>304</v>
      </c>
      <c r="D46" s="39" t="s">
        <v>18</v>
      </c>
      <c r="E46" s="100">
        <f>'ANA SAYFA'!F2+'ANA SAYFA'!F3+'ANA SAYFA'!F4</f>
        <v>0</v>
      </c>
      <c r="F46" s="166"/>
      <c r="G46" s="167">
        <f t="shared" si="0"/>
        <v>0</v>
      </c>
      <c r="H46" s="95"/>
    </row>
    <row r="47" spans="1:8" ht="50.1" customHeight="1" x14ac:dyDescent="0.2">
      <c r="A47" s="37">
        <v>34</v>
      </c>
      <c r="B47" s="38" t="s">
        <v>293</v>
      </c>
      <c r="C47" s="39" t="str">
        <f>VLOOKUP(B47,'Sürme Malzeme Listesi'!A32:E64,3,FALSE)</f>
        <v>C TR Ö T.CAM DC CL 10 MR-TMP</v>
      </c>
      <c r="D47" s="39" t="str">
        <f>VLOOKUP(B47,'Sürme Malzeme Listesi'!A32:E64,4,FALSE)</f>
        <v>M2</v>
      </c>
      <c r="E47" s="100"/>
      <c r="F47" s="166"/>
      <c r="G47" s="167">
        <f>F47*E47</f>
        <v>0</v>
      </c>
    </row>
    <row r="48" spans="1:8" s="94" customFormat="1" ht="50.1" customHeight="1" x14ac:dyDescent="0.2">
      <c r="A48" s="37">
        <v>35</v>
      </c>
      <c r="B48" s="92" t="s">
        <v>149</v>
      </c>
      <c r="C48" s="93" t="s">
        <v>150</v>
      </c>
      <c r="D48" s="93" t="s">
        <v>151</v>
      </c>
      <c r="E48" s="101"/>
      <c r="F48" s="168"/>
      <c r="G48" s="169">
        <f>E48*F48</f>
        <v>0</v>
      </c>
    </row>
    <row r="49" spans="1:8" ht="50.1" customHeight="1" x14ac:dyDescent="0.5">
      <c r="A49" s="40"/>
      <c r="B49" s="41"/>
      <c r="C49" s="42"/>
      <c r="D49" s="43"/>
      <c r="E49" s="25"/>
      <c r="F49" s="44" t="s">
        <v>46</v>
      </c>
      <c r="G49" s="170">
        <f>SUM(G14:G48)</f>
        <v>0</v>
      </c>
    </row>
    <row r="50" spans="1:8" ht="50.1" customHeight="1" x14ac:dyDescent="0.5">
      <c r="A50" s="40"/>
      <c r="B50" s="41"/>
      <c r="C50" s="42"/>
      <c r="D50" s="43"/>
      <c r="E50" s="45"/>
      <c r="F50" s="44" t="s">
        <v>47</v>
      </c>
      <c r="G50" s="46"/>
      <c r="H50" s="47"/>
    </row>
    <row r="51" spans="1:8" ht="33.6" customHeight="1" x14ac:dyDescent="0.35">
      <c r="A51" s="48"/>
      <c r="B51" s="48"/>
      <c r="D51" s="49"/>
      <c r="E51" s="50"/>
      <c r="F51" s="49"/>
      <c r="G51" s="51"/>
    </row>
    <row r="52" spans="1:8" ht="60" customHeight="1" x14ac:dyDescent="0.2">
      <c r="B52" s="402" t="s">
        <v>11</v>
      </c>
      <c r="C52" s="403"/>
      <c r="D52" s="404" t="s">
        <v>12</v>
      </c>
      <c r="E52" s="405"/>
      <c r="F52" s="406"/>
      <c r="G52" s="52" t="s">
        <v>16</v>
      </c>
    </row>
    <row r="53" spans="1:8" ht="60" customHeight="1" x14ac:dyDescent="0.2">
      <c r="B53" s="53" t="s">
        <v>13</v>
      </c>
      <c r="C53" s="55"/>
      <c r="D53" s="407"/>
      <c r="E53" s="408"/>
      <c r="F53" s="409"/>
      <c r="G53" s="54"/>
    </row>
    <row r="54" spans="1:8" ht="75" customHeight="1" x14ac:dyDescent="0.2">
      <c r="B54" s="54" t="s">
        <v>14</v>
      </c>
      <c r="C54" s="55"/>
      <c r="D54" s="407"/>
      <c r="E54" s="408"/>
      <c r="F54" s="409"/>
      <c r="G54" s="55"/>
    </row>
    <row r="55" spans="1:8" ht="87" customHeight="1" x14ac:dyDescent="0.55000000000000004">
      <c r="B55" s="53" t="s">
        <v>15</v>
      </c>
      <c r="C55" s="56"/>
      <c r="D55" s="393"/>
      <c r="E55" s="394"/>
      <c r="F55" s="395"/>
      <c r="G55" s="53"/>
    </row>
  </sheetData>
  <mergeCells count="16">
    <mergeCell ref="D55:F55"/>
    <mergeCell ref="B6:C6"/>
    <mergeCell ref="F6:F7"/>
    <mergeCell ref="G6:G7"/>
    <mergeCell ref="H6:H7"/>
    <mergeCell ref="F12:F13"/>
    <mergeCell ref="G12:G13"/>
    <mergeCell ref="B52:C52"/>
    <mergeCell ref="D52:F52"/>
    <mergeCell ref="D53:F53"/>
    <mergeCell ref="D54:F54"/>
    <mergeCell ref="A12:A13"/>
    <mergeCell ref="B12:B13"/>
    <mergeCell ref="C12:C13"/>
    <mergeCell ref="D12:D13"/>
    <mergeCell ref="E12:E13"/>
  </mergeCells>
  <conditionalFormatting sqref="A14:G15 B16:G47 A16:A48">
    <cfRule type="expression" dxfId="2" priority="4">
      <formula>$E14=0</formula>
    </cfRule>
  </conditionalFormatting>
  <printOptions horizontalCentered="1"/>
  <pageMargins left="0" right="0" top="0" bottom="0" header="0" footer="0.31496062992125984"/>
  <pageSetup paperSize="9" scale="3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2"/>
  <sheetViews>
    <sheetView view="pageBreakPreview" topLeftCell="A2" zoomScale="53" zoomScaleNormal="80" zoomScaleSheetLayoutView="53" workbookViewId="0">
      <selection activeCell="I7" sqref="I7"/>
    </sheetView>
  </sheetViews>
  <sheetFormatPr defaultRowHeight="15" x14ac:dyDescent="0.25"/>
  <cols>
    <col min="1" max="1" width="5.7109375" customWidth="1"/>
    <col min="2" max="2" width="35.85546875" customWidth="1"/>
    <col min="3" max="3" width="19.5703125" customWidth="1"/>
    <col min="4" max="4" width="24.7109375" customWidth="1"/>
    <col min="5" max="5" width="21.42578125" customWidth="1"/>
    <col min="6" max="6" width="38.5703125" customWidth="1"/>
    <col min="7" max="9" width="23.28515625" customWidth="1"/>
    <col min="10" max="10" width="13.140625" customWidth="1"/>
    <col min="11" max="12" width="12.85546875" customWidth="1"/>
    <col min="13" max="13" width="23.28515625" customWidth="1"/>
    <col min="257" max="257" width="5.7109375" customWidth="1"/>
    <col min="258" max="258" width="35.85546875" customWidth="1"/>
    <col min="259" max="259" width="19.5703125" customWidth="1"/>
    <col min="260" max="260" width="24.7109375" customWidth="1"/>
    <col min="261" max="261" width="21.42578125" customWidth="1"/>
    <col min="262" max="262" width="38.5703125" customWidth="1"/>
    <col min="263" max="265" width="23.28515625" customWidth="1"/>
    <col min="266" max="266" width="13.140625" customWidth="1"/>
    <col min="267" max="268" width="12.85546875" customWidth="1"/>
    <col min="269" max="269" width="23.28515625" customWidth="1"/>
    <col min="513" max="513" width="5.7109375" customWidth="1"/>
    <col min="514" max="514" width="35.85546875" customWidth="1"/>
    <col min="515" max="515" width="19.5703125" customWidth="1"/>
    <col min="516" max="516" width="24.7109375" customWidth="1"/>
    <col min="517" max="517" width="21.42578125" customWidth="1"/>
    <col min="518" max="518" width="38.5703125" customWidth="1"/>
    <col min="519" max="521" width="23.28515625" customWidth="1"/>
    <col min="522" max="522" width="13.140625" customWidth="1"/>
    <col min="523" max="524" width="12.85546875" customWidth="1"/>
    <col min="525" max="525" width="23.28515625" customWidth="1"/>
    <col min="769" max="769" width="5.7109375" customWidth="1"/>
    <col min="770" max="770" width="35.85546875" customWidth="1"/>
    <col min="771" max="771" width="19.5703125" customWidth="1"/>
    <col min="772" max="772" width="24.7109375" customWidth="1"/>
    <col min="773" max="773" width="21.42578125" customWidth="1"/>
    <col min="774" max="774" width="38.5703125" customWidth="1"/>
    <col min="775" max="777" width="23.28515625" customWidth="1"/>
    <col min="778" max="778" width="13.140625" customWidth="1"/>
    <col min="779" max="780" width="12.85546875" customWidth="1"/>
    <col min="781" max="781" width="23.28515625" customWidth="1"/>
    <col min="1025" max="1025" width="5.7109375" customWidth="1"/>
    <col min="1026" max="1026" width="35.85546875" customWidth="1"/>
    <col min="1027" max="1027" width="19.5703125" customWidth="1"/>
    <col min="1028" max="1028" width="24.7109375" customWidth="1"/>
    <col min="1029" max="1029" width="21.42578125" customWidth="1"/>
    <col min="1030" max="1030" width="38.5703125" customWidth="1"/>
    <col min="1031" max="1033" width="23.28515625" customWidth="1"/>
    <col min="1034" max="1034" width="13.140625" customWidth="1"/>
    <col min="1035" max="1036" width="12.85546875" customWidth="1"/>
    <col min="1037" max="1037" width="23.28515625" customWidth="1"/>
    <col min="1281" max="1281" width="5.7109375" customWidth="1"/>
    <col min="1282" max="1282" width="35.85546875" customWidth="1"/>
    <col min="1283" max="1283" width="19.5703125" customWidth="1"/>
    <col min="1284" max="1284" width="24.7109375" customWidth="1"/>
    <col min="1285" max="1285" width="21.42578125" customWidth="1"/>
    <col min="1286" max="1286" width="38.5703125" customWidth="1"/>
    <col min="1287" max="1289" width="23.28515625" customWidth="1"/>
    <col min="1290" max="1290" width="13.140625" customWidth="1"/>
    <col min="1291" max="1292" width="12.85546875" customWidth="1"/>
    <col min="1293" max="1293" width="23.28515625" customWidth="1"/>
    <col min="1537" max="1537" width="5.7109375" customWidth="1"/>
    <col min="1538" max="1538" width="35.85546875" customWidth="1"/>
    <col min="1539" max="1539" width="19.5703125" customWidth="1"/>
    <col min="1540" max="1540" width="24.7109375" customWidth="1"/>
    <col min="1541" max="1541" width="21.42578125" customWidth="1"/>
    <col min="1542" max="1542" width="38.5703125" customWidth="1"/>
    <col min="1543" max="1545" width="23.28515625" customWidth="1"/>
    <col min="1546" max="1546" width="13.140625" customWidth="1"/>
    <col min="1547" max="1548" width="12.85546875" customWidth="1"/>
    <col min="1549" max="1549" width="23.28515625" customWidth="1"/>
    <col min="1793" max="1793" width="5.7109375" customWidth="1"/>
    <col min="1794" max="1794" width="35.85546875" customWidth="1"/>
    <col min="1795" max="1795" width="19.5703125" customWidth="1"/>
    <col min="1796" max="1796" width="24.7109375" customWidth="1"/>
    <col min="1797" max="1797" width="21.42578125" customWidth="1"/>
    <col min="1798" max="1798" width="38.5703125" customWidth="1"/>
    <col min="1799" max="1801" width="23.28515625" customWidth="1"/>
    <col min="1802" max="1802" width="13.140625" customWidth="1"/>
    <col min="1803" max="1804" width="12.85546875" customWidth="1"/>
    <col min="1805" max="1805" width="23.28515625" customWidth="1"/>
    <col min="2049" max="2049" width="5.7109375" customWidth="1"/>
    <col min="2050" max="2050" width="35.85546875" customWidth="1"/>
    <col min="2051" max="2051" width="19.5703125" customWidth="1"/>
    <col min="2052" max="2052" width="24.7109375" customWidth="1"/>
    <col min="2053" max="2053" width="21.42578125" customWidth="1"/>
    <col min="2054" max="2054" width="38.5703125" customWidth="1"/>
    <col min="2055" max="2057" width="23.28515625" customWidth="1"/>
    <col min="2058" max="2058" width="13.140625" customWidth="1"/>
    <col min="2059" max="2060" width="12.85546875" customWidth="1"/>
    <col min="2061" max="2061" width="23.28515625" customWidth="1"/>
    <col min="2305" max="2305" width="5.7109375" customWidth="1"/>
    <col min="2306" max="2306" width="35.85546875" customWidth="1"/>
    <col min="2307" max="2307" width="19.5703125" customWidth="1"/>
    <col min="2308" max="2308" width="24.7109375" customWidth="1"/>
    <col min="2309" max="2309" width="21.42578125" customWidth="1"/>
    <col min="2310" max="2310" width="38.5703125" customWidth="1"/>
    <col min="2311" max="2313" width="23.28515625" customWidth="1"/>
    <col min="2314" max="2314" width="13.140625" customWidth="1"/>
    <col min="2315" max="2316" width="12.85546875" customWidth="1"/>
    <col min="2317" max="2317" width="23.28515625" customWidth="1"/>
    <col min="2561" max="2561" width="5.7109375" customWidth="1"/>
    <col min="2562" max="2562" width="35.85546875" customWidth="1"/>
    <col min="2563" max="2563" width="19.5703125" customWidth="1"/>
    <col min="2564" max="2564" width="24.7109375" customWidth="1"/>
    <col min="2565" max="2565" width="21.42578125" customWidth="1"/>
    <col min="2566" max="2566" width="38.5703125" customWidth="1"/>
    <col min="2567" max="2569" width="23.28515625" customWidth="1"/>
    <col min="2570" max="2570" width="13.140625" customWidth="1"/>
    <col min="2571" max="2572" width="12.85546875" customWidth="1"/>
    <col min="2573" max="2573" width="23.28515625" customWidth="1"/>
    <col min="2817" max="2817" width="5.7109375" customWidth="1"/>
    <col min="2818" max="2818" width="35.85546875" customWidth="1"/>
    <col min="2819" max="2819" width="19.5703125" customWidth="1"/>
    <col min="2820" max="2820" width="24.7109375" customWidth="1"/>
    <col min="2821" max="2821" width="21.42578125" customWidth="1"/>
    <col min="2822" max="2822" width="38.5703125" customWidth="1"/>
    <col min="2823" max="2825" width="23.28515625" customWidth="1"/>
    <col min="2826" max="2826" width="13.140625" customWidth="1"/>
    <col min="2827" max="2828" width="12.85546875" customWidth="1"/>
    <col min="2829" max="2829" width="23.28515625" customWidth="1"/>
    <col min="3073" max="3073" width="5.7109375" customWidth="1"/>
    <col min="3074" max="3074" width="35.85546875" customWidth="1"/>
    <col min="3075" max="3075" width="19.5703125" customWidth="1"/>
    <col min="3076" max="3076" width="24.7109375" customWidth="1"/>
    <col min="3077" max="3077" width="21.42578125" customWidth="1"/>
    <col min="3078" max="3078" width="38.5703125" customWidth="1"/>
    <col min="3079" max="3081" width="23.28515625" customWidth="1"/>
    <col min="3082" max="3082" width="13.140625" customWidth="1"/>
    <col min="3083" max="3084" width="12.85546875" customWidth="1"/>
    <col min="3085" max="3085" width="23.28515625" customWidth="1"/>
    <col min="3329" max="3329" width="5.7109375" customWidth="1"/>
    <col min="3330" max="3330" width="35.85546875" customWidth="1"/>
    <col min="3331" max="3331" width="19.5703125" customWidth="1"/>
    <col min="3332" max="3332" width="24.7109375" customWidth="1"/>
    <col min="3333" max="3333" width="21.42578125" customWidth="1"/>
    <col min="3334" max="3334" width="38.5703125" customWidth="1"/>
    <col min="3335" max="3337" width="23.28515625" customWidth="1"/>
    <col min="3338" max="3338" width="13.140625" customWidth="1"/>
    <col min="3339" max="3340" width="12.85546875" customWidth="1"/>
    <col min="3341" max="3341" width="23.28515625" customWidth="1"/>
    <col min="3585" max="3585" width="5.7109375" customWidth="1"/>
    <col min="3586" max="3586" width="35.85546875" customWidth="1"/>
    <col min="3587" max="3587" width="19.5703125" customWidth="1"/>
    <col min="3588" max="3588" width="24.7109375" customWidth="1"/>
    <col min="3589" max="3589" width="21.42578125" customWidth="1"/>
    <col min="3590" max="3590" width="38.5703125" customWidth="1"/>
    <col min="3591" max="3593" width="23.28515625" customWidth="1"/>
    <col min="3594" max="3594" width="13.140625" customWidth="1"/>
    <col min="3595" max="3596" width="12.85546875" customWidth="1"/>
    <col min="3597" max="3597" width="23.28515625" customWidth="1"/>
    <col min="3841" max="3841" width="5.7109375" customWidth="1"/>
    <col min="3842" max="3842" width="35.85546875" customWidth="1"/>
    <col min="3843" max="3843" width="19.5703125" customWidth="1"/>
    <col min="3844" max="3844" width="24.7109375" customWidth="1"/>
    <col min="3845" max="3845" width="21.42578125" customWidth="1"/>
    <col min="3846" max="3846" width="38.5703125" customWidth="1"/>
    <col min="3847" max="3849" width="23.28515625" customWidth="1"/>
    <col min="3850" max="3850" width="13.140625" customWidth="1"/>
    <col min="3851" max="3852" width="12.85546875" customWidth="1"/>
    <col min="3853" max="3853" width="23.28515625" customWidth="1"/>
    <col min="4097" max="4097" width="5.7109375" customWidth="1"/>
    <col min="4098" max="4098" width="35.85546875" customWidth="1"/>
    <col min="4099" max="4099" width="19.5703125" customWidth="1"/>
    <col min="4100" max="4100" width="24.7109375" customWidth="1"/>
    <col min="4101" max="4101" width="21.42578125" customWidth="1"/>
    <col min="4102" max="4102" width="38.5703125" customWidth="1"/>
    <col min="4103" max="4105" width="23.28515625" customWidth="1"/>
    <col min="4106" max="4106" width="13.140625" customWidth="1"/>
    <col min="4107" max="4108" width="12.85546875" customWidth="1"/>
    <col min="4109" max="4109" width="23.28515625" customWidth="1"/>
    <col min="4353" max="4353" width="5.7109375" customWidth="1"/>
    <col min="4354" max="4354" width="35.85546875" customWidth="1"/>
    <col min="4355" max="4355" width="19.5703125" customWidth="1"/>
    <col min="4356" max="4356" width="24.7109375" customWidth="1"/>
    <col min="4357" max="4357" width="21.42578125" customWidth="1"/>
    <col min="4358" max="4358" width="38.5703125" customWidth="1"/>
    <col min="4359" max="4361" width="23.28515625" customWidth="1"/>
    <col min="4362" max="4362" width="13.140625" customWidth="1"/>
    <col min="4363" max="4364" width="12.85546875" customWidth="1"/>
    <col min="4365" max="4365" width="23.28515625" customWidth="1"/>
    <col min="4609" max="4609" width="5.7109375" customWidth="1"/>
    <col min="4610" max="4610" width="35.85546875" customWidth="1"/>
    <col min="4611" max="4611" width="19.5703125" customWidth="1"/>
    <col min="4612" max="4612" width="24.7109375" customWidth="1"/>
    <col min="4613" max="4613" width="21.42578125" customWidth="1"/>
    <col min="4614" max="4614" width="38.5703125" customWidth="1"/>
    <col min="4615" max="4617" width="23.28515625" customWidth="1"/>
    <col min="4618" max="4618" width="13.140625" customWidth="1"/>
    <col min="4619" max="4620" width="12.85546875" customWidth="1"/>
    <col min="4621" max="4621" width="23.28515625" customWidth="1"/>
    <col min="4865" max="4865" width="5.7109375" customWidth="1"/>
    <col min="4866" max="4866" width="35.85546875" customWidth="1"/>
    <col min="4867" max="4867" width="19.5703125" customWidth="1"/>
    <col min="4868" max="4868" width="24.7109375" customWidth="1"/>
    <col min="4869" max="4869" width="21.42578125" customWidth="1"/>
    <col min="4870" max="4870" width="38.5703125" customWidth="1"/>
    <col min="4871" max="4873" width="23.28515625" customWidth="1"/>
    <col min="4874" max="4874" width="13.140625" customWidth="1"/>
    <col min="4875" max="4876" width="12.85546875" customWidth="1"/>
    <col min="4877" max="4877" width="23.28515625" customWidth="1"/>
    <col min="5121" max="5121" width="5.7109375" customWidth="1"/>
    <col min="5122" max="5122" width="35.85546875" customWidth="1"/>
    <col min="5123" max="5123" width="19.5703125" customWidth="1"/>
    <col min="5124" max="5124" width="24.7109375" customWidth="1"/>
    <col min="5125" max="5125" width="21.42578125" customWidth="1"/>
    <col min="5126" max="5126" width="38.5703125" customWidth="1"/>
    <col min="5127" max="5129" width="23.28515625" customWidth="1"/>
    <col min="5130" max="5130" width="13.140625" customWidth="1"/>
    <col min="5131" max="5132" width="12.85546875" customWidth="1"/>
    <col min="5133" max="5133" width="23.28515625" customWidth="1"/>
    <col min="5377" max="5377" width="5.7109375" customWidth="1"/>
    <col min="5378" max="5378" width="35.85546875" customWidth="1"/>
    <col min="5379" max="5379" width="19.5703125" customWidth="1"/>
    <col min="5380" max="5380" width="24.7109375" customWidth="1"/>
    <col min="5381" max="5381" width="21.42578125" customWidth="1"/>
    <col min="5382" max="5382" width="38.5703125" customWidth="1"/>
    <col min="5383" max="5385" width="23.28515625" customWidth="1"/>
    <col min="5386" max="5386" width="13.140625" customWidth="1"/>
    <col min="5387" max="5388" width="12.85546875" customWidth="1"/>
    <col min="5389" max="5389" width="23.28515625" customWidth="1"/>
    <col min="5633" max="5633" width="5.7109375" customWidth="1"/>
    <col min="5634" max="5634" width="35.85546875" customWidth="1"/>
    <col min="5635" max="5635" width="19.5703125" customWidth="1"/>
    <col min="5636" max="5636" width="24.7109375" customWidth="1"/>
    <col min="5637" max="5637" width="21.42578125" customWidth="1"/>
    <col min="5638" max="5638" width="38.5703125" customWidth="1"/>
    <col min="5639" max="5641" width="23.28515625" customWidth="1"/>
    <col min="5642" max="5642" width="13.140625" customWidth="1"/>
    <col min="5643" max="5644" width="12.85546875" customWidth="1"/>
    <col min="5645" max="5645" width="23.28515625" customWidth="1"/>
    <col min="5889" max="5889" width="5.7109375" customWidth="1"/>
    <col min="5890" max="5890" width="35.85546875" customWidth="1"/>
    <col min="5891" max="5891" width="19.5703125" customWidth="1"/>
    <col min="5892" max="5892" width="24.7109375" customWidth="1"/>
    <col min="5893" max="5893" width="21.42578125" customWidth="1"/>
    <col min="5894" max="5894" width="38.5703125" customWidth="1"/>
    <col min="5895" max="5897" width="23.28515625" customWidth="1"/>
    <col min="5898" max="5898" width="13.140625" customWidth="1"/>
    <col min="5899" max="5900" width="12.85546875" customWidth="1"/>
    <col min="5901" max="5901" width="23.28515625" customWidth="1"/>
    <col min="6145" max="6145" width="5.7109375" customWidth="1"/>
    <col min="6146" max="6146" width="35.85546875" customWidth="1"/>
    <col min="6147" max="6147" width="19.5703125" customWidth="1"/>
    <col min="6148" max="6148" width="24.7109375" customWidth="1"/>
    <col min="6149" max="6149" width="21.42578125" customWidth="1"/>
    <col min="6150" max="6150" width="38.5703125" customWidth="1"/>
    <col min="6151" max="6153" width="23.28515625" customWidth="1"/>
    <col min="6154" max="6154" width="13.140625" customWidth="1"/>
    <col min="6155" max="6156" width="12.85546875" customWidth="1"/>
    <col min="6157" max="6157" width="23.28515625" customWidth="1"/>
    <col min="6401" max="6401" width="5.7109375" customWidth="1"/>
    <col min="6402" max="6402" width="35.85546875" customWidth="1"/>
    <col min="6403" max="6403" width="19.5703125" customWidth="1"/>
    <col min="6404" max="6404" width="24.7109375" customWidth="1"/>
    <col min="6405" max="6405" width="21.42578125" customWidth="1"/>
    <col min="6406" max="6406" width="38.5703125" customWidth="1"/>
    <col min="6407" max="6409" width="23.28515625" customWidth="1"/>
    <col min="6410" max="6410" width="13.140625" customWidth="1"/>
    <col min="6411" max="6412" width="12.85546875" customWidth="1"/>
    <col min="6413" max="6413" width="23.28515625" customWidth="1"/>
    <col min="6657" max="6657" width="5.7109375" customWidth="1"/>
    <col min="6658" max="6658" width="35.85546875" customWidth="1"/>
    <col min="6659" max="6659" width="19.5703125" customWidth="1"/>
    <col min="6660" max="6660" width="24.7109375" customWidth="1"/>
    <col min="6661" max="6661" width="21.42578125" customWidth="1"/>
    <col min="6662" max="6662" width="38.5703125" customWidth="1"/>
    <col min="6663" max="6665" width="23.28515625" customWidth="1"/>
    <col min="6666" max="6666" width="13.140625" customWidth="1"/>
    <col min="6667" max="6668" width="12.85546875" customWidth="1"/>
    <col min="6669" max="6669" width="23.28515625" customWidth="1"/>
    <col min="6913" max="6913" width="5.7109375" customWidth="1"/>
    <col min="6914" max="6914" width="35.85546875" customWidth="1"/>
    <col min="6915" max="6915" width="19.5703125" customWidth="1"/>
    <col min="6916" max="6916" width="24.7109375" customWidth="1"/>
    <col min="6917" max="6917" width="21.42578125" customWidth="1"/>
    <col min="6918" max="6918" width="38.5703125" customWidth="1"/>
    <col min="6919" max="6921" width="23.28515625" customWidth="1"/>
    <col min="6922" max="6922" width="13.140625" customWidth="1"/>
    <col min="6923" max="6924" width="12.85546875" customWidth="1"/>
    <col min="6925" max="6925" width="23.28515625" customWidth="1"/>
    <col min="7169" max="7169" width="5.7109375" customWidth="1"/>
    <col min="7170" max="7170" width="35.85546875" customWidth="1"/>
    <col min="7171" max="7171" width="19.5703125" customWidth="1"/>
    <col min="7172" max="7172" width="24.7109375" customWidth="1"/>
    <col min="7173" max="7173" width="21.42578125" customWidth="1"/>
    <col min="7174" max="7174" width="38.5703125" customWidth="1"/>
    <col min="7175" max="7177" width="23.28515625" customWidth="1"/>
    <col min="7178" max="7178" width="13.140625" customWidth="1"/>
    <col min="7179" max="7180" width="12.85546875" customWidth="1"/>
    <col min="7181" max="7181" width="23.28515625" customWidth="1"/>
    <col min="7425" max="7425" width="5.7109375" customWidth="1"/>
    <col min="7426" max="7426" width="35.85546875" customWidth="1"/>
    <col min="7427" max="7427" width="19.5703125" customWidth="1"/>
    <col min="7428" max="7428" width="24.7109375" customWidth="1"/>
    <col min="7429" max="7429" width="21.42578125" customWidth="1"/>
    <col min="7430" max="7430" width="38.5703125" customWidth="1"/>
    <col min="7431" max="7433" width="23.28515625" customWidth="1"/>
    <col min="7434" max="7434" width="13.140625" customWidth="1"/>
    <col min="7435" max="7436" width="12.85546875" customWidth="1"/>
    <col min="7437" max="7437" width="23.28515625" customWidth="1"/>
    <col min="7681" max="7681" width="5.7109375" customWidth="1"/>
    <col min="7682" max="7682" width="35.85546875" customWidth="1"/>
    <col min="7683" max="7683" width="19.5703125" customWidth="1"/>
    <col min="7684" max="7684" width="24.7109375" customWidth="1"/>
    <col min="7685" max="7685" width="21.42578125" customWidth="1"/>
    <col min="7686" max="7686" width="38.5703125" customWidth="1"/>
    <col min="7687" max="7689" width="23.28515625" customWidth="1"/>
    <col min="7690" max="7690" width="13.140625" customWidth="1"/>
    <col min="7691" max="7692" width="12.85546875" customWidth="1"/>
    <col min="7693" max="7693" width="23.28515625" customWidth="1"/>
    <col min="7937" max="7937" width="5.7109375" customWidth="1"/>
    <col min="7938" max="7938" width="35.85546875" customWidth="1"/>
    <col min="7939" max="7939" width="19.5703125" customWidth="1"/>
    <col min="7940" max="7940" width="24.7109375" customWidth="1"/>
    <col min="7941" max="7941" width="21.42578125" customWidth="1"/>
    <col min="7942" max="7942" width="38.5703125" customWidth="1"/>
    <col min="7943" max="7945" width="23.28515625" customWidth="1"/>
    <col min="7946" max="7946" width="13.140625" customWidth="1"/>
    <col min="7947" max="7948" width="12.85546875" customWidth="1"/>
    <col min="7949" max="7949" width="23.28515625" customWidth="1"/>
    <col min="8193" max="8193" width="5.7109375" customWidth="1"/>
    <col min="8194" max="8194" width="35.85546875" customWidth="1"/>
    <col min="8195" max="8195" width="19.5703125" customWidth="1"/>
    <col min="8196" max="8196" width="24.7109375" customWidth="1"/>
    <col min="8197" max="8197" width="21.42578125" customWidth="1"/>
    <col min="8198" max="8198" width="38.5703125" customWidth="1"/>
    <col min="8199" max="8201" width="23.28515625" customWidth="1"/>
    <col min="8202" max="8202" width="13.140625" customWidth="1"/>
    <col min="8203" max="8204" width="12.85546875" customWidth="1"/>
    <col min="8205" max="8205" width="23.28515625" customWidth="1"/>
    <col min="8449" max="8449" width="5.7109375" customWidth="1"/>
    <col min="8450" max="8450" width="35.85546875" customWidth="1"/>
    <col min="8451" max="8451" width="19.5703125" customWidth="1"/>
    <col min="8452" max="8452" width="24.7109375" customWidth="1"/>
    <col min="8453" max="8453" width="21.42578125" customWidth="1"/>
    <col min="8454" max="8454" width="38.5703125" customWidth="1"/>
    <col min="8455" max="8457" width="23.28515625" customWidth="1"/>
    <col min="8458" max="8458" width="13.140625" customWidth="1"/>
    <col min="8459" max="8460" width="12.85546875" customWidth="1"/>
    <col min="8461" max="8461" width="23.28515625" customWidth="1"/>
    <col min="8705" max="8705" width="5.7109375" customWidth="1"/>
    <col min="8706" max="8706" width="35.85546875" customWidth="1"/>
    <col min="8707" max="8707" width="19.5703125" customWidth="1"/>
    <col min="8708" max="8708" width="24.7109375" customWidth="1"/>
    <col min="8709" max="8709" width="21.42578125" customWidth="1"/>
    <col min="8710" max="8710" width="38.5703125" customWidth="1"/>
    <col min="8711" max="8713" width="23.28515625" customWidth="1"/>
    <col min="8714" max="8714" width="13.140625" customWidth="1"/>
    <col min="8715" max="8716" width="12.85546875" customWidth="1"/>
    <col min="8717" max="8717" width="23.28515625" customWidth="1"/>
    <col min="8961" max="8961" width="5.7109375" customWidth="1"/>
    <col min="8962" max="8962" width="35.85546875" customWidth="1"/>
    <col min="8963" max="8963" width="19.5703125" customWidth="1"/>
    <col min="8964" max="8964" width="24.7109375" customWidth="1"/>
    <col min="8965" max="8965" width="21.42578125" customWidth="1"/>
    <col min="8966" max="8966" width="38.5703125" customWidth="1"/>
    <col min="8967" max="8969" width="23.28515625" customWidth="1"/>
    <col min="8970" max="8970" width="13.140625" customWidth="1"/>
    <col min="8971" max="8972" width="12.85546875" customWidth="1"/>
    <col min="8973" max="8973" width="23.28515625" customWidth="1"/>
    <col min="9217" max="9217" width="5.7109375" customWidth="1"/>
    <col min="9218" max="9218" width="35.85546875" customWidth="1"/>
    <col min="9219" max="9219" width="19.5703125" customWidth="1"/>
    <col min="9220" max="9220" width="24.7109375" customWidth="1"/>
    <col min="9221" max="9221" width="21.42578125" customWidth="1"/>
    <col min="9222" max="9222" width="38.5703125" customWidth="1"/>
    <col min="9223" max="9225" width="23.28515625" customWidth="1"/>
    <col min="9226" max="9226" width="13.140625" customWidth="1"/>
    <col min="9227" max="9228" width="12.85546875" customWidth="1"/>
    <col min="9229" max="9229" width="23.28515625" customWidth="1"/>
    <col min="9473" max="9473" width="5.7109375" customWidth="1"/>
    <col min="9474" max="9474" width="35.85546875" customWidth="1"/>
    <col min="9475" max="9475" width="19.5703125" customWidth="1"/>
    <col min="9476" max="9476" width="24.7109375" customWidth="1"/>
    <col min="9477" max="9477" width="21.42578125" customWidth="1"/>
    <col min="9478" max="9478" width="38.5703125" customWidth="1"/>
    <col min="9479" max="9481" width="23.28515625" customWidth="1"/>
    <col min="9482" max="9482" width="13.140625" customWidth="1"/>
    <col min="9483" max="9484" width="12.85546875" customWidth="1"/>
    <col min="9485" max="9485" width="23.28515625" customWidth="1"/>
    <col min="9729" max="9729" width="5.7109375" customWidth="1"/>
    <col min="9730" max="9730" width="35.85546875" customWidth="1"/>
    <col min="9731" max="9731" width="19.5703125" customWidth="1"/>
    <col min="9732" max="9732" width="24.7109375" customWidth="1"/>
    <col min="9733" max="9733" width="21.42578125" customWidth="1"/>
    <col min="9734" max="9734" width="38.5703125" customWidth="1"/>
    <col min="9735" max="9737" width="23.28515625" customWidth="1"/>
    <col min="9738" max="9738" width="13.140625" customWidth="1"/>
    <col min="9739" max="9740" width="12.85546875" customWidth="1"/>
    <col min="9741" max="9741" width="23.28515625" customWidth="1"/>
    <col min="9985" max="9985" width="5.7109375" customWidth="1"/>
    <col min="9986" max="9986" width="35.85546875" customWidth="1"/>
    <col min="9987" max="9987" width="19.5703125" customWidth="1"/>
    <col min="9988" max="9988" width="24.7109375" customWidth="1"/>
    <col min="9989" max="9989" width="21.42578125" customWidth="1"/>
    <col min="9990" max="9990" width="38.5703125" customWidth="1"/>
    <col min="9991" max="9993" width="23.28515625" customWidth="1"/>
    <col min="9994" max="9994" width="13.140625" customWidth="1"/>
    <col min="9995" max="9996" width="12.85546875" customWidth="1"/>
    <col min="9997" max="9997" width="23.28515625" customWidth="1"/>
    <col min="10241" max="10241" width="5.7109375" customWidth="1"/>
    <col min="10242" max="10242" width="35.85546875" customWidth="1"/>
    <col min="10243" max="10243" width="19.5703125" customWidth="1"/>
    <col min="10244" max="10244" width="24.7109375" customWidth="1"/>
    <col min="10245" max="10245" width="21.42578125" customWidth="1"/>
    <col min="10246" max="10246" width="38.5703125" customWidth="1"/>
    <col min="10247" max="10249" width="23.28515625" customWidth="1"/>
    <col min="10250" max="10250" width="13.140625" customWidth="1"/>
    <col min="10251" max="10252" width="12.85546875" customWidth="1"/>
    <col min="10253" max="10253" width="23.28515625" customWidth="1"/>
    <col min="10497" max="10497" width="5.7109375" customWidth="1"/>
    <col min="10498" max="10498" width="35.85546875" customWidth="1"/>
    <col min="10499" max="10499" width="19.5703125" customWidth="1"/>
    <col min="10500" max="10500" width="24.7109375" customWidth="1"/>
    <col min="10501" max="10501" width="21.42578125" customWidth="1"/>
    <col min="10502" max="10502" width="38.5703125" customWidth="1"/>
    <col min="10503" max="10505" width="23.28515625" customWidth="1"/>
    <col min="10506" max="10506" width="13.140625" customWidth="1"/>
    <col min="10507" max="10508" width="12.85546875" customWidth="1"/>
    <col min="10509" max="10509" width="23.28515625" customWidth="1"/>
    <col min="10753" max="10753" width="5.7109375" customWidth="1"/>
    <col min="10754" max="10754" width="35.85546875" customWidth="1"/>
    <col min="10755" max="10755" width="19.5703125" customWidth="1"/>
    <col min="10756" max="10756" width="24.7109375" customWidth="1"/>
    <col min="10757" max="10757" width="21.42578125" customWidth="1"/>
    <col min="10758" max="10758" width="38.5703125" customWidth="1"/>
    <col min="10759" max="10761" width="23.28515625" customWidth="1"/>
    <col min="10762" max="10762" width="13.140625" customWidth="1"/>
    <col min="10763" max="10764" width="12.85546875" customWidth="1"/>
    <col min="10765" max="10765" width="23.28515625" customWidth="1"/>
    <col min="11009" max="11009" width="5.7109375" customWidth="1"/>
    <col min="11010" max="11010" width="35.85546875" customWidth="1"/>
    <col min="11011" max="11011" width="19.5703125" customWidth="1"/>
    <col min="11012" max="11012" width="24.7109375" customWidth="1"/>
    <col min="11013" max="11013" width="21.42578125" customWidth="1"/>
    <col min="11014" max="11014" width="38.5703125" customWidth="1"/>
    <col min="11015" max="11017" width="23.28515625" customWidth="1"/>
    <col min="11018" max="11018" width="13.140625" customWidth="1"/>
    <col min="11019" max="11020" width="12.85546875" customWidth="1"/>
    <col min="11021" max="11021" width="23.28515625" customWidth="1"/>
    <col min="11265" max="11265" width="5.7109375" customWidth="1"/>
    <col min="11266" max="11266" width="35.85546875" customWidth="1"/>
    <col min="11267" max="11267" width="19.5703125" customWidth="1"/>
    <col min="11268" max="11268" width="24.7109375" customWidth="1"/>
    <col min="11269" max="11269" width="21.42578125" customWidth="1"/>
    <col min="11270" max="11270" width="38.5703125" customWidth="1"/>
    <col min="11271" max="11273" width="23.28515625" customWidth="1"/>
    <col min="11274" max="11274" width="13.140625" customWidth="1"/>
    <col min="11275" max="11276" width="12.85546875" customWidth="1"/>
    <col min="11277" max="11277" width="23.28515625" customWidth="1"/>
    <col min="11521" max="11521" width="5.7109375" customWidth="1"/>
    <col min="11522" max="11522" width="35.85546875" customWidth="1"/>
    <col min="11523" max="11523" width="19.5703125" customWidth="1"/>
    <col min="11524" max="11524" width="24.7109375" customWidth="1"/>
    <col min="11525" max="11525" width="21.42578125" customWidth="1"/>
    <col min="11526" max="11526" width="38.5703125" customWidth="1"/>
    <col min="11527" max="11529" width="23.28515625" customWidth="1"/>
    <col min="11530" max="11530" width="13.140625" customWidth="1"/>
    <col min="11531" max="11532" width="12.85546875" customWidth="1"/>
    <col min="11533" max="11533" width="23.28515625" customWidth="1"/>
    <col min="11777" max="11777" width="5.7109375" customWidth="1"/>
    <col min="11778" max="11778" width="35.85546875" customWidth="1"/>
    <col min="11779" max="11779" width="19.5703125" customWidth="1"/>
    <col min="11780" max="11780" width="24.7109375" customWidth="1"/>
    <col min="11781" max="11781" width="21.42578125" customWidth="1"/>
    <col min="11782" max="11782" width="38.5703125" customWidth="1"/>
    <col min="11783" max="11785" width="23.28515625" customWidth="1"/>
    <col min="11786" max="11786" width="13.140625" customWidth="1"/>
    <col min="11787" max="11788" width="12.85546875" customWidth="1"/>
    <col min="11789" max="11789" width="23.28515625" customWidth="1"/>
    <col min="12033" max="12033" width="5.7109375" customWidth="1"/>
    <col min="12034" max="12034" width="35.85546875" customWidth="1"/>
    <col min="12035" max="12035" width="19.5703125" customWidth="1"/>
    <col min="12036" max="12036" width="24.7109375" customWidth="1"/>
    <col min="12037" max="12037" width="21.42578125" customWidth="1"/>
    <col min="12038" max="12038" width="38.5703125" customWidth="1"/>
    <col min="12039" max="12041" width="23.28515625" customWidth="1"/>
    <col min="12042" max="12042" width="13.140625" customWidth="1"/>
    <col min="12043" max="12044" width="12.85546875" customWidth="1"/>
    <col min="12045" max="12045" width="23.28515625" customWidth="1"/>
    <col min="12289" max="12289" width="5.7109375" customWidth="1"/>
    <col min="12290" max="12290" width="35.85546875" customWidth="1"/>
    <col min="12291" max="12291" width="19.5703125" customWidth="1"/>
    <col min="12292" max="12292" width="24.7109375" customWidth="1"/>
    <col min="12293" max="12293" width="21.42578125" customWidth="1"/>
    <col min="12294" max="12294" width="38.5703125" customWidth="1"/>
    <col min="12295" max="12297" width="23.28515625" customWidth="1"/>
    <col min="12298" max="12298" width="13.140625" customWidth="1"/>
    <col min="12299" max="12300" width="12.85546875" customWidth="1"/>
    <col min="12301" max="12301" width="23.28515625" customWidth="1"/>
    <col min="12545" max="12545" width="5.7109375" customWidth="1"/>
    <col min="12546" max="12546" width="35.85546875" customWidth="1"/>
    <col min="12547" max="12547" width="19.5703125" customWidth="1"/>
    <col min="12548" max="12548" width="24.7109375" customWidth="1"/>
    <col min="12549" max="12549" width="21.42578125" customWidth="1"/>
    <col min="12550" max="12550" width="38.5703125" customWidth="1"/>
    <col min="12551" max="12553" width="23.28515625" customWidth="1"/>
    <col min="12554" max="12554" width="13.140625" customWidth="1"/>
    <col min="12555" max="12556" width="12.85546875" customWidth="1"/>
    <col min="12557" max="12557" width="23.28515625" customWidth="1"/>
    <col min="12801" max="12801" width="5.7109375" customWidth="1"/>
    <col min="12802" max="12802" width="35.85546875" customWidth="1"/>
    <col min="12803" max="12803" width="19.5703125" customWidth="1"/>
    <col min="12804" max="12804" width="24.7109375" customWidth="1"/>
    <col min="12805" max="12805" width="21.42578125" customWidth="1"/>
    <col min="12806" max="12806" width="38.5703125" customWidth="1"/>
    <col min="12807" max="12809" width="23.28515625" customWidth="1"/>
    <col min="12810" max="12810" width="13.140625" customWidth="1"/>
    <col min="12811" max="12812" width="12.85546875" customWidth="1"/>
    <col min="12813" max="12813" width="23.28515625" customWidth="1"/>
    <col min="13057" max="13057" width="5.7109375" customWidth="1"/>
    <col min="13058" max="13058" width="35.85546875" customWidth="1"/>
    <col min="13059" max="13059" width="19.5703125" customWidth="1"/>
    <col min="13060" max="13060" width="24.7109375" customWidth="1"/>
    <col min="13061" max="13061" width="21.42578125" customWidth="1"/>
    <col min="13062" max="13062" width="38.5703125" customWidth="1"/>
    <col min="13063" max="13065" width="23.28515625" customWidth="1"/>
    <col min="13066" max="13066" width="13.140625" customWidth="1"/>
    <col min="13067" max="13068" width="12.85546875" customWidth="1"/>
    <col min="13069" max="13069" width="23.28515625" customWidth="1"/>
    <col min="13313" max="13313" width="5.7109375" customWidth="1"/>
    <col min="13314" max="13314" width="35.85546875" customWidth="1"/>
    <col min="13315" max="13315" width="19.5703125" customWidth="1"/>
    <col min="13316" max="13316" width="24.7109375" customWidth="1"/>
    <col min="13317" max="13317" width="21.42578125" customWidth="1"/>
    <col min="13318" max="13318" width="38.5703125" customWidth="1"/>
    <col min="13319" max="13321" width="23.28515625" customWidth="1"/>
    <col min="13322" max="13322" width="13.140625" customWidth="1"/>
    <col min="13323" max="13324" width="12.85546875" customWidth="1"/>
    <col min="13325" max="13325" width="23.28515625" customWidth="1"/>
    <col min="13569" max="13569" width="5.7109375" customWidth="1"/>
    <col min="13570" max="13570" width="35.85546875" customWidth="1"/>
    <col min="13571" max="13571" width="19.5703125" customWidth="1"/>
    <col min="13572" max="13572" width="24.7109375" customWidth="1"/>
    <col min="13573" max="13573" width="21.42578125" customWidth="1"/>
    <col min="13574" max="13574" width="38.5703125" customWidth="1"/>
    <col min="13575" max="13577" width="23.28515625" customWidth="1"/>
    <col min="13578" max="13578" width="13.140625" customWidth="1"/>
    <col min="13579" max="13580" width="12.85546875" customWidth="1"/>
    <col min="13581" max="13581" width="23.28515625" customWidth="1"/>
    <col min="13825" max="13825" width="5.7109375" customWidth="1"/>
    <col min="13826" max="13826" width="35.85546875" customWidth="1"/>
    <col min="13827" max="13827" width="19.5703125" customWidth="1"/>
    <col min="13828" max="13828" width="24.7109375" customWidth="1"/>
    <col min="13829" max="13829" width="21.42578125" customWidth="1"/>
    <col min="13830" max="13830" width="38.5703125" customWidth="1"/>
    <col min="13831" max="13833" width="23.28515625" customWidth="1"/>
    <col min="13834" max="13834" width="13.140625" customWidth="1"/>
    <col min="13835" max="13836" width="12.85546875" customWidth="1"/>
    <col min="13837" max="13837" width="23.28515625" customWidth="1"/>
    <col min="14081" max="14081" width="5.7109375" customWidth="1"/>
    <col min="14082" max="14082" width="35.85546875" customWidth="1"/>
    <col min="14083" max="14083" width="19.5703125" customWidth="1"/>
    <col min="14084" max="14084" width="24.7109375" customWidth="1"/>
    <col min="14085" max="14085" width="21.42578125" customWidth="1"/>
    <col min="14086" max="14086" width="38.5703125" customWidth="1"/>
    <col min="14087" max="14089" width="23.28515625" customWidth="1"/>
    <col min="14090" max="14090" width="13.140625" customWidth="1"/>
    <col min="14091" max="14092" width="12.85546875" customWidth="1"/>
    <col min="14093" max="14093" width="23.28515625" customWidth="1"/>
    <col min="14337" max="14337" width="5.7109375" customWidth="1"/>
    <col min="14338" max="14338" width="35.85546875" customWidth="1"/>
    <col min="14339" max="14339" width="19.5703125" customWidth="1"/>
    <col min="14340" max="14340" width="24.7109375" customWidth="1"/>
    <col min="14341" max="14341" width="21.42578125" customWidth="1"/>
    <col min="14342" max="14342" width="38.5703125" customWidth="1"/>
    <col min="14343" max="14345" width="23.28515625" customWidth="1"/>
    <col min="14346" max="14346" width="13.140625" customWidth="1"/>
    <col min="14347" max="14348" width="12.85546875" customWidth="1"/>
    <col min="14349" max="14349" width="23.28515625" customWidth="1"/>
    <col min="14593" max="14593" width="5.7109375" customWidth="1"/>
    <col min="14594" max="14594" width="35.85546875" customWidth="1"/>
    <col min="14595" max="14595" width="19.5703125" customWidth="1"/>
    <col min="14596" max="14596" width="24.7109375" customWidth="1"/>
    <col min="14597" max="14597" width="21.42578125" customWidth="1"/>
    <col min="14598" max="14598" width="38.5703125" customWidth="1"/>
    <col min="14599" max="14601" width="23.28515625" customWidth="1"/>
    <col min="14602" max="14602" width="13.140625" customWidth="1"/>
    <col min="14603" max="14604" width="12.85546875" customWidth="1"/>
    <col min="14605" max="14605" width="23.28515625" customWidth="1"/>
    <col min="14849" max="14849" width="5.7109375" customWidth="1"/>
    <col min="14850" max="14850" width="35.85546875" customWidth="1"/>
    <col min="14851" max="14851" width="19.5703125" customWidth="1"/>
    <col min="14852" max="14852" width="24.7109375" customWidth="1"/>
    <col min="14853" max="14853" width="21.42578125" customWidth="1"/>
    <col min="14854" max="14854" width="38.5703125" customWidth="1"/>
    <col min="14855" max="14857" width="23.28515625" customWidth="1"/>
    <col min="14858" max="14858" width="13.140625" customWidth="1"/>
    <col min="14859" max="14860" width="12.85546875" customWidth="1"/>
    <col min="14861" max="14861" width="23.28515625" customWidth="1"/>
    <col min="15105" max="15105" width="5.7109375" customWidth="1"/>
    <col min="15106" max="15106" width="35.85546875" customWidth="1"/>
    <col min="15107" max="15107" width="19.5703125" customWidth="1"/>
    <col min="15108" max="15108" width="24.7109375" customWidth="1"/>
    <col min="15109" max="15109" width="21.42578125" customWidth="1"/>
    <col min="15110" max="15110" width="38.5703125" customWidth="1"/>
    <col min="15111" max="15113" width="23.28515625" customWidth="1"/>
    <col min="15114" max="15114" width="13.140625" customWidth="1"/>
    <col min="15115" max="15116" width="12.85546875" customWidth="1"/>
    <col min="15117" max="15117" width="23.28515625" customWidth="1"/>
    <col min="15361" max="15361" width="5.7109375" customWidth="1"/>
    <col min="15362" max="15362" width="35.85546875" customWidth="1"/>
    <col min="15363" max="15363" width="19.5703125" customWidth="1"/>
    <col min="15364" max="15364" width="24.7109375" customWidth="1"/>
    <col min="15365" max="15365" width="21.42578125" customWidth="1"/>
    <col min="15366" max="15366" width="38.5703125" customWidth="1"/>
    <col min="15367" max="15369" width="23.28515625" customWidth="1"/>
    <col min="15370" max="15370" width="13.140625" customWidth="1"/>
    <col min="15371" max="15372" width="12.85546875" customWidth="1"/>
    <col min="15373" max="15373" width="23.28515625" customWidth="1"/>
    <col min="15617" max="15617" width="5.7109375" customWidth="1"/>
    <col min="15618" max="15618" width="35.85546875" customWidth="1"/>
    <col min="15619" max="15619" width="19.5703125" customWidth="1"/>
    <col min="15620" max="15620" width="24.7109375" customWidth="1"/>
    <col min="15621" max="15621" width="21.42578125" customWidth="1"/>
    <col min="15622" max="15622" width="38.5703125" customWidth="1"/>
    <col min="15623" max="15625" width="23.28515625" customWidth="1"/>
    <col min="15626" max="15626" width="13.140625" customWidth="1"/>
    <col min="15627" max="15628" width="12.85546875" customWidth="1"/>
    <col min="15629" max="15629" width="23.28515625" customWidth="1"/>
    <col min="15873" max="15873" width="5.7109375" customWidth="1"/>
    <col min="15874" max="15874" width="35.85546875" customWidth="1"/>
    <col min="15875" max="15875" width="19.5703125" customWidth="1"/>
    <col min="15876" max="15876" width="24.7109375" customWidth="1"/>
    <col min="15877" max="15877" width="21.42578125" customWidth="1"/>
    <col min="15878" max="15878" width="38.5703125" customWidth="1"/>
    <col min="15879" max="15881" width="23.28515625" customWidth="1"/>
    <col min="15882" max="15882" width="13.140625" customWidth="1"/>
    <col min="15883" max="15884" width="12.85546875" customWidth="1"/>
    <col min="15885" max="15885" width="23.28515625" customWidth="1"/>
    <col min="16129" max="16129" width="5.7109375" customWidth="1"/>
    <col min="16130" max="16130" width="35.85546875" customWidth="1"/>
    <col min="16131" max="16131" width="19.5703125" customWidth="1"/>
    <col min="16132" max="16132" width="24.7109375" customWidth="1"/>
    <col min="16133" max="16133" width="21.42578125" customWidth="1"/>
    <col min="16134" max="16134" width="38.5703125" customWidth="1"/>
    <col min="16135" max="16137" width="23.28515625" customWidth="1"/>
    <col min="16138" max="16138" width="13.140625" customWidth="1"/>
    <col min="16139" max="16140" width="12.85546875" customWidth="1"/>
    <col min="16141" max="16141" width="23.28515625" customWidth="1"/>
  </cols>
  <sheetData>
    <row r="1" spans="1:13" ht="28.5" customHeight="1" x14ac:dyDescent="0.25">
      <c r="A1" s="173"/>
      <c r="B1" s="410" t="s">
        <v>197</v>
      </c>
      <c r="C1" s="410"/>
      <c r="D1" s="410"/>
      <c r="E1" s="411">
        <f>'Veri Sayfası - 1'!C4</f>
        <v>0</v>
      </c>
      <c r="F1" s="412"/>
      <c r="G1" s="413" t="s">
        <v>196</v>
      </c>
      <c r="H1" s="413"/>
      <c r="I1" s="413"/>
      <c r="J1" s="413"/>
      <c r="K1" s="413"/>
      <c r="L1" s="413"/>
      <c r="M1" s="413"/>
    </row>
    <row r="2" spans="1:13" ht="22.5" customHeight="1" x14ac:dyDescent="0.25">
      <c r="A2" s="173"/>
      <c r="B2" s="410" t="s">
        <v>198</v>
      </c>
      <c r="C2" s="410"/>
      <c r="D2" s="410"/>
      <c r="E2" s="411">
        <f ca="1">'Veri Sayfası - 1'!C3</f>
        <v>46077</v>
      </c>
      <c r="F2" s="411"/>
      <c r="G2" s="414" t="s">
        <v>199</v>
      </c>
      <c r="H2" s="414"/>
      <c r="I2" s="414"/>
      <c r="J2" s="414"/>
      <c r="K2" s="414"/>
      <c r="L2" s="414"/>
      <c r="M2" s="414"/>
    </row>
    <row r="3" spans="1:13" ht="24" customHeight="1" x14ac:dyDescent="0.25">
      <c r="A3" s="173"/>
      <c r="B3" s="410" t="s">
        <v>200</v>
      </c>
      <c r="C3" s="410"/>
      <c r="D3" s="410"/>
      <c r="E3" s="412"/>
      <c r="F3" s="412"/>
      <c r="G3" s="415" t="str">
        <f>CONCATENATE('Veri Sayfası - 1'!C7,"-",'Veri Sayfası - 1'!C8,"-",'Veri Sayfası - 1'!C9)</f>
        <v>0-0-0</v>
      </c>
      <c r="H3" s="415"/>
      <c r="I3" s="415"/>
      <c r="J3" s="415"/>
      <c r="K3" s="415"/>
      <c r="L3" s="415"/>
      <c r="M3" s="415"/>
    </row>
    <row r="4" spans="1:13" ht="31.5" customHeight="1" x14ac:dyDescent="0.25">
      <c r="A4" s="173"/>
      <c r="B4" s="416" t="s">
        <v>201</v>
      </c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</row>
    <row r="5" spans="1:13" ht="37.5" x14ac:dyDescent="0.25">
      <c r="A5" s="174" t="s">
        <v>202</v>
      </c>
      <c r="B5" s="175" t="s">
        <v>245</v>
      </c>
      <c r="C5" s="175" t="s">
        <v>203</v>
      </c>
      <c r="D5" s="175" t="s">
        <v>204</v>
      </c>
      <c r="E5" s="175" t="s">
        <v>205</v>
      </c>
      <c r="F5" s="175" t="s">
        <v>8</v>
      </c>
      <c r="G5" s="175" t="s">
        <v>206</v>
      </c>
      <c r="H5" s="175" t="s">
        <v>35</v>
      </c>
      <c r="I5" s="175" t="s">
        <v>207</v>
      </c>
      <c r="J5" s="175" t="s">
        <v>211</v>
      </c>
      <c r="K5" s="175" t="s">
        <v>208</v>
      </c>
      <c r="L5" s="175" t="s">
        <v>212</v>
      </c>
      <c r="M5" s="175" t="s">
        <v>209</v>
      </c>
    </row>
    <row r="6" spans="1:13" s="115" customFormat="1" ht="60" customHeight="1" x14ac:dyDescent="0.25">
      <c r="A6" s="176">
        <v>1</v>
      </c>
      <c r="B6" s="177" t="s">
        <v>246</v>
      </c>
      <c r="C6" s="112">
        <v>12558</v>
      </c>
      <c r="D6" s="112"/>
      <c r="E6" s="112">
        <v>2.25</v>
      </c>
      <c r="F6" s="119">
        <f>'Veri Sayfası - 1'!$C$11</f>
        <v>0</v>
      </c>
      <c r="G6" s="113"/>
      <c r="H6" s="114"/>
      <c r="I6" s="114">
        <f t="shared" ref="I6:I21" si="0">H6*G6*E6</f>
        <v>0</v>
      </c>
      <c r="J6" s="112"/>
      <c r="K6" s="112"/>
      <c r="L6" s="112"/>
      <c r="M6" s="417" t="s">
        <v>210</v>
      </c>
    </row>
    <row r="7" spans="1:13" s="115" customFormat="1" ht="60" customHeight="1" x14ac:dyDescent="0.25">
      <c r="A7" s="176">
        <v>2</v>
      </c>
      <c r="B7" s="177" t="s">
        <v>247</v>
      </c>
      <c r="C7" s="112">
        <v>11570</v>
      </c>
      <c r="D7" s="112"/>
      <c r="E7" s="112">
        <v>1.9119999999999999</v>
      </c>
      <c r="F7" s="119">
        <f>'Veri Sayfası - 1'!$C$11</f>
        <v>0</v>
      </c>
      <c r="G7" s="113"/>
      <c r="H7" s="114"/>
      <c r="I7" s="114">
        <f t="shared" si="0"/>
        <v>0</v>
      </c>
      <c r="J7" s="112"/>
      <c r="K7" s="112"/>
      <c r="L7" s="112"/>
      <c r="M7" s="417"/>
    </row>
    <row r="8" spans="1:13" s="115" customFormat="1" ht="60" customHeight="1" x14ac:dyDescent="0.25">
      <c r="A8" s="176">
        <v>3</v>
      </c>
      <c r="B8" s="177" t="s">
        <v>247</v>
      </c>
      <c r="C8" s="112">
        <v>11571</v>
      </c>
      <c r="D8" s="112"/>
      <c r="E8" s="112">
        <v>1.7969999999999999</v>
      </c>
      <c r="F8" s="119">
        <f>'Veri Sayfası - 1'!$C$11</f>
        <v>0</v>
      </c>
      <c r="G8" s="113"/>
      <c r="H8" s="114"/>
      <c r="I8" s="114">
        <f t="shared" si="0"/>
        <v>0</v>
      </c>
      <c r="J8" s="112"/>
      <c r="K8" s="112"/>
      <c r="L8" s="112"/>
      <c r="M8" s="417"/>
    </row>
    <row r="9" spans="1:13" s="115" customFormat="1" ht="60" customHeight="1" x14ac:dyDescent="0.25">
      <c r="A9" s="176">
        <v>4</v>
      </c>
      <c r="B9" s="177" t="s">
        <v>248</v>
      </c>
      <c r="C9" s="112" t="s">
        <v>213</v>
      </c>
      <c r="D9" s="112"/>
      <c r="E9" s="112">
        <v>0.92900000000000005</v>
      </c>
      <c r="F9" s="119">
        <f>'Veri Sayfası - 1'!$C$11</f>
        <v>0</v>
      </c>
      <c r="G9" s="113"/>
      <c r="H9" s="114"/>
      <c r="I9" s="114">
        <f t="shared" si="0"/>
        <v>0</v>
      </c>
      <c r="J9" s="112"/>
      <c r="K9" s="112"/>
      <c r="L9" s="112"/>
      <c r="M9" s="417"/>
    </row>
    <row r="10" spans="1:13" s="115" customFormat="1" ht="60" customHeight="1" x14ac:dyDescent="0.25">
      <c r="A10" s="176">
        <v>5</v>
      </c>
      <c r="B10" s="177" t="s">
        <v>249</v>
      </c>
      <c r="C10" s="112">
        <v>11646</v>
      </c>
      <c r="D10" s="112"/>
      <c r="E10" s="112">
        <v>0.2913</v>
      </c>
      <c r="F10" s="119">
        <f>'Veri Sayfası - 1'!$C$11</f>
        <v>0</v>
      </c>
      <c r="G10" s="113"/>
      <c r="H10" s="114"/>
      <c r="I10" s="114">
        <f t="shared" si="0"/>
        <v>0</v>
      </c>
      <c r="J10" s="112"/>
      <c r="K10" s="112"/>
      <c r="L10" s="112"/>
      <c r="M10" s="417"/>
    </row>
    <row r="11" spans="1:13" s="115" customFormat="1" ht="60" customHeight="1" x14ac:dyDescent="0.25">
      <c r="A11" s="176">
        <v>6</v>
      </c>
      <c r="B11" s="177" t="s">
        <v>249</v>
      </c>
      <c r="C11" s="112">
        <v>11574</v>
      </c>
      <c r="D11" s="112"/>
      <c r="E11" s="112">
        <v>0.214</v>
      </c>
      <c r="F11" s="119">
        <f>'Veri Sayfası - 1'!$C$11</f>
        <v>0</v>
      </c>
      <c r="G11" s="113"/>
      <c r="H11" s="114"/>
      <c r="I11" s="114">
        <f t="shared" si="0"/>
        <v>0</v>
      </c>
      <c r="J11" s="112"/>
      <c r="K11" s="112"/>
      <c r="L11" s="112"/>
      <c r="M11" s="417"/>
    </row>
    <row r="12" spans="1:13" s="115" customFormat="1" ht="60" customHeight="1" x14ac:dyDescent="0.25">
      <c r="A12" s="176">
        <v>7</v>
      </c>
      <c r="B12" s="177" t="s">
        <v>249</v>
      </c>
      <c r="C12" s="112">
        <v>11579</v>
      </c>
      <c r="D12" s="112"/>
      <c r="E12" s="112">
        <v>1.0549999999999999</v>
      </c>
      <c r="F12" s="119">
        <f>'Veri Sayfası - 1'!$C$11</f>
        <v>0</v>
      </c>
      <c r="G12" s="113"/>
      <c r="H12" s="114"/>
      <c r="I12" s="114">
        <f t="shared" si="0"/>
        <v>0</v>
      </c>
      <c r="J12" s="112"/>
      <c r="K12" s="112"/>
      <c r="L12" s="112"/>
      <c r="M12" s="417"/>
    </row>
    <row r="13" spans="1:13" s="115" customFormat="1" ht="60" customHeight="1" x14ac:dyDescent="0.25">
      <c r="A13" s="176">
        <v>8</v>
      </c>
      <c r="B13" s="177" t="s">
        <v>259</v>
      </c>
      <c r="C13" s="112" t="s">
        <v>260</v>
      </c>
      <c r="D13" s="112"/>
      <c r="E13" s="112">
        <v>2.4300000000000002</v>
      </c>
      <c r="F13" s="119">
        <f>'Veri Sayfası - 1'!$C$11</f>
        <v>0</v>
      </c>
      <c r="G13" s="113"/>
      <c r="H13" s="114"/>
      <c r="I13" s="114">
        <f t="shared" si="0"/>
        <v>0</v>
      </c>
      <c r="J13" s="112"/>
      <c r="K13" s="112"/>
      <c r="L13" s="112"/>
      <c r="M13" s="417"/>
    </row>
    <row r="14" spans="1:13" s="115" customFormat="1" ht="60" customHeight="1" x14ac:dyDescent="0.25">
      <c r="A14" s="176">
        <v>8</v>
      </c>
      <c r="B14" s="177" t="s">
        <v>250</v>
      </c>
      <c r="C14" s="112" t="s">
        <v>214</v>
      </c>
      <c r="D14" s="112"/>
      <c r="E14" s="112">
        <v>1.552</v>
      </c>
      <c r="F14" s="119">
        <f>'Veri Sayfası - 1'!$C$11</f>
        <v>0</v>
      </c>
      <c r="G14" s="113"/>
      <c r="H14" s="114"/>
      <c r="I14" s="114">
        <f t="shared" si="0"/>
        <v>0</v>
      </c>
      <c r="J14" s="112"/>
      <c r="K14" s="112"/>
      <c r="L14" s="112"/>
      <c r="M14" s="417"/>
    </row>
    <row r="15" spans="1:13" s="115" customFormat="1" ht="60" customHeight="1" x14ac:dyDescent="0.25">
      <c r="A15" s="176">
        <v>9</v>
      </c>
      <c r="B15" s="177" t="s">
        <v>250</v>
      </c>
      <c r="C15" s="112" t="s">
        <v>215</v>
      </c>
      <c r="D15" s="112"/>
      <c r="E15" s="112">
        <v>1.0629999999999999</v>
      </c>
      <c r="F15" s="119">
        <f>'Veri Sayfası - 1'!$C$11</f>
        <v>0</v>
      </c>
      <c r="G15" s="113"/>
      <c r="H15" s="114"/>
      <c r="I15" s="114">
        <f t="shared" si="0"/>
        <v>0</v>
      </c>
      <c r="J15" s="112"/>
      <c r="K15" s="112"/>
      <c r="L15" s="112"/>
      <c r="M15" s="417"/>
    </row>
    <row r="16" spans="1:13" s="115" customFormat="1" ht="60" customHeight="1" x14ac:dyDescent="0.25">
      <c r="A16" s="176">
        <v>10</v>
      </c>
      <c r="B16" s="177" t="s">
        <v>251</v>
      </c>
      <c r="C16" s="112" t="s">
        <v>216</v>
      </c>
      <c r="D16" s="112"/>
      <c r="E16" s="112">
        <v>1.53</v>
      </c>
      <c r="F16" s="119">
        <f>'Veri Sayfası - 1'!$C$11</f>
        <v>0</v>
      </c>
      <c r="G16" s="113"/>
      <c r="H16" s="114"/>
      <c r="I16" s="114">
        <f t="shared" si="0"/>
        <v>0</v>
      </c>
      <c r="J16" s="112"/>
      <c r="K16" s="112"/>
      <c r="L16" s="112"/>
      <c r="M16" s="417"/>
    </row>
    <row r="17" spans="1:13" s="115" customFormat="1" ht="62.25" customHeight="1" x14ac:dyDescent="0.25">
      <c r="A17" s="176">
        <v>11</v>
      </c>
      <c r="B17" s="177" t="s">
        <v>252</v>
      </c>
      <c r="C17" s="112">
        <v>12039</v>
      </c>
      <c r="D17" s="112"/>
      <c r="E17" s="112">
        <v>0.43030000000000002</v>
      </c>
      <c r="F17" s="119">
        <f>'Veri Sayfası - 1'!$C$11</f>
        <v>0</v>
      </c>
      <c r="G17" s="113"/>
      <c r="H17" s="114"/>
      <c r="I17" s="114">
        <f t="shared" si="0"/>
        <v>0</v>
      </c>
      <c r="J17" s="112"/>
      <c r="K17" s="112"/>
      <c r="L17" s="112"/>
      <c r="M17" s="417"/>
    </row>
    <row r="18" spans="1:13" s="115" customFormat="1" ht="57" customHeight="1" x14ac:dyDescent="0.25">
      <c r="A18" s="176">
        <v>12</v>
      </c>
      <c r="B18" s="177" t="s">
        <v>252</v>
      </c>
      <c r="C18" s="112">
        <v>12061</v>
      </c>
      <c r="D18" s="112"/>
      <c r="E18" s="112">
        <v>0.17460000000000001</v>
      </c>
      <c r="F18" s="119">
        <f>'Veri Sayfası - 1'!$C$11</f>
        <v>0</v>
      </c>
      <c r="G18" s="113"/>
      <c r="H18" s="114"/>
      <c r="I18" s="114">
        <f t="shared" si="0"/>
        <v>0</v>
      </c>
      <c r="J18" s="112"/>
      <c r="K18" s="112"/>
      <c r="L18" s="112"/>
      <c r="M18" s="417"/>
    </row>
    <row r="19" spans="1:13" s="115" customFormat="1" ht="60" customHeight="1" x14ac:dyDescent="0.25">
      <c r="A19" s="176">
        <v>13</v>
      </c>
      <c r="B19" s="177" t="s">
        <v>253</v>
      </c>
      <c r="C19" s="112" t="s">
        <v>217</v>
      </c>
      <c r="D19" s="112"/>
      <c r="E19" s="112">
        <v>1.403</v>
      </c>
      <c r="F19" s="119">
        <f>'Veri Sayfası - 1'!$C$11</f>
        <v>0</v>
      </c>
      <c r="G19" s="113"/>
      <c r="H19" s="114"/>
      <c r="I19" s="114">
        <f t="shared" si="0"/>
        <v>0</v>
      </c>
      <c r="J19" s="112"/>
      <c r="K19" s="112"/>
      <c r="L19" s="112"/>
      <c r="M19" s="417"/>
    </row>
    <row r="20" spans="1:13" s="115" customFormat="1" ht="62.25" customHeight="1" x14ac:dyDescent="0.25">
      <c r="A20" s="176">
        <v>14</v>
      </c>
      <c r="B20" s="177" t="s">
        <v>254</v>
      </c>
      <c r="C20" s="112" t="s">
        <v>218</v>
      </c>
      <c r="D20" s="112"/>
      <c r="E20" s="112">
        <v>0.94399999999999995</v>
      </c>
      <c r="F20" s="119">
        <f>'Veri Sayfası - 1'!$C$11</f>
        <v>0</v>
      </c>
      <c r="G20" s="113"/>
      <c r="H20" s="114"/>
      <c r="I20" s="114">
        <f t="shared" si="0"/>
        <v>0</v>
      </c>
      <c r="J20" s="114"/>
      <c r="K20" s="112"/>
      <c r="L20" s="112"/>
      <c r="M20" s="417"/>
    </row>
    <row r="21" spans="1:13" s="115" customFormat="1" ht="57" customHeight="1" x14ac:dyDescent="0.25">
      <c r="A21" s="176">
        <v>15</v>
      </c>
      <c r="B21" s="177" t="s">
        <v>255</v>
      </c>
      <c r="C21" s="112" t="s">
        <v>219</v>
      </c>
      <c r="D21" s="112"/>
      <c r="E21" s="112">
        <v>0.127</v>
      </c>
      <c r="F21" s="119">
        <f>'Veri Sayfası - 1'!$C$11</f>
        <v>0</v>
      </c>
      <c r="G21" s="113"/>
      <c r="H21" s="114"/>
      <c r="I21" s="114">
        <f t="shared" si="0"/>
        <v>0</v>
      </c>
      <c r="J21" s="114"/>
      <c r="K21" s="112"/>
      <c r="L21" s="112"/>
      <c r="M21" s="417"/>
    </row>
    <row r="22" spans="1:13" ht="47.25" customHeight="1" x14ac:dyDescent="0.25">
      <c r="A22" s="173"/>
      <c r="B22" s="173"/>
      <c r="C22" s="173"/>
      <c r="D22" s="173"/>
      <c r="E22" s="173"/>
      <c r="F22" s="173"/>
      <c r="G22" s="173"/>
      <c r="H22" s="116" t="s">
        <v>121</v>
      </c>
      <c r="I22" s="117">
        <f>SUM(I6:I21)</f>
        <v>0</v>
      </c>
      <c r="J22" s="118">
        <f>I22*1.04</f>
        <v>0</v>
      </c>
      <c r="K22" s="118"/>
      <c r="L22" s="118"/>
      <c r="M22" s="173"/>
    </row>
  </sheetData>
  <mergeCells count="11">
    <mergeCell ref="B3:D3"/>
    <mergeCell ref="E3:F3"/>
    <mergeCell ref="G3:M3"/>
    <mergeCell ref="B4:M4"/>
    <mergeCell ref="M6:M21"/>
    <mergeCell ref="B1:D1"/>
    <mergeCell ref="E1:F1"/>
    <mergeCell ref="G1:M1"/>
    <mergeCell ref="B2:D2"/>
    <mergeCell ref="E2:F2"/>
    <mergeCell ref="G2:M2"/>
  </mergeCells>
  <printOptions horizontalCentered="1" verticalCentered="1"/>
  <pageMargins left="0.25" right="0.2" top="0" bottom="0" header="0.3" footer="0.3"/>
  <pageSetup paperSize="9" scale="51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"/>
  <sheetViews>
    <sheetView topLeftCell="A10" workbookViewId="0">
      <selection activeCell="F10" sqref="F10"/>
    </sheetView>
  </sheetViews>
  <sheetFormatPr defaultRowHeight="15" x14ac:dyDescent="0.25"/>
  <cols>
    <col min="1" max="1" width="15.140625" customWidth="1"/>
    <col min="2" max="2" width="14.85546875" style="61" bestFit="1" customWidth="1"/>
    <col min="3" max="3" width="50.42578125" bestFit="1" customWidth="1"/>
    <col min="5" max="5" width="12.28515625" style="171" customWidth="1"/>
    <col min="6" max="6" width="16.7109375" customWidth="1"/>
  </cols>
  <sheetData>
    <row r="1" spans="1:6" x14ac:dyDescent="0.25">
      <c r="B1" s="61" t="s">
        <v>19</v>
      </c>
      <c r="C1" t="s">
        <v>20</v>
      </c>
      <c r="D1" t="s">
        <v>21</v>
      </c>
      <c r="E1" s="171" t="s">
        <v>22</v>
      </c>
    </row>
    <row r="2" spans="1:6" x14ac:dyDescent="0.25">
      <c r="A2" t="s">
        <v>264</v>
      </c>
      <c r="B2" s="61" t="s">
        <v>64</v>
      </c>
      <c r="C2" t="s">
        <v>65</v>
      </c>
      <c r="D2" t="s">
        <v>18</v>
      </c>
      <c r="F2" t="s">
        <v>264</v>
      </c>
    </row>
    <row r="3" spans="1:6" x14ac:dyDescent="0.25">
      <c r="A3" t="s">
        <v>265</v>
      </c>
      <c r="B3" s="61" t="s">
        <v>66</v>
      </c>
      <c r="C3" t="s">
        <v>67</v>
      </c>
      <c r="D3" t="s">
        <v>18</v>
      </c>
      <c r="F3" t="s">
        <v>265</v>
      </c>
    </row>
    <row r="4" spans="1:6" x14ac:dyDescent="0.25">
      <c r="A4" t="s">
        <v>266</v>
      </c>
      <c r="B4" s="61" t="s">
        <v>68</v>
      </c>
      <c r="C4" t="s">
        <v>69</v>
      </c>
      <c r="D4" t="s">
        <v>18</v>
      </c>
      <c r="F4" t="s">
        <v>266</v>
      </c>
    </row>
    <row r="5" spans="1:6" x14ac:dyDescent="0.25">
      <c r="A5" t="s">
        <v>267</v>
      </c>
      <c r="B5" s="61" t="s">
        <v>70</v>
      </c>
      <c r="C5" t="s">
        <v>71</v>
      </c>
      <c r="D5" t="s">
        <v>18</v>
      </c>
      <c r="F5" t="s">
        <v>267</v>
      </c>
    </row>
    <row r="6" spans="1:6" x14ac:dyDescent="0.25">
      <c r="A6" t="s">
        <v>268</v>
      </c>
      <c r="B6" s="61" t="s">
        <v>72</v>
      </c>
      <c r="C6" t="s">
        <v>73</v>
      </c>
      <c r="D6" t="s">
        <v>18</v>
      </c>
      <c r="F6" t="s">
        <v>268</v>
      </c>
    </row>
    <row r="7" spans="1:6" x14ac:dyDescent="0.25">
      <c r="A7" t="s">
        <v>269</v>
      </c>
      <c r="B7" s="61" t="s">
        <v>74</v>
      </c>
      <c r="C7" t="s">
        <v>75</v>
      </c>
      <c r="D7" t="s">
        <v>18</v>
      </c>
      <c r="F7" t="s">
        <v>269</v>
      </c>
    </row>
    <row r="8" spans="1:6" x14ac:dyDescent="0.25">
      <c r="A8" t="s">
        <v>270</v>
      </c>
      <c r="B8" s="61" t="s">
        <v>76</v>
      </c>
      <c r="C8" t="s">
        <v>77</v>
      </c>
      <c r="D8" t="s">
        <v>18</v>
      </c>
      <c r="F8" t="s">
        <v>270</v>
      </c>
    </row>
    <row r="9" spans="1:6" x14ac:dyDescent="0.25">
      <c r="A9" t="s">
        <v>271</v>
      </c>
      <c r="B9" s="61" t="s">
        <v>78</v>
      </c>
      <c r="C9" t="s">
        <v>79</v>
      </c>
      <c r="D9" t="s">
        <v>18</v>
      </c>
      <c r="F9" t="s">
        <v>271</v>
      </c>
    </row>
    <row r="10" spans="1:6" x14ac:dyDescent="0.25">
      <c r="A10" t="s">
        <v>272</v>
      </c>
      <c r="B10" s="61" t="s">
        <v>80</v>
      </c>
      <c r="C10" t="s">
        <v>81</v>
      </c>
      <c r="D10" t="s">
        <v>18</v>
      </c>
      <c r="F10" t="s">
        <v>272</v>
      </c>
    </row>
    <row r="11" spans="1:6" x14ac:dyDescent="0.25">
      <c r="A11" t="s">
        <v>273</v>
      </c>
      <c r="B11" s="61" t="s">
        <v>82</v>
      </c>
      <c r="C11" t="s">
        <v>83</v>
      </c>
      <c r="D11" t="s">
        <v>84</v>
      </c>
      <c r="F11" t="s">
        <v>273</v>
      </c>
    </row>
    <row r="12" spans="1:6" x14ac:dyDescent="0.25">
      <c r="A12" t="s">
        <v>274</v>
      </c>
      <c r="B12" s="62" t="s">
        <v>104</v>
      </c>
      <c r="C12" t="s">
        <v>85</v>
      </c>
      <c r="D12" t="s">
        <v>18</v>
      </c>
      <c r="F12" t="s">
        <v>274</v>
      </c>
    </row>
    <row r="13" spans="1:6" x14ac:dyDescent="0.25">
      <c r="A13" t="s">
        <v>275</v>
      </c>
      <c r="B13" s="61" t="s">
        <v>86</v>
      </c>
      <c r="C13" t="s">
        <v>234</v>
      </c>
      <c r="D13" t="s">
        <v>18</v>
      </c>
      <c r="F13" t="s">
        <v>275</v>
      </c>
    </row>
    <row r="14" spans="1:6" x14ac:dyDescent="0.25">
      <c r="A14" t="s">
        <v>276</v>
      </c>
      <c r="B14" s="61" t="s">
        <v>88</v>
      </c>
      <c r="C14" t="s">
        <v>89</v>
      </c>
      <c r="D14" t="s">
        <v>18</v>
      </c>
      <c r="F14" t="s">
        <v>276</v>
      </c>
    </row>
    <row r="15" spans="1:6" x14ac:dyDescent="0.25">
      <c r="A15" t="s">
        <v>277</v>
      </c>
      <c r="B15" s="61" t="s">
        <v>90</v>
      </c>
      <c r="C15" t="s">
        <v>91</v>
      </c>
      <c r="D15" t="s">
        <v>18</v>
      </c>
      <c r="F15" t="s">
        <v>277</v>
      </c>
    </row>
    <row r="16" spans="1:6" x14ac:dyDescent="0.25">
      <c r="A16" t="s">
        <v>278</v>
      </c>
      <c r="B16" s="61" t="s">
        <v>92</v>
      </c>
      <c r="C16" t="s">
        <v>93</v>
      </c>
      <c r="D16" t="s">
        <v>18</v>
      </c>
      <c r="F16" t="s">
        <v>278</v>
      </c>
    </row>
    <row r="17" spans="1:6" x14ac:dyDescent="0.25">
      <c r="A17" t="s">
        <v>279</v>
      </c>
      <c r="B17" s="61" t="s">
        <v>94</v>
      </c>
      <c r="C17" t="s">
        <v>95</v>
      </c>
      <c r="D17" t="s">
        <v>18</v>
      </c>
      <c r="F17" t="s">
        <v>279</v>
      </c>
    </row>
    <row r="18" spans="1:6" x14ac:dyDescent="0.25">
      <c r="A18" t="s">
        <v>280</v>
      </c>
      <c r="B18" s="61" t="s">
        <v>96</v>
      </c>
      <c r="C18" t="s">
        <v>235</v>
      </c>
      <c r="D18" t="s">
        <v>84</v>
      </c>
      <c r="F18" t="s">
        <v>280</v>
      </c>
    </row>
    <row r="19" spans="1:6" x14ac:dyDescent="0.25">
      <c r="A19" t="s">
        <v>263</v>
      </c>
      <c r="B19" s="61" t="s">
        <v>263</v>
      </c>
      <c r="C19" t="s">
        <v>98</v>
      </c>
      <c r="D19" t="s">
        <v>84</v>
      </c>
      <c r="F19" t="s">
        <v>263</v>
      </c>
    </row>
    <row r="20" spans="1:6" x14ac:dyDescent="0.25">
      <c r="A20" t="s">
        <v>281</v>
      </c>
      <c r="B20" s="61" t="s">
        <v>99</v>
      </c>
      <c r="C20" t="s">
        <v>100</v>
      </c>
      <c r="D20" t="s">
        <v>151</v>
      </c>
      <c r="F20" t="s">
        <v>281</v>
      </c>
    </row>
    <row r="21" spans="1:6" x14ac:dyDescent="0.25">
      <c r="A21" t="s">
        <v>282</v>
      </c>
      <c r="B21" s="61" t="s">
        <v>102</v>
      </c>
      <c r="C21" t="s">
        <v>103</v>
      </c>
      <c r="D21" t="s">
        <v>18</v>
      </c>
      <c r="F21" t="s">
        <v>282</v>
      </c>
    </row>
    <row r="22" spans="1:6" x14ac:dyDescent="0.25">
      <c r="A22" t="s">
        <v>283</v>
      </c>
      <c r="B22" s="61" t="s">
        <v>105</v>
      </c>
      <c r="C22" t="s">
        <v>106</v>
      </c>
      <c r="D22" t="s">
        <v>18</v>
      </c>
      <c r="F22" t="s">
        <v>283</v>
      </c>
    </row>
    <row r="23" spans="1:6" x14ac:dyDescent="0.25">
      <c r="A23" t="s">
        <v>284</v>
      </c>
      <c r="B23" s="61" t="s">
        <v>107</v>
      </c>
      <c r="C23" t="s">
        <v>108</v>
      </c>
      <c r="D23" t="s">
        <v>18</v>
      </c>
      <c r="F23" t="s">
        <v>284</v>
      </c>
    </row>
    <row r="24" spans="1:6" x14ac:dyDescent="0.25">
      <c r="A24" t="s">
        <v>285</v>
      </c>
      <c r="B24" s="61" t="s">
        <v>109</v>
      </c>
      <c r="C24" t="s">
        <v>236</v>
      </c>
      <c r="D24" t="s">
        <v>18</v>
      </c>
      <c r="F24" t="s">
        <v>285</v>
      </c>
    </row>
    <row r="25" spans="1:6" x14ac:dyDescent="0.25">
      <c r="A25" t="s">
        <v>286</v>
      </c>
      <c r="B25" s="61" t="s">
        <v>111</v>
      </c>
      <c r="C25" t="s">
        <v>237</v>
      </c>
      <c r="D25" t="s">
        <v>18</v>
      </c>
      <c r="F25" t="s">
        <v>286</v>
      </c>
    </row>
    <row r="26" spans="1:6" x14ac:dyDescent="0.25">
      <c r="A26" t="s">
        <v>287</v>
      </c>
      <c r="B26" s="61" t="s">
        <v>113</v>
      </c>
      <c r="C26" t="s">
        <v>114</v>
      </c>
      <c r="D26" t="s">
        <v>18</v>
      </c>
      <c r="F26" t="s">
        <v>287</v>
      </c>
    </row>
    <row r="27" spans="1:6" x14ac:dyDescent="0.25">
      <c r="A27" t="s">
        <v>288</v>
      </c>
      <c r="B27" s="61" t="s">
        <v>134</v>
      </c>
      <c r="C27" t="s">
        <v>135</v>
      </c>
      <c r="D27" t="s">
        <v>18</v>
      </c>
      <c r="F27" t="s">
        <v>288</v>
      </c>
    </row>
    <row r="28" spans="1:6" x14ac:dyDescent="0.25">
      <c r="A28" t="s">
        <v>289</v>
      </c>
      <c r="B28" s="61" t="s">
        <v>138</v>
      </c>
      <c r="C28" t="s">
        <v>139</v>
      </c>
      <c r="D28" t="s">
        <v>18</v>
      </c>
      <c r="F28" t="s">
        <v>289</v>
      </c>
    </row>
    <row r="29" spans="1:6" x14ac:dyDescent="0.25">
      <c r="A29" t="s">
        <v>290</v>
      </c>
      <c r="B29" s="61" t="s">
        <v>136</v>
      </c>
      <c r="C29" t="s">
        <v>238</v>
      </c>
      <c r="D29" t="s">
        <v>18</v>
      </c>
      <c r="F29" t="s">
        <v>290</v>
      </c>
    </row>
    <row r="30" spans="1:6" x14ac:dyDescent="0.25">
      <c r="A30" t="s">
        <v>291</v>
      </c>
      <c r="B30" s="61" t="s">
        <v>115</v>
      </c>
      <c r="C30" t="s">
        <v>116</v>
      </c>
      <c r="D30" t="s">
        <v>117</v>
      </c>
      <c r="F30" t="s">
        <v>291</v>
      </c>
    </row>
    <row r="31" spans="1:6" x14ac:dyDescent="0.25">
      <c r="A31" t="s">
        <v>292</v>
      </c>
      <c r="B31" s="61" t="s">
        <v>143</v>
      </c>
      <c r="C31" t="s">
        <v>144</v>
      </c>
      <c r="D31" t="s">
        <v>84</v>
      </c>
      <c r="F31" t="s">
        <v>292</v>
      </c>
    </row>
    <row r="32" spans="1:6" x14ac:dyDescent="0.25">
      <c r="A32" t="s">
        <v>293</v>
      </c>
      <c r="B32" s="61" t="s">
        <v>118</v>
      </c>
      <c r="C32" t="s">
        <v>239</v>
      </c>
      <c r="D32" t="s">
        <v>240</v>
      </c>
      <c r="F32" t="s">
        <v>293</v>
      </c>
    </row>
    <row r="33" spans="1:6" ht="15.75" thickBot="1" x14ac:dyDescent="0.3">
      <c r="A33" t="s">
        <v>294</v>
      </c>
      <c r="B33" s="61" t="s">
        <v>152</v>
      </c>
      <c r="C33" t="s">
        <v>241</v>
      </c>
      <c r="D33" t="s">
        <v>240</v>
      </c>
      <c r="F33" t="s">
        <v>294</v>
      </c>
    </row>
    <row r="34" spans="1:6" x14ac:dyDescent="0.25">
      <c r="A34" t="s">
        <v>295</v>
      </c>
      <c r="B34" s="96" t="s">
        <v>148</v>
      </c>
      <c r="C34" s="97" t="s">
        <v>242</v>
      </c>
      <c r="D34" s="97" t="s">
        <v>18</v>
      </c>
      <c r="F34" t="s">
        <v>295</v>
      </c>
    </row>
    <row r="35" spans="1:6" ht="15.75" thickBot="1" x14ac:dyDescent="0.3">
      <c r="B35" s="98" t="s">
        <v>141</v>
      </c>
      <c r="C35" s="99" t="s">
        <v>142</v>
      </c>
      <c r="D35" s="99" t="s">
        <v>18</v>
      </c>
      <c r="E35" s="172"/>
    </row>
    <row r="36" spans="1:6" x14ac:dyDescent="0.25">
      <c r="B36" s="62"/>
    </row>
    <row r="37" spans="1:6" x14ac:dyDescent="0.25">
      <c r="B37" s="62"/>
    </row>
    <row r="38" spans="1:6" x14ac:dyDescent="0.25">
      <c r="B38" s="62"/>
    </row>
  </sheetData>
  <conditionalFormatting sqref="C2:C45">
    <cfRule type="duplicateValues" dxfId="1" priority="20"/>
  </conditionalFormatting>
  <conditionalFormatting sqref="E2:E136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11</vt:i4>
      </vt:variant>
      <vt:variant>
        <vt:lpstr>Zone denumite</vt:lpstr>
      </vt:variant>
      <vt:variant>
        <vt:i4>6</vt:i4>
      </vt:variant>
    </vt:vector>
  </HeadingPairs>
  <TitlesOfParts>
    <vt:vector size="17" baseType="lpstr">
      <vt:lpstr>ANA SAYFA</vt:lpstr>
      <vt:lpstr>Veri Sayfası - 1</vt:lpstr>
      <vt:lpstr>Veri Sayfası - 2</vt:lpstr>
      <vt:lpstr>TASLAK MALİYET</vt:lpstr>
      <vt:lpstr>3 RAIL (3 PANEL) - POZ X</vt:lpstr>
      <vt:lpstr>3 RAIL (2 PANEL) - POZ X</vt:lpstr>
      <vt:lpstr>3 RAIL (3+3 PANEL) - POZ X</vt:lpstr>
      <vt:lpstr>3 RAIL (2+2 PANEL FIX) - POZ X </vt:lpstr>
      <vt:lpstr>MALİYET HESAPLAMA</vt:lpstr>
      <vt:lpstr>Sayfa1</vt:lpstr>
      <vt:lpstr>Sürme Malzeme Listesi</vt:lpstr>
      <vt:lpstr>'3 RAIL (2 PANEL) - POZ X'!Zona_de_imprimat</vt:lpstr>
      <vt:lpstr>'3 RAIL (2+2 PANEL FIX) - POZ X '!Zona_de_imprimat</vt:lpstr>
      <vt:lpstr>'3 RAIL (3 PANEL) - POZ X'!Zona_de_imprimat</vt:lpstr>
      <vt:lpstr>'3 RAIL (3+3 PANEL) - POZ X'!Zona_de_imprimat</vt:lpstr>
      <vt:lpstr>'ANA SAYFA'!Zona_de_imprimat</vt:lpstr>
      <vt:lpstr>'MALİYET HESAPLAMA'!Zona_de_imprimat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2026-02-24T07:59:15Z</dcterms:modified>
</cp:coreProperties>
</file>