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21103f441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75724d162ec4a89"/>
    <x:sheet xmlns:r="http://schemas.openxmlformats.org/officeDocument/2006/relationships" name="Config" sheetId="2" r:id="R8da797b6ab454865"/>
    <x:sheet xmlns:r="http://schemas.openxmlformats.org/officeDocument/2006/relationships" name="Batch_Log" sheetId="3" r:id="R39c21814f5e144af"/>
    <x:sheet xmlns:r="http://schemas.openxmlformats.org/officeDocument/2006/relationships" name="Dashboard" sheetId="4" r:id="R3d21c2aca3eb41d1"/>
  </x:sheets>
  <x:definedNames>
    <x:definedName name="_xlnm._FilterDatabase" localSheetId="1" hidden="1">'Config'!$A$1:$Y$4</x:definedName>
    <x:definedName name="_xlnm._FilterDatabase" localSheetId="2" hidden="1">'Batch_Log'!$A$1:$BL$201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A2" authorId="0">
      <x:text>
        <x:r>
          <x:t>Editable profile ID used in Batch_Log dropdown.</x:t>
        </x:r>
      </x:text>
    </x:comment>
    <x:comment ref="T2" authorId="0">
      <x:text>
        <x:r>
          <x:t>Оставлено пустым там, где публичный числовой лимит не найден; пустое значение в модели означает 'не проверять'.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1" authorId="0">
      <x:text>
        <x:r>
          <x:t>Выберите профиль сети. Профили и пороги редактируются на листе Config.</x:t>
        </x:r>
      </x:text>
    </x:comment>
    <x:comment ref="BL1" authorId="0">
      <x:text>
        <x:r>
          <x:t>Decision: REJECT при критических отказах; иначе ACCEPT, если все тесты пройдены; иначе ACCEPT WITH SORTING / DISCOUNT при score &gt;=85.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.mm.yyyy"/>
    <x:numFmt numFmtId="165" formatCode="0.0"/>
  </x:numFmts>
  <x:fonts count="8">
    <x:font>
      <x:sz val="11"/>
      <x:color theme="1"/>
      <x:name val="Calibri"/>
      <x:family val="2"/>
      <x:scheme val="minor"/>
    </x:font>
    <x:font>
      <x:b/>
      <x:sz val="16"/>
    </x:font>
    <x:font>
      <x:b/>
      <x:color rgb="00FFFFFF"/>
    </x:font>
    <x:font>
      <x:color rgb="00008000"/>
    </x:font>
    <x:font>
      <x:color rgb="000000FF"/>
    </x:font>
    <x:font>
      <x:color rgb="00808080"/>
    </x:font>
    <x:font>
      <x:color rgb="00000000"/>
    </x:font>
    <x:font>
      <x:b/>
    </x:font>
  </x:fonts>
  <x:fills count="8">
    <x:fill>
      <x:patternFill patternType="none"/>
    </x:fill>
    <x:fill>
      <x:patternFill patternType="gray125"/>
    </x:fill>
    <x:fill>
      <x:patternFill patternType="solid">
        <x:fgColor rgb="000F172A"/>
      </x:patternFill>
    </x:fill>
    <x:fill>
      <x:patternFill patternType="solid">
        <x:fgColor rgb="00FFEDD5"/>
      </x:patternFill>
    </x:fill>
    <x:fill>
      <x:patternFill patternType="solid">
        <x:fgColor rgb="00FFF7ED"/>
      </x:patternFill>
    </x:fill>
    <x:fill>
      <x:patternFill patternType="solid">
        <x:fgColor rgb="00EFF6FF"/>
      </x:patternFill>
    </x:fill>
    <x:fill>
      <x:patternFill patternType="solid">
        <x:fgColor rgb="00F8FAFC"/>
      </x:patternFill>
    </x:fill>
    <x:fill>
      <x:patternFill patternType="solid">
        <x:fgColor rgb="00CCFBF1"/>
      </x:patternFill>
    </x:fill>
  </x:fills>
  <x:borders count="2">
    <x:border>
      <x:left/>
      <x:right/>
      <x:top/>
      <x:bottom/>
      <x:diagonal/>
    </x:border>
    <x:border>
      <x:left style="thin">
        <x:color rgb="00CBD5E1"/>
      </x:left>
      <x:right style="thin">
        <x:color rgb="00CBD5E1"/>
      </x:right>
      <x:top style="thin">
        <x:color rgb="00CBD5E1"/>
      </x:top>
      <x:bottom style="thin">
        <x:color rgb="00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/>
    <x:xf numFmtId="0" fontId="2" fillId="2" borderId="0" xfId="0"/>
    <x:xf numFmtId="0" fontId="0" fillId="3" borderId="0" xfId="0"/>
    <x:xf numFmtId="0" fontId="0" fillId="4" borderId="0" xfId="0" applyAlignment="1">
      <x:alignment wrapText="1"/>
    </x:xf>
    <x:xf numFmtId="0" fontId="3" fillId="0" borderId="0" xfId="0"/>
    <x:xf numFmtId="0" fontId="2" fillId="2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5" fillId="6" borderId="1" xfId="0" applyAlignment="1">
      <x:alignment vertical="top" wrapText="1"/>
    </x:xf>
    <x:xf numFmtId="164" fontId="4" fillId="5" borderId="1" xfId="0" applyAlignment="1">
      <x:alignment vertical="center" wrapText="1"/>
    </x:xf>
    <x:xf numFmtId="0" fontId="4" fillId="5" borderId="1" xfId="0" applyAlignment="1">
      <x:alignment vertical="center" wrapText="1"/>
    </x:xf>
    <x:xf numFmtId="165" fontId="4" fillId="5" borderId="1" xfId="0" applyAlignment="1">
      <x:alignment vertical="center" wrapText="1"/>
    </x:xf>
    <x:xf numFmtId="0" fontId="6" fillId="6" borderId="1" xfId="0" applyAlignment="1">
      <x:alignment vertical="center" wrapText="1"/>
    </x:xf>
    <x:xf numFmtId="165" fontId="6" fillId="6" borderId="1" xfId="0" applyAlignment="1">
      <x:alignment vertical="center" wrapText="1"/>
    </x:xf>
    <x:xf numFmtId="1" fontId="6" fillId="6" borderId="1" xfId="0" applyAlignment="1">
      <x:alignment vertical="center" wrapText="1"/>
    </x:xf>
    <x:xf numFmtId="0" fontId="7" fillId="6" borderId="1" xfId="0"/>
    <x:xf numFmtId="0" fontId="6" fillId="7" borderId="1" xfId="0"/>
    <x:xf numFmtId="0" fontId="2" fillId="2" borderId="1" xfId="0"/>
    <x:xf numFmtId="0" fontId="0" fillId="0" borderId="1" xfId="0" applyAlignment="1">
      <x:alignment wrapText="1"/>
    </x:xf>
  </x:cellXfs>
  <x:cellStyles count="1">
    <x:cellStyle name="Normal" xfId="0"/>
  </x:cellStyles>
  <x:dxfs count="3">
    <x:dxf>
      <x:fill>
        <x:patternFill>
          <x:bgColor rgb="00DCFCE7"/>
        </x:patternFill>
      </x:fill>
    </x:dxf>
    <x:dxf>
      <x:fill>
        <x:patternFill>
          <x:bgColor rgb="00FFEDD5"/>
        </x:patternFill>
      </x:fill>
    </x:dxf>
    <x:dxf>
      <x:fill>
        <x:patternFill>
          <x:bgColor rgb="00FE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aaed5386724a5e" /><Relationship Type="http://schemas.openxmlformats.org/officeDocument/2006/relationships/theme" Target="/xl/theme/theme1.xml" Id="R7dbfb65a32fb4a86" /><Relationship Type="http://schemas.openxmlformats.org/officeDocument/2006/relationships/sharedStrings" Target="/xl/sharedStrings.xml" Id="R31596f7f4a7d4f33" /><Relationship Type="http://schemas.openxmlformats.org/officeDocument/2006/relationships/worksheet" Target="/xl/worksheets/sheet1.xml" Id="Ra75724d162ec4a89" /><Relationship Type="http://schemas.openxmlformats.org/officeDocument/2006/relationships/worksheet" Target="/xl/worksheets/sheet2.xml" Id="R8da797b6ab454865" /><Relationship Type="http://schemas.openxmlformats.org/officeDocument/2006/relationships/worksheet" Target="/xl/worksheets/sheet3.xml" Id="R39c21814f5e144af" /><Relationship Type="http://schemas.openxmlformats.org/officeDocument/2006/relationships/worksheet" Target="/xl/worksheets/sheet4.xml" Id="R3d21c2aca3eb41d1" /><Relationship Type="http://schemas.microsoft.com/office/2017/10/relationships/person" Target="/xl/persons/person.xml" Id="R565b6ddf5ae84f2c" /></Relationships>
</file>

<file path=xl/persons/person.xml><?xml version="1.0" encoding="utf-8"?>
<xltc:personList xmlns:xltc="http://schemas.microsoft.com/office/spreadsheetml/2018/threadedcomments">
  <xltc:person displayName="OpenAI" id="{9268236F-AC5B-07E9-7808-93A719A98B6B}"/>
  <xltc:person displayName="OpenAI" id="{A96FA30D-57F2-19F1-EFE6-B6730E82080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7c55840a0324813" /><Relationship Type="http://schemas.openxmlformats.org/officeDocument/2006/relationships/vmlDrawing" Target="/xl/drawings/vmldrawing.vml" Id="Rff0a12f8d7b34e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a457cbf39d544457" /><Relationship Type="http://schemas.openxmlformats.org/officeDocument/2006/relationships/vmlDrawing" Target="/xl/drawings/vmldrawing2.vml" Id="Ra883fa11debd44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0" customWidth="1"/>
  </x:cols>
  <x:sheetData>
    <x:row r="1" ht="22" customHeight="1">
      <x:c r="A1" s="1" t="inlineStr">
        <x:is>
          <x:t xml:space="preserve">Модель приемки партии фруктов — Молдова / retail</x:t>
        </x:is>
      </x:c>
    </x:row>
    <x:row r="2" ht="22" customHeight="1"/>
    <x:row r="3" ht="22" customHeight="1">
      <x:c r="A3" s="2" t="inlineStr">
        <x:is>
          <x:t xml:space="preserve">Что внутри</x:t>
        </x:is>
      </x:c>
    </x:row>
    <x:row r="4" ht="22" customHeight="1">
      <x:c r="A4" t="inlineStr">
        <x:is>
          <x:t xml:space="preserve">1) Config — редактируемые профили порогов по сетям.</x:t>
        </x:is>
      </x:c>
    </x:row>
    <x:row r="5" ht="22" customHeight="1">
      <x:c r="A5" t="inlineStr">
        <x:is>
          <x:t xml:space="preserve">2) Batch_Log — журнал партий и автоматическое решение ACCEPT / ACCEPT WITH SORTING / REJECT.</x:t>
        </x:is>
      </x:c>
    </x:row>
    <x:row r="6" ht="22" customHeight="1">
      <x:c r="A6" t="inlineStr">
        <x:is>
          <x:t xml:space="preserve">3) Dashboard — сводка по решениям и среднему баллу.</x:t>
        </x:is>
      </x:c>
    </x:row>
    <x:row r="7" ht="22" customHeight="1"/>
    <x:row r="8" ht="22" customHeight="1">
      <x:c r="A8" s="2" t="inlineStr">
        <x:is>
          <x:t xml:space="preserve">Как использовать</x:t>
        </x:is>
      </x:c>
    </x:row>
    <x:row r="9" ht="22" customHeight="1">
      <x:c r="A9" t="inlineStr">
        <x:is>
          <x:t xml:space="preserve">• Выберите профиль сети в колонке C листа Batch_Log.</x:t>
        </x:is>
      </x:c>
    </x:row>
    <x:row r="10" ht="22" customHeight="1">
      <x:c r="A10" t="inlineStr">
        <x:is>
          <x:t xml:space="preserve">• Заполните только синие входные поля (дата, поставщик, калибр, дефекты, температура, документы и т.д.).</x:t>
        </x:is>
      </x:c>
    </x:row>
    <x:row r="11" ht="22" customHeight="1">
      <x:c r="A11" t="inlineStr">
        <x:is>
          <x:t xml:space="preserve">• Черные колонки считаются автоматически через формулы.</x:t>
        </x:is>
      </x:c>
    </x:row>
    <x:row r="12" ht="22" customHeight="1">
      <x:c r="A12" t="inlineStr">
        <x:is>
          <x:t xml:space="preserve">• Поля в Config — редактируемые. Замените публичные допущения официальным annex сети, когда он у вас будет.</x:t>
        </x:is>
      </x:c>
    </x:row>
    <x:row r="13" ht="22" customHeight="1">
      <x:c r="A13" t="inlineStr">
        <x:is>
          <x:t xml:space="preserve">• Решение REJECT срабатывает при критических отказах (например, серьезные дефекты, температура, документы или класс ниже требуемого).</x:t>
        </x:is>
      </x:c>
    </x:row>
    <x:row r="14" ht="22" customHeight="1"/>
    <x:row r="15" ht="22" customHeight="1"/>
    <x:row r="16" ht="22" customHeight="1">
      <x:c r="A16" s="3" t="inlineStr">
        <x:is>
          <x:t xml:space="preserve">Важно</x:t>
        </x:is>
      </x:c>
    </x:row>
    <x:row r="17" ht="56" customHeight="1">
      <x:c r="A17" s="4" t="inlineStr">
        <x:is>
          <x:t xml:space="preserve">Публичные числовые SKU-спецификации не всегда доступны. Для Kaufland публично хорошо подтверждены процессы, прослеживаемость и stricter-than-law pesticide policy; для METRO подтверждены процессы, а также есть групповой benchmark по остаткам; для Linella публично подтверждены общие требования и возврат несоответствующих партий, но не найден полный numeric supplier annex.</x:t>
        </x:is>
      </x:c>
    </x:row>
    <x:row r="18" ht="22" customHeight="1"/>
    <x:row r="19" ht="22" customHeight="1">
      <x:c r="A19" s="2" t="inlineStr">
        <x:is>
          <x:t xml:space="preserve">Plain URL sources</x:t>
        </x:is>
      </x:c>
    </x:row>
    <x:row r="20" ht="22" customHeight="1">
      <x:c r="A20" s="5" t="inlineStr">
        <x:is>
          <x:t xml:space="preserve">https://eur-lex.europa.eu/eli/reg_impl/2023/2429/oj/eng</x:t>
        </x:is>
      </x:c>
    </x:row>
    <x:row r="21" ht="22" customHeight="1">
      <x:c r="A21" s="5" t="inlineStr">
        <x:is>
          <x:t xml:space="preserve">https://www.legis.md/cautare/getResults?doc_id=148902&amp;lang=ro</x:t>
        </x:is>
      </x:c>
    </x:row>
    <x:row r="22" ht="22" customHeight="1">
      <x:c r="A22" s="5" t="inlineStr">
        <x:is>
          <x:t xml:space="preserve">https://ednc.md/en/content/fresh-fruits-and-vegetables</x:t>
        </x:is>
      </x:c>
    </x:row>
    <x:row r="23" ht="22" customHeight="1">
      <x:c r="A23" s="5" t="inlineStr">
        <x:is>
          <x:t xml:space="preserve">https://media.kaufland.com/images/PPIM/AP_Content_150/cr_450/1/9/6/1/1961588/3.0/Global-Supplier-Requirements-EN.pdf</x:t>
        </x:is>
      </x:c>
    </x:row>
    <x:row r="24" ht="22" customHeight="1">
      <x:c r="A24" s="5" t="inlineStr">
        <x:is>
          <x:t xml:space="preserve">https://unternehmen.kaufland.de/content/dam/kaufland/corporate/wer-wir-sind/lieferketten/tranparenzberichte/Obst-und-Gemuese-Transparenzbericht-2019.pdf</x:t>
        </x:is>
      </x:c>
    </x:row>
    <x:row r="25" ht="22" customHeight="1">
      <x:c r="A25" s="5" t="inlineStr">
        <x:is>
          <x:t xml:space="preserve">https://www.metro.md/despre-noi/metro-quality</x:t>
        </x:is>
      </x:c>
    </x:row>
    <x:row r="26" ht="22" customHeight="1">
      <x:c r="A26" s="5" t="inlineStr">
        <x:is>
          <x:t xml:space="preserve">https://responsibility.metroag.de/downloads/2019/CR/metro-cr19-appendix-en.pdf</x:t>
        </x:is>
      </x:c>
    </x:row>
    <x:row r="27" ht="22" customHeight="1">
      <x:c r="A27" s="5" t="inlineStr">
        <x:is>
          <x:t xml:space="preserve">https://www.freshplaza.com/europe/article/9761748/our-domestic-apple-season-has-begun-and-the-fruits-are-of-very-high-quality/</x:t>
        </x:is>
      </x:c>
    </x:row>
    <x:row r="28" ht="22" customHeight="1">
      <x:c r="A28" s="5" t="inlineStr">
        <x:is>
          <x:t xml:space="preserve">https://www.linella.md/misiunea-si-valorile</x:t>
        </x:is>
      </x:c>
    </x:row>
    <x:row r="29" ht="22" customHeight="1">
      <x:c r="A29" s="5" t="inlineStr">
        <x:is>
          <x:t xml:space="preserve">https://www.rvo.nl/sites/default/files/2025-06/Moldovan-Dutch-Horticulture-Opportunities-2025.pdf</x:t>
        </x:is>
      </x:c>
    </x:row>
    <x:row r="30" ht="22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3" max="3" width="24" customWidth="1"/>
    <x:col min="4" max="4" width="42" customWidth="1"/>
    <x:col min="5" max="5" width="14" customWidth="1"/>
    <x:col min="6" max="6" width="14" customWidth="1"/>
    <x:col min="7" max="7" width="14" customWidth="1"/>
    <x:col min="8" max="8" width="16" customWidth="1"/>
    <x:col min="9" max="9" width="18" customWidth="1"/>
    <x:col min="10" max="10" width="18" customWidth="1"/>
    <x:col min="11" max="11" width="16" customWidth="1"/>
    <x:col min="12" max="12" width="10" customWidth="1"/>
    <x:col min="13" max="13" width="10" customWidth="1"/>
    <x:col min="14" max="14" width="10" customWidth="1"/>
    <x:col min="15" max="15" width="12" customWidth="1"/>
    <x:col min="16" max="16" width="14" customWidth="1"/>
    <x:col min="17" max="17" width="14" customWidth="1"/>
    <x:col min="18" max="18" width="12" customWidth="1"/>
    <x:col min="19" max="19" width="14" customWidth="1"/>
    <x:col min="20" max="20" width="18" customWidth="1"/>
    <x:col min="21" max="21" width="20" customWidth="1"/>
    <x:col min="22" max="22" width="22" customWidth="1"/>
    <x:col min="23" max="23" width="20" customWidth="1"/>
    <x:col min="24" max="24" width="46" customWidth="1"/>
    <x:col min="25" max="25" width="52" customWidth="1"/>
  </x:cols>
  <x:sheetData>
    <x:row r="1" ht="28" customHeight="1">
      <x:c r="A1" s="6" t="inlineStr">
        <x:is>
          <x:t xml:space="preserve">Profile_ID</x:t>
        </x:is>
      </x:c>
      <x:c r="B1" s="6" t="inlineStr">
        <x:is>
          <x:t xml:space="preserve">Retailer</x:t>
        </x:is>
      </x:c>
      <x:c r="C1" s="6" t="inlineStr">
        <x:is>
          <x:t xml:space="preserve">Product_Group</x:t>
        </x:is>
      </x:c>
      <x:c r="D1" s="6" t="inlineStr">
        <x:is>
          <x:t xml:space="preserve">Basis</x:t>
        </x:is>
      </x:c>
      <x:c r="E1" s="6" t="inlineStr">
        <x:is>
          <x:t xml:space="preserve">Required_Class</x:t>
        </x:is>
      </x:c>
      <x:c r="F1" s="6" t="inlineStr">
        <x:is>
          <x:t xml:space="preserve">Allow_Class_II</x:t>
        </x:is>
      </x:c>
      <x:c r="G1" s="6" t="inlineStr">
        <x:is>
          <x:t xml:space="preserve">Min_Calibre_mm</x:t>
        </x:is>
      </x:c>
      <x:c r="H1" s="6" t="inlineStr">
        <x:is>
          <x:t xml:space="preserve">Max_Below_Min_%</x:t>
        </x:is>
      </x:c>
      <x:c r="I1" s="6" t="inlineStr">
        <x:is>
          <x:t xml:space="preserve">Max_Minor_Defects_%</x:t>
        </x:is>
      </x:c>
      <x:c r="J1" s="6" t="inlineStr">
        <x:is>
          <x:t xml:space="preserve">Max_Serious_Defects_%</x:t>
        </x:is>
      </x:c>
      <x:c r="K1" s="6" t="inlineStr">
        <x:is>
          <x:t xml:space="preserve">Max_Mixed_Size_%</x:t>
        </x:is>
      </x:c>
      <x:c r="L1" s="6" t="inlineStr">
        <x:is>
          <x:t xml:space="preserve">Min_Brix</x:t>
        </x:is>
      </x:c>
      <x:c r="M1" s="6" t="inlineStr">
        <x:is>
          <x:t xml:space="preserve">Temp_Min_C</x:t>
        </x:is>
      </x:c>
      <x:c r="N1" s="6" t="inlineStr">
        <x:is>
          <x:t xml:space="preserve">Temp_Max_C</x:t>
        </x:is>
      </x:c>
      <x:c r="O1" s="6" t="inlineStr">
        <x:is>
          <x:t xml:space="preserve">Lab_Req_YN</x:t>
        </x:is>
      </x:c>
      <x:c r="P1" s="6" t="inlineStr">
        <x:is>
          <x:t xml:space="preserve">Phyto_Req_YN</x:t>
        </x:is>
      </x:c>
      <x:c r="Q1" s="6" t="inlineStr">
        <x:is>
          <x:t xml:space="preserve">Trace_Req_YN</x:t>
        </x:is>
      </x:c>
      <x:c r="R1" s="6" t="inlineStr">
        <x:is>
          <x:t xml:space="preserve">Pack_Req_YN</x:t>
        </x:is>
      </x:c>
      <x:c r="S1" s="6" t="inlineStr">
        <x:is>
          <x:t xml:space="preserve">Label_Req_YN</x:t>
        </x:is>
      </x:c>
      <x:c r="T1" s="6" t="inlineStr">
        <x:is>
          <x:t xml:space="preserve">Max_Active_Ingredients</x:t>
        </x:is>
      </x:c>
      <x:c r="U1" s="6" t="inlineStr">
        <x:is>
          <x:t xml:space="preserve">Max_Single_Residue_%MRL</x:t>
        </x:is>
      </x:c>
      <x:c r="V1" s="6" t="inlineStr">
        <x:is>
          <x:t xml:space="preserve">Max_Total_Residue_Index_%</x:t>
        </x:is>
      </x:c>
      <x:c r="W1" s="6" t="inlineStr">
        <x:is>
          <x:t xml:space="preserve">Max_Glyphosate_%MRL</x:t>
        </x:is>
      </x:c>
      <x:c r="X1" s="6" t="inlineStr">
        <x:is>
          <x:t xml:space="preserve">Notes</x:t>
        </x:is>
      </x:c>
      <x:c r="Y1" s="6" t="inlineStr">
        <x:is>
          <x:t xml:space="preserve">Source_URL</x:t>
        </x:is>
      </x:c>
    </x:row>
    <x:row r="2" ht="36" customHeight="1">
      <x:c r="A2" s="7" t="inlineStr">
        <x:is>
          <x:t xml:space="preserve">KAUFLAND_PUBLIC_DEFAULT</x:t>
        </x:is>
      </x:c>
      <x:c r="B2" s="7" t="inlineStr">
        <x:is>
          <x:t xml:space="preserve">Kaufland Moldova</x:t>
        </x:is>
      </x:c>
      <x:c r="C2" s="7" t="inlineStr">
        <x:is>
          <x:t xml:space="preserve">Fresh fruit incl. apples</x:t>
        </x:is>
      </x:c>
      <x:c r="D2" s="7" t="inlineStr">
        <x:is>
          <x:t xml:space="preserve">Public process requirements + editable operational defaults</x:t>
        </x:is>
      </x:c>
      <x:c r="E2" s="8" t="inlineStr">
        <x:is>
          <x:t xml:space="preserve">I</x:t>
        </x:is>
      </x:c>
      <x:c r="F2" s="8" t="inlineStr">
        <x:is>
          <x:t xml:space="preserve">N</x:t>
        </x:is>
      </x:c>
      <x:c r="G2" s="8" t="n">
        <x:v>65</x:v>
      </x:c>
      <x:c r="H2" s="8" t="n">
        <x:v>5</x:v>
      </x:c>
      <x:c r="I2" s="8" t="n">
        <x:v>5</x:v>
      </x:c>
      <x:c r="J2" s="8" t="n">
        <x:v>1</x:v>
      </x:c>
      <x:c r="K2" s="8" t="n">
        <x:v>10</x:v>
      </x:c>
      <x:c r="L2" s="8" t="n">
        <x:v>10</x:v>
      </x:c>
      <x:c r="M2" s="8" t="n">
        <x:v>0</x:v>
      </x:c>
      <x:c r="N2" s="8" t="n">
        <x:v>6</x:v>
      </x:c>
      <x:c r="O2" s="8" t="inlineStr">
        <x:is>
          <x:t xml:space="preserve">Y</x:t>
        </x:is>
      </x:c>
      <x:c r="P2" s="8" t="inlineStr">
        <x:is>
          <x:t xml:space="preserve">Y</x:t>
        </x:is>
      </x:c>
      <x:c r="Q2" s="8" t="inlineStr">
        <x:is>
          <x:t xml:space="preserve">Y</x:t>
        </x:is>
      </x:c>
      <x:c r="R2" s="8" t="inlineStr">
        <x:is>
          <x:t xml:space="preserve">Y</x:t>
        </x:is>
      </x:c>
      <x:c r="S2" s="8" t="inlineStr">
        <x:is>
          <x:t xml:space="preserve">Y</x:t>
        </x:is>
      </x:c>
      <x:c r="T2" s="8" t="inlineStr">
        <x:is>
          <x:t xml:space="preserve"/>
        </x:is>
      </x:c>
      <x:c r="U2" s="8" t="inlineStr">
        <x:is>
          <x:t xml:space="preserve"/>
        </x:is>
      </x:c>
      <x:c r="V2" s="8" t="inlineStr">
        <x:is>
          <x:t xml:space="preserve"/>
        </x:is>
      </x:c>
      <x:c r="W2" s="8" t="inlineStr">
        <x:is>
          <x:t xml:space="preserve"/>
        </x:is>
      </x:c>
      <x:c r="X2" s="9" t="inlineStr">
        <x:is>
          <x:t xml:space="preserve">Поменять на официальный produce annex / pesticide annex при получении.</x:t>
        </x:is>
      </x:c>
      <x:c r="Y2" s="9" t="inlineStr">
        <x:is>
          <x:t xml:space="preserve">https://media.kaufland.com/images/PPIM/AP_Content_150/cr_450/1/9/6/1/1961588/3.0/Global-Supplier-Requirements-EN.pdf</x:t>
        </x:is>
      </x:c>
    </x:row>
    <x:row r="3" ht="36" customHeight="1">
      <x:c r="A3" s="7" t="inlineStr">
        <x:is>
          <x:t xml:space="preserve">METRO_GROUP_BENCHMARK</x:t>
        </x:is>
      </x:c>
      <x:c r="B3" s="7" t="inlineStr">
        <x:is>
          <x:t xml:space="preserve">METRO Moldova</x:t>
        </x:is>
      </x:c>
      <x:c r="C3" s="7" t="inlineStr">
        <x:is>
          <x:t xml:space="preserve">Fresh fruit incl. apples</x:t>
        </x:is>
      </x:c>
      <x:c r="D3" s="7" t="inlineStr">
        <x:is>
          <x:t xml:space="preserve">Metro Moldova public process controls + Metro Group public pesticide benchmark</x:t>
        </x:is>
      </x:c>
      <x:c r="E3" s="8" t="inlineStr">
        <x:is>
          <x:t xml:space="preserve">I</x:t>
        </x:is>
      </x:c>
      <x:c r="F3" s="8" t="inlineStr">
        <x:is>
          <x:t xml:space="preserve">N</x:t>
        </x:is>
      </x:c>
      <x:c r="G3" s="8" t="n">
        <x:v>65</x:v>
      </x:c>
      <x:c r="H3" s="8" t="n">
        <x:v>5</x:v>
      </x:c>
      <x:c r="I3" s="8" t="n">
        <x:v>5</x:v>
      </x:c>
      <x:c r="J3" s="8" t="n">
        <x:v>1</x:v>
      </x:c>
      <x:c r="K3" s="8" t="n">
        <x:v>10</x:v>
      </x:c>
      <x:c r="L3" s="8" t="n">
        <x:v>10</x:v>
      </x:c>
      <x:c r="M3" s="8" t="n">
        <x:v>0</x:v>
      </x:c>
      <x:c r="N3" s="8" t="n">
        <x:v>6</x:v>
      </x:c>
      <x:c r="O3" s="8" t="inlineStr">
        <x:is>
          <x:t xml:space="preserve">Y</x:t>
        </x:is>
      </x:c>
      <x:c r="P3" s="8" t="inlineStr">
        <x:is>
          <x:t xml:space="preserve">Y</x:t>
        </x:is>
      </x:c>
      <x:c r="Q3" s="8" t="inlineStr">
        <x:is>
          <x:t xml:space="preserve">Y</x:t>
        </x:is>
      </x:c>
      <x:c r="R3" s="8" t="inlineStr">
        <x:is>
          <x:t xml:space="preserve">Y</x:t>
        </x:is>
      </x:c>
      <x:c r="S3" s="8" t="inlineStr">
        <x:is>
          <x:t xml:space="preserve">Y</x:t>
        </x:is>
      </x:c>
      <x:c r="T3" s="8" t="n">
        <x:v>5</x:v>
      </x:c>
      <x:c r="U3" s="8" t="n">
        <x:v>50</x:v>
      </x:c>
      <x:c r="V3" s="8" t="n">
        <x:v>80</x:v>
      </x:c>
      <x:c r="W3" s="8" t="n">
        <x:v>20</x:v>
      </x:c>
      <x:c r="X3" s="9" t="inlineStr">
        <x:is>
          <x:t xml:space="preserve">Числовые pesticide limits взяты из опубликованного group benchmark; заменить локальным annex при наличии.</x:t>
        </x:is>
      </x:c>
      <x:c r="Y3" s="9" t="inlineStr">
        <x:is>
          <x:t xml:space="preserve">https://responsibility.metroag.de/downloads/2019/CR/metro-cr19-appendix-en.pdf</x:t>
        </x:is>
      </x:c>
    </x:row>
    <x:row r="4" ht="36" customHeight="1">
      <x:c r="A4" s="7" t="inlineStr">
        <x:is>
          <x:t xml:space="preserve">LINELLA_PUBLIC_DEFAULT</x:t>
        </x:is>
      </x:c>
      <x:c r="B4" s="7" t="inlineStr">
        <x:is>
          <x:t xml:space="preserve">Linella</x:t>
        </x:is>
      </x:c>
      <x:c r="C4" s="7" t="inlineStr">
        <x:is>
          <x:t xml:space="preserve">Fresh fruit incl. apples</x:t>
        </x:is>
      </x:c>
      <x:c r="D4" s="7" t="inlineStr">
        <x:is>
          <x:t xml:space="preserve">Public quality/freshness requirements + editable operational defaults</x:t>
        </x:is>
      </x:c>
      <x:c r="E4" s="8" t="inlineStr">
        <x:is>
          <x:t xml:space="preserve">I</x:t>
        </x:is>
      </x:c>
      <x:c r="F4" s="8" t="inlineStr">
        <x:is>
          <x:t xml:space="preserve">N</x:t>
        </x:is>
      </x:c>
      <x:c r="G4" s="8" t="n">
        <x:v>65</x:v>
      </x:c>
      <x:c r="H4" s="8" t="n">
        <x:v>5</x:v>
      </x:c>
      <x:c r="I4" s="8" t="n">
        <x:v>5</x:v>
      </x:c>
      <x:c r="J4" s="8" t="n">
        <x:v>1</x:v>
      </x:c>
      <x:c r="K4" s="8" t="n">
        <x:v>10</x:v>
      </x:c>
      <x:c r="L4" s="8" t="n">
        <x:v>10</x:v>
      </x:c>
      <x:c r="M4" s="8" t="n">
        <x:v>0</x:v>
      </x:c>
      <x:c r="N4" s="8" t="n">
        <x:v>6</x:v>
      </x:c>
      <x:c r="O4" s="8" t="inlineStr">
        <x:is>
          <x:t xml:space="preserve">N</x:t>
        </x:is>
      </x:c>
      <x:c r="P4" s="8" t="inlineStr">
        <x:is>
          <x:t xml:space="preserve">Y</x:t>
        </x:is>
      </x:c>
      <x:c r="Q4" s="8" t="inlineStr">
        <x:is>
          <x:t xml:space="preserve">Y</x:t>
        </x:is>
      </x:c>
      <x:c r="R4" s="8" t="inlineStr">
        <x:is>
          <x:t xml:space="preserve">Y</x:t>
        </x:is>
      </x:c>
      <x:c r="S4" s="8" t="inlineStr">
        <x:is>
          <x:t xml:space="preserve">Y</x:t>
        </x:is>
      </x:c>
      <x:c r="T4" s="8" t="inlineStr">
        <x:is>
          <x:t xml:space="preserve"/>
        </x:is>
      </x:c>
      <x:c r="U4" s="8" t="inlineStr">
        <x:is>
          <x:t xml:space="preserve"/>
        </x:is>
      </x:c>
      <x:c r="V4" s="8" t="inlineStr">
        <x:is>
          <x:t xml:space="preserve"/>
        </x:is>
      </x:c>
      <x:c r="W4" s="8" t="inlineStr">
        <x:is>
          <x:t xml:space="preserve"/>
        </x:is>
      </x:c>
      <x:c r="X4" s="9" t="inlineStr">
        <x:is>
          <x:t xml:space="preserve">В публичном доступе не найден полный numeric supplier annex; параметры редактируемые.</x:t>
        </x:is>
      </x:c>
      <x:c r="Y4" s="9" t="inlineStr">
        <x:is>
          <x:t xml:space="preserve">https://www.freshplaza.com/europe/article/9761748/our-domestic-apple-season-has-begun-and-the-fruits-are-of-very-high-quality/</x:t>
        </x:is>
      </x:c>
    </x:row>
  </x:sheetData>
  <x:pageMargins left="0.7" right="0.7" top="0.75" bottom="0.75" header="0.3" footer="0.3"/>
  <x:legacyDrawing xmlns:r="http://schemas.openxmlformats.org/officeDocument/2006/relationships" r:id="Rff0a12f8d7b34ec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8" customWidth="1"/>
    <x:col min="3" max="3" width="24" customWidth="1"/>
    <x:col min="4" max="4" width="20" customWidth="1"/>
    <x:col min="5" max="5" width="18" customWidth="1"/>
    <x:col min="6" max="6" width="16" customWidth="1"/>
    <x:col min="7" max="7" width="12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22" customWidth="1"/>
  </x:cols>
  <x:sheetData>
    <x:row r="1" ht="30" customHeight="1">
      <x:c r="A1" s="6" t="inlineStr">
        <x:is>
          <x:t xml:space="preserve">Date</x:t>
        </x:is>
      </x:c>
      <x:c r="B1" s="6" t="inlineStr">
        <x:is>
          <x:t xml:space="preserve">Shipment_ID</x:t>
        </x:is>
      </x:c>
      <x:c r="C1" s="6" t="inlineStr">
        <x:is>
          <x:t xml:space="preserve">Profile</x:t>
        </x:is>
      </x:c>
      <x:c r="D1" s="6" t="inlineStr">
        <x:is>
          <x:t xml:space="preserve">Supplier</x:t>
        </x:is>
      </x:c>
      <x:c r="E1" s="6" t="inlineStr">
        <x:is>
          <x:t xml:space="preserve">Product</x:t>
        </x:is>
      </x:c>
      <x:c r="F1" s="6" t="inlineStr">
        <x:is>
          <x:t xml:space="preserve">Variety</x:t>
        </x:is>
      </x:c>
      <x:c r="G1" s="6" t="inlineStr">
        <x:is>
          <x:t xml:space="preserve">Origin</x:t>
        </x:is>
      </x:c>
      <x:c r="H1" s="6" t="inlineStr">
        <x:is>
          <x:t xml:space="preserve">Declared_Class</x:t>
        </x:is>
      </x:c>
      <x:c r="I1" s="6" t="inlineStr">
        <x:is>
          <x:t xml:space="preserve">Avg_Calibre_mm</x:t>
        </x:is>
      </x:c>
      <x:c r="J1" s="6" t="inlineStr">
        <x:is>
          <x:t xml:space="preserve">Below_Min_%</x:t>
        </x:is>
      </x:c>
      <x:c r="K1" s="6" t="inlineStr">
        <x:is>
          <x:t xml:space="preserve">Minor_Defects_%</x:t>
        </x:is>
      </x:c>
      <x:c r="L1" s="6" t="inlineStr">
        <x:is>
          <x:t xml:space="preserve">Serious_Defects_%</x:t>
        </x:is>
      </x:c>
      <x:c r="M1" s="6" t="inlineStr">
        <x:is>
          <x:t xml:space="preserve">Mixed_Size_%</x:t>
        </x:is>
      </x:c>
      <x:c r="N1" s="6" t="inlineStr">
        <x:is>
          <x:t xml:space="preserve">Brix</x:t>
        </x:is>
      </x:c>
      <x:c r="O1" s="6" t="inlineStr">
        <x:is>
          <x:t xml:space="preserve">Arrival_Temp_C</x:t>
        </x:is>
      </x:c>
      <x:c r="P1" s="6" t="inlineStr">
        <x:is>
          <x:t xml:space="preserve">Lab_OK_YN</x:t>
        </x:is>
      </x:c>
      <x:c r="Q1" s="6" t="inlineStr">
        <x:is>
          <x:t xml:space="preserve">Phyto_OK_YN</x:t>
        </x:is>
      </x:c>
      <x:c r="R1" s="6" t="inlineStr">
        <x:is>
          <x:t xml:space="preserve">Trace_OK_YN</x:t>
        </x:is>
      </x:c>
      <x:c r="S1" s="6" t="inlineStr">
        <x:is>
          <x:t xml:space="preserve">Pack_OK_YN</x:t>
        </x:is>
      </x:c>
      <x:c r="T1" s="6" t="inlineStr">
        <x:is>
          <x:t xml:space="preserve">Label_OK_YN</x:t>
        </x:is>
      </x:c>
      <x:c r="U1" s="6" t="inlineStr">
        <x:is>
          <x:t xml:space="preserve">Active_Ingredients_Count</x:t>
        </x:is>
      </x:c>
      <x:c r="V1" s="6" t="inlineStr">
        <x:is>
          <x:t xml:space="preserve">Max_Single_Residue_%MRL</x:t>
        </x:is>
      </x:c>
      <x:c r="W1" s="6" t="inlineStr">
        <x:is>
          <x:t xml:space="preserve">Total_Residue_Index_%</x:t>
        </x:is>
      </x:c>
      <x:c r="X1" s="6" t="inlineStr">
        <x:is>
          <x:t xml:space="preserve">Glyphosate_%MRL</x:t>
        </x:is>
      </x:c>
      <x:c r="Y1" s="6" t="inlineStr">
        <x:is>
          <x:t xml:space="preserve">Freshness_0_5</x:t>
        </x:is>
      </x:c>
      <x:c r="Z1" s="6" t="inlineStr">
        <x:is>
          <x:t xml:space="preserve">Retailer</x:t>
        </x:is>
      </x:c>
      <x:c r="AA1" s="6" t="inlineStr">
        <x:is>
          <x:t xml:space="preserve">Req_Class</x:t>
        </x:is>
      </x:c>
      <x:c r="AB1" s="6" t="inlineStr">
        <x:is>
          <x:t xml:space="preserve">Min_Calibre</x:t>
        </x:is>
      </x:c>
      <x:c r="AC1" s="6" t="inlineStr">
        <x:is>
          <x:t xml:space="preserve">Max_Below_Min</x:t>
        </x:is>
      </x:c>
      <x:c r="AD1" s="6" t="inlineStr">
        <x:is>
          <x:t xml:space="preserve">Max_Minor</x:t>
        </x:is>
      </x:c>
      <x:c r="AE1" s="6" t="inlineStr">
        <x:is>
          <x:t xml:space="preserve">Max_Serious</x:t>
        </x:is>
      </x:c>
      <x:c r="AF1" s="6" t="inlineStr">
        <x:is>
          <x:t xml:space="preserve">Max_Mixed</x:t>
        </x:is>
      </x:c>
      <x:c r="AG1" s="6" t="inlineStr">
        <x:is>
          <x:t xml:space="preserve">Min_Brix</x:t>
        </x:is>
      </x:c>
      <x:c r="AH1" s="6" t="inlineStr">
        <x:is>
          <x:t xml:space="preserve">Temp_Min</x:t>
        </x:is>
      </x:c>
      <x:c r="AI1" s="6" t="inlineStr">
        <x:is>
          <x:t xml:space="preserve">Temp_Max</x:t>
        </x:is>
      </x:c>
      <x:c r="AJ1" s="6" t="inlineStr">
        <x:is>
          <x:t xml:space="preserve">Lab_Req</x:t>
        </x:is>
      </x:c>
      <x:c r="AK1" s="6" t="inlineStr">
        <x:is>
          <x:t xml:space="preserve">Phyto_Req</x:t>
        </x:is>
      </x:c>
      <x:c r="AL1" s="6" t="inlineStr">
        <x:is>
          <x:t xml:space="preserve">Trace_Req</x:t>
        </x:is>
      </x:c>
      <x:c r="AM1" s="6" t="inlineStr">
        <x:is>
          <x:t xml:space="preserve">Pack_Req</x:t>
        </x:is>
      </x:c>
      <x:c r="AN1" s="6" t="inlineStr">
        <x:is>
          <x:t xml:space="preserve">Label_Req</x:t>
        </x:is>
      </x:c>
      <x:c r="AO1" s="6" t="inlineStr">
        <x:is>
          <x:t xml:space="preserve">Max_Actives</x:t>
        </x:is>
      </x:c>
      <x:c r="AP1" s="6" t="inlineStr">
        <x:is>
          <x:t xml:space="preserve">Max_Single_Residue</x:t>
        </x:is>
      </x:c>
      <x:c r="AQ1" s="6" t="inlineStr">
        <x:is>
          <x:t xml:space="preserve">Max_Total_Residue</x:t>
        </x:is>
      </x:c>
      <x:c r="AR1" s="6" t="inlineStr">
        <x:is>
          <x:t xml:space="preserve">Max_Glyphosate</x:t>
        </x:is>
      </x:c>
      <x:c r="AS1" s="6" t="inlineStr">
        <x:is>
          <x:t xml:space="preserve">Class_OK</x:t>
        </x:is>
      </x:c>
      <x:c r="AT1" s="6" t="inlineStr">
        <x:is>
          <x:t xml:space="preserve">Calibre_OK</x:t>
        </x:is>
      </x:c>
      <x:c r="AU1" s="6" t="inlineStr">
        <x:is>
          <x:t xml:space="preserve">BelowMin_OK</x:t>
        </x:is>
      </x:c>
      <x:c r="AV1" s="6" t="inlineStr">
        <x:is>
          <x:t xml:space="preserve">Minor_OK</x:t>
        </x:is>
      </x:c>
      <x:c r="AW1" s="6" t="inlineStr">
        <x:is>
          <x:t xml:space="preserve">Serious_OK</x:t>
        </x:is>
      </x:c>
      <x:c r="AX1" s="6" t="inlineStr">
        <x:is>
          <x:t xml:space="preserve">Mixed_OK</x:t>
        </x:is>
      </x:c>
      <x:c r="AY1" s="6" t="inlineStr">
        <x:is>
          <x:t xml:space="preserve">Brix_OK</x:t>
        </x:is>
      </x:c>
      <x:c r="AZ1" s="6" t="inlineStr">
        <x:is>
          <x:t xml:space="preserve">Temp_OK</x:t>
        </x:is>
      </x:c>
      <x:c r="BA1" s="6" t="inlineStr">
        <x:is>
          <x:t xml:space="preserve">Lab_OK</x:t>
        </x:is>
      </x:c>
      <x:c r="BB1" s="6" t="inlineStr">
        <x:is>
          <x:t xml:space="preserve">Phyto_OK</x:t>
        </x:is>
      </x:c>
      <x:c r="BC1" s="6" t="inlineStr">
        <x:is>
          <x:t xml:space="preserve">Trace_OK</x:t>
        </x:is>
      </x:c>
      <x:c r="BD1" s="6" t="inlineStr">
        <x:is>
          <x:t xml:space="preserve">Pack_OK</x:t>
        </x:is>
      </x:c>
      <x:c r="BE1" s="6" t="inlineStr">
        <x:is>
          <x:t xml:space="preserve">Label_OK</x:t>
        </x:is>
      </x:c>
      <x:c r="BF1" s="6" t="inlineStr">
        <x:is>
          <x:t xml:space="preserve">Actives_OK</x:t>
        </x:is>
      </x:c>
      <x:c r="BG1" s="6" t="inlineStr">
        <x:is>
          <x:t xml:space="preserve">SingleResidue_OK</x:t>
        </x:is>
      </x:c>
      <x:c r="BH1" s="6" t="inlineStr">
        <x:is>
          <x:t xml:space="preserve">TotalResidue_OK</x:t>
        </x:is>
      </x:c>
      <x:c r="BI1" s="6" t="inlineStr">
        <x:is>
          <x:t xml:space="preserve">Glyphosate_OK</x:t>
        </x:is>
      </x:c>
      <x:c r="BJ1" s="6" t="inlineStr">
        <x:is>
          <x:t xml:space="preserve">Score</x:t>
        </x:is>
      </x:c>
      <x:c r="BK1" s="6" t="inlineStr">
        <x:is>
          <x:t xml:space="preserve">Critical_Fails</x:t>
        </x:is>
      </x:c>
      <x:c r="BL1" s="6" t="inlineStr">
        <x:is>
          <x:t xml:space="preserve">Decision</x:t>
        </x:is>
      </x:c>
    </x:row>
    <x:row r="2" ht="24" customHeight="1">
      <x:c r="A2" s="10" t="n">
        <x:v>46106</x:v>
      </x:c>
      <x:c r="B2" s="11" t="inlineStr">
        <x:is>
          <x:t xml:space="preserve">SHP-001</x:t>
        </x:is>
      </x:c>
      <x:c r="C2" s="11" t="inlineStr">
        <x:is>
          <x:t xml:space="preserve">METRO_GROUP_BENCHMARK</x:t>
        </x:is>
      </x:c>
      <x:c r="D2" s="11" t="inlineStr">
        <x:is>
          <x:t xml:space="preserve">Demo Supplier</x:t>
        </x:is>
      </x:c>
      <x:c r="E2" s="11" t="inlineStr">
        <x:is>
          <x:t xml:space="preserve">Apples</x:t>
        </x:is>
      </x:c>
      <x:c r="F2" s="11" t="inlineStr">
        <x:is>
          <x:t xml:space="preserve">Gala</x:t>
        </x:is>
      </x:c>
      <x:c r="G2" s="11" t="inlineStr">
        <x:is>
          <x:t xml:space="preserve">MD</x:t>
        </x:is>
      </x:c>
      <x:c r="H2" s="11" t="inlineStr">
        <x:is>
          <x:t xml:space="preserve">I</x:t>
        </x:is>
      </x:c>
      <x:c r="I2" s="12" t="n">
        <x:v>70</x:v>
      </x:c>
      <x:c r="J2" s="12" t="n">
        <x:v>2</x:v>
      </x:c>
      <x:c r="K2" s="12" t="n">
        <x:v>3</x:v>
      </x:c>
      <x:c r="L2" s="12" t="n">
        <x:v>0.5</x:v>
      </x:c>
      <x:c r="M2" s="12" t="n">
        <x:v>5</x:v>
      </x:c>
      <x:c r="N2" s="12" t="n">
        <x:v>12</x:v>
      </x:c>
      <x:c r="O2" s="12" t="n">
        <x:v>4</x:v>
      </x:c>
      <x:c r="P2" s="11" t="inlineStr">
        <x:is>
          <x:t xml:space="preserve">Y</x:t>
        </x:is>
      </x:c>
      <x:c r="Q2" s="11" t="inlineStr">
        <x:is>
          <x:t xml:space="preserve">Y</x:t>
        </x:is>
      </x:c>
      <x:c r="R2" s="11" t="inlineStr">
        <x:is>
          <x:t xml:space="preserve">Y</x:t>
        </x:is>
      </x:c>
      <x:c r="S2" s="11" t="inlineStr">
        <x:is>
          <x:t xml:space="preserve">Y</x:t>
        </x:is>
      </x:c>
      <x:c r="T2" s="11" t="inlineStr">
        <x:is>
          <x:t xml:space="preserve">Y</x:t>
        </x:is>
      </x:c>
      <x:c r="U2" s="12" t="n">
        <x:v>4</x:v>
      </x:c>
      <x:c r="V2" s="12" t="n">
        <x:v>35</x:v>
      </x:c>
      <x:c r="W2" s="12" t="n">
        <x:v>70</x:v>
      </x:c>
      <x:c r="X2" s="12" t="n">
        <x:v>10</x:v>
      </x:c>
      <x:c r="Y2" s="12" t="n">
        <x:v>4</x:v>
      </x:c>
      <x:c r="Z2" s="13" t="str">
        <x:f>IF($C2="","",VLOOKUP($C2,Config!$A$2:$Y$4,2,FALSE))</x:f>
        <x:v>METRO Moldova</x:v>
      </x:c>
      <x:c r="AA2" s="13" t="str">
        <x:f>IF($C2="","",VLOOKUP($C2,Config!$A$2:$Y$4,5,FALSE))</x:f>
        <x:v>I</x:v>
      </x:c>
      <x:c r="AB2" s="14">
        <x:f>IF($C2="","",VLOOKUP($C2,Config!$A$2:$Y$4,7,FALSE))</x:f>
        <x:v>65</x:v>
      </x:c>
      <x:c r="AC2" s="14">
        <x:f>IF($C2="","",VLOOKUP($C2,Config!$A$2:$Y$4,8,FALSE))</x:f>
        <x:v>5</x:v>
      </x:c>
      <x:c r="AD2" s="14">
        <x:f>IF($C2="","",VLOOKUP($C2,Config!$A$2:$Y$4,9,FALSE))</x:f>
        <x:v>5</x:v>
      </x:c>
      <x:c r="AE2" s="14">
        <x:f>IF($C2="","",VLOOKUP($C2,Config!$A$2:$Y$4,10,FALSE))</x:f>
        <x:v>1</x:v>
      </x:c>
      <x:c r="AF2" s="14">
        <x:f>IF($C2="","",VLOOKUP($C2,Config!$A$2:$Y$4,11,FALSE))</x:f>
        <x:v>10</x:v>
      </x:c>
      <x:c r="AG2" s="14">
        <x:f>IF($C2="","",VLOOKUP($C2,Config!$A$2:$Y$4,12,FALSE))</x:f>
        <x:v>10</x:v>
      </x:c>
      <x:c r="AH2" s="14">
        <x:f>IF($C2="","",VLOOKUP($C2,Config!$A$2:$Y$4,13,FALSE))</x:f>
        <x:v>0</x:v>
      </x:c>
      <x:c r="AI2" s="14">
        <x:f>IF($C2="","",VLOOKUP($C2,Config!$A$2:$Y$4,14,FALSE))</x:f>
        <x:v>6</x:v>
      </x:c>
      <x:c r="AJ2" s="14" t="str">
        <x:f>IF($C2="","",VLOOKUP($C2,Config!$A$2:$Y$4,15,FALSE))</x:f>
        <x:v>Y</x:v>
      </x:c>
      <x:c r="AK2" s="14" t="str">
        <x:f>IF($C2="","",VLOOKUP($C2,Config!$A$2:$Y$4,16,FALSE))</x:f>
        <x:v>Y</x:v>
      </x:c>
      <x:c r="AL2" s="14" t="str">
        <x:f>IF($C2="","",VLOOKUP($C2,Config!$A$2:$Y$4,17,FALSE))</x:f>
        <x:v>Y</x:v>
      </x:c>
      <x:c r="AM2" s="14" t="str">
        <x:f>IF($C2="","",VLOOKUP($C2,Config!$A$2:$Y$4,18,FALSE))</x:f>
        <x:v>Y</x:v>
      </x:c>
      <x:c r="AN2" s="14" t="str">
        <x:f>IF($C2="","",VLOOKUP($C2,Config!$A$2:$Y$4,19,FALSE))</x:f>
        <x:v>Y</x:v>
      </x:c>
      <x:c r="AO2" s="14">
        <x:f>IF($C2="","",VLOOKUP($C2,Config!$A$2:$Y$4,20,FALSE))</x:f>
        <x:v>5</x:v>
      </x:c>
      <x:c r="AP2" s="14">
        <x:f>IF($C2="","",VLOOKUP($C2,Config!$A$2:$Y$4,21,FALSE))</x:f>
        <x:v>50</x:v>
      </x:c>
      <x:c r="AQ2" s="14">
        <x:f>IF($C2="","",VLOOKUP($C2,Config!$A$2:$Y$4,22,FALSE))</x:f>
        <x:v>80</x:v>
      </x:c>
      <x:c r="AR2" s="14">
        <x:f>IF($C2="","",VLOOKUP($C2,Config!$A$2:$Y$4,23,FALSE))</x:f>
        <x:v>20</x:v>
      </x:c>
      <x:c r="AS2" s="13" t="b">
        <x:f>IF($C2="","",IF($H2="Extra",3,IF($H2="I",2,IF($H2="II",1,0)))&gt;=IF($AA2="Extra",3,IF($AA2="I",2,IF($AA2="II",1,0))))</x:f>
        <x:v>1</x:v>
      </x:c>
      <x:c r="AT2" s="13" t="b">
        <x:f>IF($C2="","",IF($I2="",FALSE,$I2&gt;=$AB2))</x:f>
        <x:v>1</x:v>
      </x:c>
      <x:c r="AU2" s="13" t="b">
        <x:f>IF($C2="","",IF($AC2="",TRUE,IF($J2="",FALSE,$J2&lt;=$AC2)))</x:f>
        <x:v>1</x:v>
      </x:c>
      <x:c r="AV2" s="13" t="b">
        <x:f>IF($C2="","",IF($AD2="",TRUE,IF($K2="",FALSE,$K2&lt;=$AD2)))</x:f>
        <x:v>1</x:v>
      </x:c>
      <x:c r="AW2" s="13" t="b">
        <x:f>IF($C2="","",IF($AE2="",TRUE,IF($L2="",FALSE,$L2&lt;=$AE2)))</x:f>
        <x:v>1</x:v>
      </x:c>
      <x:c r="AX2" s="13" t="b">
        <x:f>IF($C2="","",IF($AF2="",TRUE,IF($M2="",FALSE,$M2&lt;=$AF2)))</x:f>
        <x:v>1</x:v>
      </x:c>
      <x:c r="AY2" s="13" t="b">
        <x:f>IF($C2="","",IF($AG2="",TRUE,IF($N2="",FALSE,$N2&gt;=$AG2)))</x:f>
        <x:v>1</x:v>
      </x:c>
      <x:c r="AZ2" s="13" t="b">
        <x:f>IF($C2="","",IF(OR($AH2="",$AI2=""),TRUE,IF($O2="",FALSE,AND($O2&gt;=$AH2,$O2&lt;=$AI2))))</x:f>
        <x:v>1</x:v>
      </x:c>
      <x:c r="BA2" s="13" t="b">
        <x:f>IF($C2="","",IF($AJ2="Y",$P2="Y",TRUE))</x:f>
        <x:v>1</x:v>
      </x:c>
      <x:c r="BB2" s="13" t="b">
        <x:f>IF($C2="","",IF($AK2="Y",$Q2="Y",TRUE))</x:f>
        <x:v>1</x:v>
      </x:c>
      <x:c r="BC2" s="13" t="b">
        <x:f>IF($C2="","",IF($AL2="Y",$R2="Y",TRUE))</x:f>
        <x:v>1</x:v>
      </x:c>
      <x:c r="BD2" s="13" t="b">
        <x:f>IF($C2="","",IF($AM2="Y",$S2="Y",TRUE))</x:f>
        <x:v>1</x:v>
      </x:c>
      <x:c r="BE2" s="13" t="b">
        <x:f>IF($C2="","",IF($AN2="Y",$T2="Y",TRUE))</x:f>
        <x:v>1</x:v>
      </x:c>
      <x:c r="BF2" s="13" t="b">
        <x:f>IF($C2="","",IF($AO2="",TRUE,IF($U2="",FALSE,$U2&lt;=$AO2)))</x:f>
        <x:v>1</x:v>
      </x:c>
      <x:c r="BG2" s="13" t="b">
        <x:f>IF($C2="","",IF($AP2="",TRUE,IF($V2="",FALSE,$V2&lt;=$AP2)))</x:f>
        <x:v>1</x:v>
      </x:c>
      <x:c r="BH2" s="13" t="b">
        <x:f>IF($C2="","",IF($AQ2="",TRUE,IF($W2="",FALSE,$W2&lt;=$AQ2)))</x:f>
        <x:v>1</x:v>
      </x:c>
      <x:c r="BI2" s="13" t="b">
        <x:f>IF($C2="","",IF($AR2="",TRUE,IF($X2="",FALSE,$X2&lt;=$AR2)))</x:f>
        <x:v>1</x:v>
      </x:c>
      <x:c r="BJ2" s="15">
        <x:f>IF($C2="","",IF($Y2="",0,$Y2)+IF($AS2,10,0)+IF($AT2,8,0)+IF($AU2,5,0)+IF($AV2,8,0)+IF($AW2,15,0)+IF($AX2,4,0)+IF($AY2,5,0)+IF($AZ2,10,0)+IF($BA2,8,0)+IF($BB2,4,0)+IF($BC2,6,0)+IF($BD2,3,0)+IF($BE2,2,0)+IF($BF2,2,0)+IF($BG2,2,0)+IF($BH2,2,0)+IF($BI2,1,0))</x:f>
        <x:v>99</x:v>
      </x:c>
      <x:c r="BK2" s="15">
        <x:f>IF($C2="","",IF(NOT($AS2),1,0)+IF(NOT($AW2),1,0)+IF(NOT($AZ2),1,0)+IF(NOT($BA2),1,0)+IF(NOT($BB2),1,0)+IF(NOT($BC2),1,0))</x:f>
        <x:v>0</x:v>
      </x:c>
      <x:c r="BL2" s="13" t="str">
        <x:f>IF($C2="","",IF($BK2&gt;0,"REJECT",IF(COUNTIF($AS2:$BI2,FALSE)=0,"ACCEPT",IF($BJ2&gt;=85,"ACCEPT WITH SORTING / DISCOUNT","REJECT"))))</x:f>
        <x:v>ACCEPT</x:v>
      </x:c>
    </x:row>
    <x:row r="3" ht="24" customHeight="1">
      <x:c r="A3" s="10" t="n"/>
      <x:c r="B3" s="11" t="n"/>
      <x:c r="C3" s="11" t="n"/>
      <x:c r="D3" s="11" t="n"/>
      <x:c r="E3" s="11" t="n"/>
      <x:c r="F3" s="11" t="n"/>
      <x:c r="G3" s="11" t="n"/>
      <x:c r="H3" s="11" t="n"/>
      <x:c r="I3" s="12" t="n"/>
      <x:c r="J3" s="12" t="n"/>
      <x:c r="K3" s="12" t="n"/>
      <x:c r="L3" s="12" t="n"/>
      <x:c r="M3" s="12" t="n"/>
      <x:c r="N3" s="12" t="n"/>
      <x:c r="O3" s="12" t="n"/>
      <x:c r="P3" s="11" t="n"/>
      <x:c r="Q3" s="11" t="n"/>
      <x:c r="R3" s="11" t="n"/>
      <x:c r="S3" s="11" t="n"/>
      <x:c r="T3" s="11" t="n"/>
      <x:c r="U3" s="12" t="n"/>
      <x:c r="V3" s="12" t="n"/>
      <x:c r="W3" s="12" t="n"/>
      <x:c r="X3" s="12" t="n"/>
      <x:c r="Y3" s="12" t="n"/>
      <x:c r="Z3" s="13">
        <x:f>IF($C3="","",VLOOKUP($C3,Config!$A$2:$Y$4,2,FALSE))</x:f>
      </x:c>
      <x:c r="AA3" s="13">
        <x:f>IF($C3="","",VLOOKUP($C3,Config!$A$2:$Y$4,5,FALSE))</x:f>
      </x:c>
      <x:c r="AB3" s="14">
        <x:f>IF($C3="","",VLOOKUP($C3,Config!$A$2:$Y$4,7,FALSE))</x:f>
      </x:c>
      <x:c r="AC3" s="14">
        <x:f>IF($C3="","",VLOOKUP($C3,Config!$A$2:$Y$4,8,FALSE))</x:f>
      </x:c>
      <x:c r="AD3" s="14">
        <x:f>IF($C3="","",VLOOKUP($C3,Config!$A$2:$Y$4,9,FALSE))</x:f>
      </x:c>
      <x:c r="AE3" s="14">
        <x:f>IF($C3="","",VLOOKUP($C3,Config!$A$2:$Y$4,10,FALSE))</x:f>
      </x:c>
      <x:c r="AF3" s="14">
        <x:f>IF($C3="","",VLOOKUP($C3,Config!$A$2:$Y$4,11,FALSE))</x:f>
      </x:c>
      <x:c r="AG3" s="14">
        <x:f>IF($C3="","",VLOOKUP($C3,Config!$A$2:$Y$4,12,FALSE))</x:f>
      </x:c>
      <x:c r="AH3" s="14">
        <x:f>IF($C3="","",VLOOKUP($C3,Config!$A$2:$Y$4,13,FALSE))</x:f>
      </x:c>
      <x:c r="AI3" s="14">
        <x:f>IF($C3="","",VLOOKUP($C3,Config!$A$2:$Y$4,14,FALSE))</x:f>
      </x:c>
      <x:c r="AJ3" s="14">
        <x:f>IF($C3="","",VLOOKUP($C3,Config!$A$2:$Y$4,15,FALSE))</x:f>
      </x:c>
      <x:c r="AK3" s="14">
        <x:f>IF($C3="","",VLOOKUP($C3,Config!$A$2:$Y$4,16,FALSE))</x:f>
      </x:c>
      <x:c r="AL3" s="14">
        <x:f>IF($C3="","",VLOOKUP($C3,Config!$A$2:$Y$4,17,FALSE))</x:f>
      </x:c>
      <x:c r="AM3" s="14">
        <x:f>IF($C3="","",VLOOKUP($C3,Config!$A$2:$Y$4,18,FALSE))</x:f>
      </x:c>
      <x:c r="AN3" s="14">
        <x:f>IF($C3="","",VLOOKUP($C3,Config!$A$2:$Y$4,19,FALSE))</x:f>
      </x:c>
      <x:c r="AO3" s="14">
        <x:f>IF($C3="","",VLOOKUP($C3,Config!$A$2:$Y$4,20,FALSE))</x:f>
      </x:c>
      <x:c r="AP3" s="14">
        <x:f>IF($C3="","",VLOOKUP($C3,Config!$A$2:$Y$4,21,FALSE))</x:f>
      </x:c>
      <x:c r="AQ3" s="14">
        <x:f>IF($C3="","",VLOOKUP($C3,Config!$A$2:$Y$4,22,FALSE))</x:f>
      </x:c>
      <x:c r="AR3" s="14">
        <x:f>IF($C3="","",VLOOKUP($C3,Config!$A$2:$Y$4,23,FALSE))</x:f>
      </x:c>
      <x:c r="AS3" s="13">
        <x:f>IF($C3="","",IF($H3="Extra",3,IF($H3="I",2,IF($H3="II",1,0)))&gt;=IF($AA3="Extra",3,IF($AA3="I",2,IF($AA3="II",1,0))))</x:f>
      </x:c>
      <x:c r="AT3" s="13">
        <x:f>IF($C3="","",IF($I3="",FALSE,$I3&gt;=$AB3))</x:f>
      </x:c>
      <x:c r="AU3" s="13">
        <x:f>IF($C3="","",IF($AC3="",TRUE,IF($J3="",FALSE,$J3&lt;=$AC3)))</x:f>
      </x:c>
      <x:c r="AV3" s="13">
        <x:f>IF($C3="","",IF($AD3="",TRUE,IF($K3="",FALSE,$K3&lt;=$AD3)))</x:f>
      </x:c>
      <x:c r="AW3" s="13">
        <x:f>IF($C3="","",IF($AE3="",TRUE,IF($L3="",FALSE,$L3&lt;=$AE3)))</x:f>
      </x:c>
      <x:c r="AX3" s="13">
        <x:f>IF($C3="","",IF($AF3="",TRUE,IF($M3="",FALSE,$M3&lt;=$AF3)))</x:f>
      </x:c>
      <x:c r="AY3" s="13">
        <x:f>IF($C3="","",IF($AG3="",TRUE,IF($N3="",FALSE,$N3&gt;=$AG3)))</x:f>
      </x:c>
      <x:c r="AZ3" s="13">
        <x:f>IF($C3="","",IF(OR($AH3="",$AI3=""),TRUE,IF($O3="",FALSE,AND($O3&gt;=$AH3,$O3&lt;=$AI3))))</x:f>
      </x:c>
      <x:c r="BA3" s="13">
        <x:f>IF($C3="","",IF($AJ3="Y",$P3="Y",TRUE))</x:f>
      </x:c>
      <x:c r="BB3" s="13">
        <x:f>IF($C3="","",IF($AK3="Y",$Q3="Y",TRUE))</x:f>
      </x:c>
      <x:c r="BC3" s="13">
        <x:f>IF($C3="","",IF($AL3="Y",$R3="Y",TRUE))</x:f>
      </x:c>
      <x:c r="BD3" s="13">
        <x:f>IF($C3="","",IF($AM3="Y",$S3="Y",TRUE))</x:f>
      </x:c>
      <x:c r="BE3" s="13">
        <x:f>IF($C3="","",IF($AN3="Y",$T3="Y",TRUE))</x:f>
      </x:c>
      <x:c r="BF3" s="13">
        <x:f>IF($C3="","",IF($AO3="",TRUE,IF($U3="",FALSE,$U3&lt;=$AO3)))</x:f>
      </x:c>
      <x:c r="BG3" s="13">
        <x:f>IF($C3="","",IF($AP3="",TRUE,IF($V3="",FALSE,$V3&lt;=$AP3)))</x:f>
      </x:c>
      <x:c r="BH3" s="13">
        <x:f>IF($C3="","",IF($AQ3="",TRUE,IF($W3="",FALSE,$W3&lt;=$AQ3)))</x:f>
      </x:c>
      <x:c r="BI3" s="13">
        <x:f>IF($C3="","",IF($AR3="",TRUE,IF($X3="",FALSE,$X3&lt;=$AR3)))</x:f>
      </x:c>
      <x:c r="BJ3" s="15">
        <x:f>IF($C3="","",IF($Y3="",0,$Y3)+IF($AS3,10,0)+IF($AT3,8,0)+IF($AU3,5,0)+IF($AV3,8,0)+IF($AW3,15,0)+IF($AX3,4,0)+IF($AY3,5,0)+IF($AZ3,10,0)+IF($BA3,8,0)+IF($BB3,4,0)+IF($BC3,6,0)+IF($BD3,3,0)+IF($BE3,2,0)+IF($BF3,2,0)+IF($BG3,2,0)+IF($BH3,2,0)+IF($BI3,1,0))</x:f>
      </x:c>
      <x:c r="BK3" s="15">
        <x:f>IF($C3="","",IF(NOT($AS3),1,0)+IF(NOT($AW3),1,0)+IF(NOT($AZ3),1,0)+IF(NOT($BA3),1,0)+IF(NOT($BB3),1,0)+IF(NOT($BC3),1,0))</x:f>
      </x:c>
      <x:c r="BL3" s="13">
        <x:f>IF($C3="","",IF($BK3&gt;0,"REJECT",IF(COUNTIF($AS3:$BI3,FALSE)=0,"ACCEPT",IF($BJ3&gt;=85,"ACCEPT WITH SORTING / DISCOUNT","REJECT"))))</x:f>
      </x:c>
    </x:row>
    <x:row r="4" ht="24" customHeight="1">
      <x:c r="A4" s="10" t="n"/>
      <x:c r="B4" s="11" t="n"/>
      <x:c r="C4" s="11" t="n"/>
      <x:c r="D4" s="11" t="n"/>
      <x:c r="E4" s="11" t="n"/>
      <x:c r="F4" s="11" t="n"/>
      <x:c r="G4" s="11" t="n"/>
      <x:c r="H4" s="11" t="n"/>
      <x:c r="I4" s="12" t="n"/>
      <x:c r="J4" s="12" t="n"/>
      <x:c r="K4" s="12" t="n"/>
      <x:c r="L4" s="12" t="n"/>
      <x:c r="M4" s="12" t="n"/>
      <x:c r="N4" s="12" t="n"/>
      <x:c r="O4" s="12" t="n"/>
      <x:c r="P4" s="11" t="n"/>
      <x:c r="Q4" s="11" t="n"/>
      <x:c r="R4" s="11" t="n"/>
      <x:c r="S4" s="11" t="n"/>
      <x:c r="T4" s="11" t="n"/>
      <x:c r="U4" s="12" t="n"/>
      <x:c r="V4" s="12" t="n"/>
      <x:c r="W4" s="12" t="n"/>
      <x:c r="X4" s="12" t="n"/>
      <x:c r="Y4" s="12" t="n"/>
      <x:c r="Z4" s="13">
        <x:f>IF($C4="","",VLOOKUP($C4,Config!$A$2:$Y$4,2,FALSE))</x:f>
      </x:c>
      <x:c r="AA4" s="13">
        <x:f>IF($C4="","",VLOOKUP($C4,Config!$A$2:$Y$4,5,FALSE))</x:f>
      </x:c>
      <x:c r="AB4" s="14">
        <x:f>IF($C4="","",VLOOKUP($C4,Config!$A$2:$Y$4,7,FALSE))</x:f>
      </x:c>
      <x:c r="AC4" s="14">
        <x:f>IF($C4="","",VLOOKUP($C4,Config!$A$2:$Y$4,8,FALSE))</x:f>
      </x:c>
      <x:c r="AD4" s="14">
        <x:f>IF($C4="","",VLOOKUP($C4,Config!$A$2:$Y$4,9,FALSE))</x:f>
      </x:c>
      <x:c r="AE4" s="14">
        <x:f>IF($C4="","",VLOOKUP($C4,Config!$A$2:$Y$4,10,FALSE))</x:f>
      </x:c>
      <x:c r="AF4" s="14">
        <x:f>IF($C4="","",VLOOKUP($C4,Config!$A$2:$Y$4,11,FALSE))</x:f>
      </x:c>
      <x:c r="AG4" s="14">
        <x:f>IF($C4="","",VLOOKUP($C4,Config!$A$2:$Y$4,12,FALSE))</x:f>
      </x:c>
      <x:c r="AH4" s="14">
        <x:f>IF($C4="","",VLOOKUP($C4,Config!$A$2:$Y$4,13,FALSE))</x:f>
      </x:c>
      <x:c r="AI4" s="14">
        <x:f>IF($C4="","",VLOOKUP($C4,Config!$A$2:$Y$4,14,FALSE))</x:f>
      </x:c>
      <x:c r="AJ4" s="14">
        <x:f>IF($C4="","",VLOOKUP($C4,Config!$A$2:$Y$4,15,FALSE))</x:f>
      </x:c>
      <x:c r="AK4" s="14">
        <x:f>IF($C4="","",VLOOKUP($C4,Config!$A$2:$Y$4,16,FALSE))</x:f>
      </x:c>
      <x:c r="AL4" s="14">
        <x:f>IF($C4="","",VLOOKUP($C4,Config!$A$2:$Y$4,17,FALSE))</x:f>
      </x:c>
      <x:c r="AM4" s="14">
        <x:f>IF($C4="","",VLOOKUP($C4,Config!$A$2:$Y$4,18,FALSE))</x:f>
      </x:c>
      <x:c r="AN4" s="14">
        <x:f>IF($C4="","",VLOOKUP($C4,Config!$A$2:$Y$4,19,FALSE))</x:f>
      </x:c>
      <x:c r="AO4" s="14">
        <x:f>IF($C4="","",VLOOKUP($C4,Config!$A$2:$Y$4,20,FALSE))</x:f>
      </x:c>
      <x:c r="AP4" s="14">
        <x:f>IF($C4="","",VLOOKUP($C4,Config!$A$2:$Y$4,21,FALSE))</x:f>
      </x:c>
      <x:c r="AQ4" s="14">
        <x:f>IF($C4="","",VLOOKUP($C4,Config!$A$2:$Y$4,22,FALSE))</x:f>
      </x:c>
      <x:c r="AR4" s="14">
        <x:f>IF($C4="","",VLOOKUP($C4,Config!$A$2:$Y$4,23,FALSE))</x:f>
      </x:c>
      <x:c r="AS4" s="13">
        <x:f>IF($C4="","",IF($H4="Extra",3,IF($H4="I",2,IF($H4="II",1,0)))&gt;=IF($AA4="Extra",3,IF($AA4="I",2,IF($AA4="II",1,0))))</x:f>
      </x:c>
      <x:c r="AT4" s="13">
        <x:f>IF($C4="","",IF($I4="",FALSE,$I4&gt;=$AB4))</x:f>
      </x:c>
      <x:c r="AU4" s="13">
        <x:f>IF($C4="","",IF($AC4="",TRUE,IF($J4="",FALSE,$J4&lt;=$AC4)))</x:f>
      </x:c>
      <x:c r="AV4" s="13">
        <x:f>IF($C4="","",IF($AD4="",TRUE,IF($K4="",FALSE,$K4&lt;=$AD4)))</x:f>
      </x:c>
      <x:c r="AW4" s="13">
        <x:f>IF($C4="","",IF($AE4="",TRUE,IF($L4="",FALSE,$L4&lt;=$AE4)))</x:f>
      </x:c>
      <x:c r="AX4" s="13">
        <x:f>IF($C4="","",IF($AF4="",TRUE,IF($M4="",FALSE,$M4&lt;=$AF4)))</x:f>
      </x:c>
      <x:c r="AY4" s="13">
        <x:f>IF($C4="","",IF($AG4="",TRUE,IF($N4="",FALSE,$N4&gt;=$AG4)))</x:f>
      </x:c>
      <x:c r="AZ4" s="13">
        <x:f>IF($C4="","",IF(OR($AH4="",$AI4=""),TRUE,IF($O4="",FALSE,AND($O4&gt;=$AH4,$O4&lt;=$AI4))))</x:f>
      </x:c>
      <x:c r="BA4" s="13">
        <x:f>IF($C4="","",IF($AJ4="Y",$P4="Y",TRUE))</x:f>
      </x:c>
      <x:c r="BB4" s="13">
        <x:f>IF($C4="","",IF($AK4="Y",$Q4="Y",TRUE))</x:f>
      </x:c>
      <x:c r="BC4" s="13">
        <x:f>IF($C4="","",IF($AL4="Y",$R4="Y",TRUE))</x:f>
      </x:c>
      <x:c r="BD4" s="13">
        <x:f>IF($C4="","",IF($AM4="Y",$S4="Y",TRUE))</x:f>
      </x:c>
      <x:c r="BE4" s="13">
        <x:f>IF($C4="","",IF($AN4="Y",$T4="Y",TRUE))</x:f>
      </x:c>
      <x:c r="BF4" s="13">
        <x:f>IF($C4="","",IF($AO4="",TRUE,IF($U4="",FALSE,$U4&lt;=$AO4)))</x:f>
      </x:c>
      <x:c r="BG4" s="13">
        <x:f>IF($C4="","",IF($AP4="",TRUE,IF($V4="",FALSE,$V4&lt;=$AP4)))</x:f>
      </x:c>
      <x:c r="BH4" s="13">
        <x:f>IF($C4="","",IF($AQ4="",TRUE,IF($W4="",FALSE,$W4&lt;=$AQ4)))</x:f>
      </x:c>
      <x:c r="BI4" s="13">
        <x:f>IF($C4="","",IF($AR4="",TRUE,IF($X4="",FALSE,$X4&lt;=$AR4)))</x:f>
      </x:c>
      <x:c r="BJ4" s="15">
        <x:f>IF($C4="","",IF($Y4="",0,$Y4)+IF($AS4,10,0)+IF($AT4,8,0)+IF($AU4,5,0)+IF($AV4,8,0)+IF($AW4,15,0)+IF($AX4,4,0)+IF($AY4,5,0)+IF($AZ4,10,0)+IF($BA4,8,0)+IF($BB4,4,0)+IF($BC4,6,0)+IF($BD4,3,0)+IF($BE4,2,0)+IF($BF4,2,0)+IF($BG4,2,0)+IF($BH4,2,0)+IF($BI4,1,0))</x:f>
      </x:c>
      <x:c r="BK4" s="15">
        <x:f>IF($C4="","",IF(NOT($AS4),1,0)+IF(NOT($AW4),1,0)+IF(NOT($AZ4),1,0)+IF(NOT($BA4),1,0)+IF(NOT($BB4),1,0)+IF(NOT($BC4),1,0))</x:f>
      </x:c>
      <x:c r="BL4" s="13">
        <x:f>IF($C4="","",IF($BK4&gt;0,"REJECT",IF(COUNTIF($AS4:$BI4,FALSE)=0,"ACCEPT",IF($BJ4&gt;=85,"ACCEPT WITH SORTING / DISCOUNT","REJECT"))))</x:f>
      </x:c>
    </x:row>
    <x:row r="5" ht="24" customHeight="1">
      <x:c r="A5" s="10" t="n"/>
      <x:c r="B5" s="11" t="n"/>
      <x:c r="C5" s="11" t="n"/>
      <x:c r="D5" s="11" t="n"/>
      <x:c r="E5" s="11" t="n"/>
      <x:c r="F5" s="11" t="n"/>
      <x:c r="G5" s="11" t="n"/>
      <x:c r="H5" s="11" t="n"/>
      <x:c r="I5" s="12" t="n"/>
      <x:c r="J5" s="12" t="n"/>
      <x:c r="K5" s="12" t="n"/>
      <x:c r="L5" s="12" t="n"/>
      <x:c r="M5" s="12" t="n"/>
      <x:c r="N5" s="12" t="n"/>
      <x:c r="O5" s="12" t="n"/>
      <x:c r="P5" s="11" t="n"/>
      <x:c r="Q5" s="11" t="n"/>
      <x:c r="R5" s="11" t="n"/>
      <x:c r="S5" s="11" t="n"/>
      <x:c r="T5" s="11" t="n"/>
      <x:c r="U5" s="12" t="n"/>
      <x:c r="V5" s="12" t="n"/>
      <x:c r="W5" s="12" t="n"/>
      <x:c r="X5" s="12" t="n"/>
      <x:c r="Y5" s="12" t="n"/>
      <x:c r="Z5" s="13">
        <x:f>IF($C5="","",VLOOKUP($C5,Config!$A$2:$Y$4,2,FALSE))</x:f>
      </x:c>
      <x:c r="AA5" s="13">
        <x:f>IF($C5="","",VLOOKUP($C5,Config!$A$2:$Y$4,5,FALSE))</x:f>
      </x:c>
      <x:c r="AB5" s="14">
        <x:f>IF($C5="","",VLOOKUP($C5,Config!$A$2:$Y$4,7,FALSE))</x:f>
      </x:c>
      <x:c r="AC5" s="14">
        <x:f>IF($C5="","",VLOOKUP($C5,Config!$A$2:$Y$4,8,FALSE))</x:f>
      </x:c>
      <x:c r="AD5" s="14">
        <x:f>IF($C5="","",VLOOKUP($C5,Config!$A$2:$Y$4,9,FALSE))</x:f>
      </x:c>
      <x:c r="AE5" s="14">
        <x:f>IF($C5="","",VLOOKUP($C5,Config!$A$2:$Y$4,10,FALSE))</x:f>
      </x:c>
      <x:c r="AF5" s="14">
        <x:f>IF($C5="","",VLOOKUP($C5,Config!$A$2:$Y$4,11,FALSE))</x:f>
      </x:c>
      <x:c r="AG5" s="14">
        <x:f>IF($C5="","",VLOOKUP($C5,Config!$A$2:$Y$4,12,FALSE))</x:f>
      </x:c>
      <x:c r="AH5" s="14">
        <x:f>IF($C5="","",VLOOKUP($C5,Config!$A$2:$Y$4,13,FALSE))</x:f>
      </x:c>
      <x:c r="AI5" s="14">
        <x:f>IF($C5="","",VLOOKUP($C5,Config!$A$2:$Y$4,14,FALSE))</x:f>
      </x:c>
      <x:c r="AJ5" s="14">
        <x:f>IF($C5="","",VLOOKUP($C5,Config!$A$2:$Y$4,15,FALSE))</x:f>
      </x:c>
      <x:c r="AK5" s="14">
        <x:f>IF($C5="","",VLOOKUP($C5,Config!$A$2:$Y$4,16,FALSE))</x:f>
      </x:c>
      <x:c r="AL5" s="14">
        <x:f>IF($C5="","",VLOOKUP($C5,Config!$A$2:$Y$4,17,FALSE))</x:f>
      </x:c>
      <x:c r="AM5" s="14">
        <x:f>IF($C5="","",VLOOKUP($C5,Config!$A$2:$Y$4,18,FALSE))</x:f>
      </x:c>
      <x:c r="AN5" s="14">
        <x:f>IF($C5="","",VLOOKUP($C5,Config!$A$2:$Y$4,19,FALSE))</x:f>
      </x:c>
      <x:c r="AO5" s="14">
        <x:f>IF($C5="","",VLOOKUP($C5,Config!$A$2:$Y$4,20,FALSE))</x:f>
      </x:c>
      <x:c r="AP5" s="14">
        <x:f>IF($C5="","",VLOOKUP($C5,Config!$A$2:$Y$4,21,FALSE))</x:f>
      </x:c>
      <x:c r="AQ5" s="14">
        <x:f>IF($C5="","",VLOOKUP($C5,Config!$A$2:$Y$4,22,FALSE))</x:f>
      </x:c>
      <x:c r="AR5" s="14">
        <x:f>IF($C5="","",VLOOKUP($C5,Config!$A$2:$Y$4,23,FALSE))</x:f>
      </x:c>
      <x:c r="AS5" s="13">
        <x:f>IF($C5="","",IF($H5="Extra",3,IF($H5="I",2,IF($H5="II",1,0)))&gt;=IF($AA5="Extra",3,IF($AA5="I",2,IF($AA5="II",1,0))))</x:f>
      </x:c>
      <x:c r="AT5" s="13">
        <x:f>IF($C5="","",IF($I5="",FALSE,$I5&gt;=$AB5))</x:f>
      </x:c>
      <x:c r="AU5" s="13">
        <x:f>IF($C5="","",IF($AC5="",TRUE,IF($J5="",FALSE,$J5&lt;=$AC5)))</x:f>
      </x:c>
      <x:c r="AV5" s="13">
        <x:f>IF($C5="","",IF($AD5="",TRUE,IF($K5="",FALSE,$K5&lt;=$AD5)))</x:f>
      </x:c>
      <x:c r="AW5" s="13">
        <x:f>IF($C5="","",IF($AE5="",TRUE,IF($L5="",FALSE,$L5&lt;=$AE5)))</x:f>
      </x:c>
      <x:c r="AX5" s="13">
        <x:f>IF($C5="","",IF($AF5="",TRUE,IF($M5="",FALSE,$M5&lt;=$AF5)))</x:f>
      </x:c>
      <x:c r="AY5" s="13">
        <x:f>IF($C5="","",IF($AG5="",TRUE,IF($N5="",FALSE,$N5&gt;=$AG5)))</x:f>
      </x:c>
      <x:c r="AZ5" s="13">
        <x:f>IF($C5="","",IF(OR($AH5="",$AI5=""),TRUE,IF($O5="",FALSE,AND($O5&gt;=$AH5,$O5&lt;=$AI5))))</x:f>
      </x:c>
      <x:c r="BA5" s="13">
        <x:f>IF($C5="","",IF($AJ5="Y",$P5="Y",TRUE))</x:f>
      </x:c>
      <x:c r="BB5" s="13">
        <x:f>IF($C5="","",IF($AK5="Y",$Q5="Y",TRUE))</x:f>
      </x:c>
      <x:c r="BC5" s="13">
        <x:f>IF($C5="","",IF($AL5="Y",$R5="Y",TRUE))</x:f>
      </x:c>
      <x:c r="BD5" s="13">
        <x:f>IF($C5="","",IF($AM5="Y",$S5="Y",TRUE))</x:f>
      </x:c>
      <x:c r="BE5" s="13">
        <x:f>IF($C5="","",IF($AN5="Y",$T5="Y",TRUE))</x:f>
      </x:c>
      <x:c r="BF5" s="13">
        <x:f>IF($C5="","",IF($AO5="",TRUE,IF($U5="",FALSE,$U5&lt;=$AO5)))</x:f>
      </x:c>
      <x:c r="BG5" s="13">
        <x:f>IF($C5="","",IF($AP5="",TRUE,IF($V5="",FALSE,$V5&lt;=$AP5)))</x:f>
      </x:c>
      <x:c r="BH5" s="13">
        <x:f>IF($C5="","",IF($AQ5="",TRUE,IF($W5="",FALSE,$W5&lt;=$AQ5)))</x:f>
      </x:c>
      <x:c r="BI5" s="13">
        <x:f>IF($C5="","",IF($AR5="",TRUE,IF($X5="",FALSE,$X5&lt;=$AR5)))</x:f>
      </x:c>
      <x:c r="BJ5" s="15">
        <x:f>IF($C5="","",IF($Y5="",0,$Y5)+IF($AS5,10,0)+IF($AT5,8,0)+IF($AU5,5,0)+IF($AV5,8,0)+IF($AW5,15,0)+IF($AX5,4,0)+IF($AY5,5,0)+IF($AZ5,10,0)+IF($BA5,8,0)+IF($BB5,4,0)+IF($BC5,6,0)+IF($BD5,3,0)+IF($BE5,2,0)+IF($BF5,2,0)+IF($BG5,2,0)+IF($BH5,2,0)+IF($BI5,1,0))</x:f>
      </x:c>
      <x:c r="BK5" s="15">
        <x:f>IF($C5="","",IF(NOT($AS5),1,0)+IF(NOT($AW5),1,0)+IF(NOT($AZ5),1,0)+IF(NOT($BA5),1,0)+IF(NOT($BB5),1,0)+IF(NOT($BC5),1,0))</x:f>
      </x:c>
      <x:c r="BL5" s="13">
        <x:f>IF($C5="","",IF($BK5&gt;0,"REJECT",IF(COUNTIF($AS5:$BI5,FALSE)=0,"ACCEPT",IF($BJ5&gt;=85,"ACCEPT WITH SORTING / DISCOUNT","REJECT"))))</x:f>
      </x:c>
    </x:row>
    <x:row r="6" ht="24" customHeight="1">
      <x:c r="A6" s="10" t="n"/>
      <x:c r="B6" s="11" t="n"/>
      <x:c r="C6" s="11" t="n"/>
      <x:c r="D6" s="11" t="n"/>
      <x:c r="E6" s="11" t="n"/>
      <x:c r="F6" s="11" t="n"/>
      <x:c r="G6" s="11" t="n"/>
      <x:c r="H6" s="11" t="n"/>
      <x:c r="I6" s="12" t="n"/>
      <x:c r="J6" s="12" t="n"/>
      <x:c r="K6" s="12" t="n"/>
      <x:c r="L6" s="12" t="n"/>
      <x:c r="M6" s="12" t="n"/>
      <x:c r="N6" s="12" t="n"/>
      <x:c r="O6" s="12" t="n"/>
      <x:c r="P6" s="11" t="n"/>
      <x:c r="Q6" s="11" t="n"/>
      <x:c r="R6" s="11" t="n"/>
      <x:c r="S6" s="11" t="n"/>
      <x:c r="T6" s="11" t="n"/>
      <x:c r="U6" s="12" t="n"/>
      <x:c r="V6" s="12" t="n"/>
      <x:c r="W6" s="12" t="n"/>
      <x:c r="X6" s="12" t="n"/>
      <x:c r="Y6" s="12" t="n"/>
      <x:c r="Z6" s="13">
        <x:f>IF($C6="","",VLOOKUP($C6,Config!$A$2:$Y$4,2,FALSE))</x:f>
      </x:c>
      <x:c r="AA6" s="13">
        <x:f>IF($C6="","",VLOOKUP($C6,Config!$A$2:$Y$4,5,FALSE))</x:f>
      </x:c>
      <x:c r="AB6" s="14">
        <x:f>IF($C6="","",VLOOKUP($C6,Config!$A$2:$Y$4,7,FALSE))</x:f>
      </x:c>
      <x:c r="AC6" s="14">
        <x:f>IF($C6="","",VLOOKUP($C6,Config!$A$2:$Y$4,8,FALSE))</x:f>
      </x:c>
      <x:c r="AD6" s="14">
        <x:f>IF($C6="","",VLOOKUP($C6,Config!$A$2:$Y$4,9,FALSE))</x:f>
      </x:c>
      <x:c r="AE6" s="14">
        <x:f>IF($C6="","",VLOOKUP($C6,Config!$A$2:$Y$4,10,FALSE))</x:f>
      </x:c>
      <x:c r="AF6" s="14">
        <x:f>IF($C6="","",VLOOKUP($C6,Config!$A$2:$Y$4,11,FALSE))</x:f>
      </x:c>
      <x:c r="AG6" s="14">
        <x:f>IF($C6="","",VLOOKUP($C6,Config!$A$2:$Y$4,12,FALSE))</x:f>
      </x:c>
      <x:c r="AH6" s="14">
        <x:f>IF($C6="","",VLOOKUP($C6,Config!$A$2:$Y$4,13,FALSE))</x:f>
      </x:c>
      <x:c r="AI6" s="14">
        <x:f>IF($C6="","",VLOOKUP($C6,Config!$A$2:$Y$4,14,FALSE))</x:f>
      </x:c>
      <x:c r="AJ6" s="14">
        <x:f>IF($C6="","",VLOOKUP($C6,Config!$A$2:$Y$4,15,FALSE))</x:f>
      </x:c>
      <x:c r="AK6" s="14">
        <x:f>IF($C6="","",VLOOKUP($C6,Config!$A$2:$Y$4,16,FALSE))</x:f>
      </x:c>
      <x:c r="AL6" s="14">
        <x:f>IF($C6="","",VLOOKUP($C6,Config!$A$2:$Y$4,17,FALSE))</x:f>
      </x:c>
      <x:c r="AM6" s="14">
        <x:f>IF($C6="","",VLOOKUP($C6,Config!$A$2:$Y$4,18,FALSE))</x:f>
      </x:c>
      <x:c r="AN6" s="14">
        <x:f>IF($C6="","",VLOOKUP($C6,Config!$A$2:$Y$4,19,FALSE))</x:f>
      </x:c>
      <x:c r="AO6" s="14">
        <x:f>IF($C6="","",VLOOKUP($C6,Config!$A$2:$Y$4,20,FALSE))</x:f>
      </x:c>
      <x:c r="AP6" s="14">
        <x:f>IF($C6="","",VLOOKUP($C6,Config!$A$2:$Y$4,21,FALSE))</x:f>
      </x:c>
      <x:c r="AQ6" s="14">
        <x:f>IF($C6="","",VLOOKUP($C6,Config!$A$2:$Y$4,22,FALSE))</x:f>
      </x:c>
      <x:c r="AR6" s="14">
        <x:f>IF($C6="","",VLOOKUP($C6,Config!$A$2:$Y$4,23,FALSE))</x:f>
      </x:c>
      <x:c r="AS6" s="13">
        <x:f>IF($C6="","",IF($H6="Extra",3,IF($H6="I",2,IF($H6="II",1,0)))&gt;=IF($AA6="Extra",3,IF($AA6="I",2,IF($AA6="II",1,0))))</x:f>
      </x:c>
      <x:c r="AT6" s="13">
        <x:f>IF($C6="","",IF($I6="",FALSE,$I6&gt;=$AB6))</x:f>
      </x:c>
      <x:c r="AU6" s="13">
        <x:f>IF($C6="","",IF($AC6="",TRUE,IF($J6="",FALSE,$J6&lt;=$AC6)))</x:f>
      </x:c>
      <x:c r="AV6" s="13">
        <x:f>IF($C6="","",IF($AD6="",TRUE,IF($K6="",FALSE,$K6&lt;=$AD6)))</x:f>
      </x:c>
      <x:c r="AW6" s="13">
        <x:f>IF($C6="","",IF($AE6="",TRUE,IF($L6="",FALSE,$L6&lt;=$AE6)))</x:f>
      </x:c>
      <x:c r="AX6" s="13">
        <x:f>IF($C6="","",IF($AF6="",TRUE,IF($M6="",FALSE,$M6&lt;=$AF6)))</x:f>
      </x:c>
      <x:c r="AY6" s="13">
        <x:f>IF($C6="","",IF($AG6="",TRUE,IF($N6="",FALSE,$N6&gt;=$AG6)))</x:f>
      </x:c>
      <x:c r="AZ6" s="13">
        <x:f>IF($C6="","",IF(OR($AH6="",$AI6=""),TRUE,IF($O6="",FALSE,AND($O6&gt;=$AH6,$O6&lt;=$AI6))))</x:f>
      </x:c>
      <x:c r="BA6" s="13">
        <x:f>IF($C6="","",IF($AJ6="Y",$P6="Y",TRUE))</x:f>
      </x:c>
      <x:c r="BB6" s="13">
        <x:f>IF($C6="","",IF($AK6="Y",$Q6="Y",TRUE))</x:f>
      </x:c>
      <x:c r="BC6" s="13">
        <x:f>IF($C6="","",IF($AL6="Y",$R6="Y",TRUE))</x:f>
      </x:c>
      <x:c r="BD6" s="13">
        <x:f>IF($C6="","",IF($AM6="Y",$S6="Y",TRUE))</x:f>
      </x:c>
      <x:c r="BE6" s="13">
        <x:f>IF($C6="","",IF($AN6="Y",$T6="Y",TRUE))</x:f>
      </x:c>
      <x:c r="BF6" s="13">
        <x:f>IF($C6="","",IF($AO6="",TRUE,IF($U6="",FALSE,$U6&lt;=$AO6)))</x:f>
      </x:c>
      <x:c r="BG6" s="13">
        <x:f>IF($C6="","",IF($AP6="",TRUE,IF($V6="",FALSE,$V6&lt;=$AP6)))</x:f>
      </x:c>
      <x:c r="BH6" s="13">
        <x:f>IF($C6="","",IF($AQ6="",TRUE,IF($W6="",FALSE,$W6&lt;=$AQ6)))</x:f>
      </x:c>
      <x:c r="BI6" s="13">
        <x:f>IF($C6="","",IF($AR6="",TRUE,IF($X6="",FALSE,$X6&lt;=$AR6)))</x:f>
      </x:c>
      <x:c r="BJ6" s="15">
        <x:f>IF($C6="","",IF($Y6="",0,$Y6)+IF($AS6,10,0)+IF($AT6,8,0)+IF($AU6,5,0)+IF($AV6,8,0)+IF($AW6,15,0)+IF($AX6,4,0)+IF($AY6,5,0)+IF($AZ6,10,0)+IF($BA6,8,0)+IF($BB6,4,0)+IF($BC6,6,0)+IF($BD6,3,0)+IF($BE6,2,0)+IF($BF6,2,0)+IF($BG6,2,0)+IF($BH6,2,0)+IF($BI6,1,0))</x:f>
      </x:c>
      <x:c r="BK6" s="15">
        <x:f>IF($C6="","",IF(NOT($AS6),1,0)+IF(NOT($AW6),1,0)+IF(NOT($AZ6),1,0)+IF(NOT($BA6),1,0)+IF(NOT($BB6),1,0)+IF(NOT($BC6),1,0))</x:f>
      </x:c>
      <x:c r="BL6" s="13">
        <x:f>IF($C6="","",IF($BK6&gt;0,"REJECT",IF(COUNTIF($AS6:$BI6,FALSE)=0,"ACCEPT",IF($BJ6&gt;=85,"ACCEPT WITH SORTING / DISCOUNT","REJECT"))))</x:f>
      </x:c>
    </x:row>
    <x:row r="7" ht="24" customHeight="1">
      <x:c r="A7" s="10" t="n"/>
      <x:c r="B7" s="11" t="n"/>
      <x:c r="C7" s="11" t="n"/>
      <x:c r="D7" s="11" t="n"/>
      <x:c r="E7" s="11" t="n"/>
      <x:c r="F7" s="11" t="n"/>
      <x:c r="G7" s="11" t="n"/>
      <x:c r="H7" s="11" t="n"/>
      <x:c r="I7" s="12" t="n"/>
      <x:c r="J7" s="12" t="n"/>
      <x:c r="K7" s="12" t="n"/>
      <x:c r="L7" s="12" t="n"/>
      <x:c r="M7" s="12" t="n"/>
      <x:c r="N7" s="12" t="n"/>
      <x:c r="O7" s="12" t="n"/>
      <x:c r="P7" s="11" t="n"/>
      <x:c r="Q7" s="11" t="n"/>
      <x:c r="R7" s="11" t="n"/>
      <x:c r="S7" s="11" t="n"/>
      <x:c r="T7" s="11" t="n"/>
      <x:c r="U7" s="12" t="n"/>
      <x:c r="V7" s="12" t="n"/>
      <x:c r="W7" s="12" t="n"/>
      <x:c r="X7" s="12" t="n"/>
      <x:c r="Y7" s="12" t="n"/>
      <x:c r="Z7" s="13">
        <x:f>IF($C7="","",VLOOKUP($C7,Config!$A$2:$Y$4,2,FALSE))</x:f>
      </x:c>
      <x:c r="AA7" s="13">
        <x:f>IF($C7="","",VLOOKUP($C7,Config!$A$2:$Y$4,5,FALSE))</x:f>
      </x:c>
      <x:c r="AB7" s="14">
        <x:f>IF($C7="","",VLOOKUP($C7,Config!$A$2:$Y$4,7,FALSE))</x:f>
      </x:c>
      <x:c r="AC7" s="14">
        <x:f>IF($C7="","",VLOOKUP($C7,Config!$A$2:$Y$4,8,FALSE))</x:f>
      </x:c>
      <x:c r="AD7" s="14">
        <x:f>IF($C7="","",VLOOKUP($C7,Config!$A$2:$Y$4,9,FALSE))</x:f>
      </x:c>
      <x:c r="AE7" s="14">
        <x:f>IF($C7="","",VLOOKUP($C7,Config!$A$2:$Y$4,10,FALSE))</x:f>
      </x:c>
      <x:c r="AF7" s="14">
        <x:f>IF($C7="","",VLOOKUP($C7,Config!$A$2:$Y$4,11,FALSE))</x:f>
      </x:c>
      <x:c r="AG7" s="14">
        <x:f>IF($C7="","",VLOOKUP($C7,Config!$A$2:$Y$4,12,FALSE))</x:f>
      </x:c>
      <x:c r="AH7" s="14">
        <x:f>IF($C7="","",VLOOKUP($C7,Config!$A$2:$Y$4,13,FALSE))</x:f>
      </x:c>
      <x:c r="AI7" s="14">
        <x:f>IF($C7="","",VLOOKUP($C7,Config!$A$2:$Y$4,14,FALSE))</x:f>
      </x:c>
      <x:c r="AJ7" s="14">
        <x:f>IF($C7="","",VLOOKUP($C7,Config!$A$2:$Y$4,15,FALSE))</x:f>
      </x:c>
      <x:c r="AK7" s="14">
        <x:f>IF($C7="","",VLOOKUP($C7,Config!$A$2:$Y$4,16,FALSE))</x:f>
      </x:c>
      <x:c r="AL7" s="14">
        <x:f>IF($C7="","",VLOOKUP($C7,Config!$A$2:$Y$4,17,FALSE))</x:f>
      </x:c>
      <x:c r="AM7" s="14">
        <x:f>IF($C7="","",VLOOKUP($C7,Config!$A$2:$Y$4,18,FALSE))</x:f>
      </x:c>
      <x:c r="AN7" s="14">
        <x:f>IF($C7="","",VLOOKUP($C7,Config!$A$2:$Y$4,19,FALSE))</x:f>
      </x:c>
      <x:c r="AO7" s="14">
        <x:f>IF($C7="","",VLOOKUP($C7,Config!$A$2:$Y$4,20,FALSE))</x:f>
      </x:c>
      <x:c r="AP7" s="14">
        <x:f>IF($C7="","",VLOOKUP($C7,Config!$A$2:$Y$4,21,FALSE))</x:f>
      </x:c>
      <x:c r="AQ7" s="14">
        <x:f>IF($C7="","",VLOOKUP($C7,Config!$A$2:$Y$4,22,FALSE))</x:f>
      </x:c>
      <x:c r="AR7" s="14">
        <x:f>IF($C7="","",VLOOKUP($C7,Config!$A$2:$Y$4,23,FALSE))</x:f>
      </x:c>
      <x:c r="AS7" s="13">
        <x:f>IF($C7="","",IF($H7="Extra",3,IF($H7="I",2,IF($H7="II",1,0)))&gt;=IF($AA7="Extra",3,IF($AA7="I",2,IF($AA7="II",1,0))))</x:f>
      </x:c>
      <x:c r="AT7" s="13">
        <x:f>IF($C7="","",IF($I7="",FALSE,$I7&gt;=$AB7))</x:f>
      </x:c>
      <x:c r="AU7" s="13">
        <x:f>IF($C7="","",IF($AC7="",TRUE,IF($J7="",FALSE,$J7&lt;=$AC7)))</x:f>
      </x:c>
      <x:c r="AV7" s="13">
        <x:f>IF($C7="","",IF($AD7="",TRUE,IF($K7="",FALSE,$K7&lt;=$AD7)))</x:f>
      </x:c>
      <x:c r="AW7" s="13">
        <x:f>IF($C7="","",IF($AE7="",TRUE,IF($L7="",FALSE,$L7&lt;=$AE7)))</x:f>
      </x:c>
      <x:c r="AX7" s="13">
        <x:f>IF($C7="","",IF($AF7="",TRUE,IF($M7="",FALSE,$M7&lt;=$AF7)))</x:f>
      </x:c>
      <x:c r="AY7" s="13">
        <x:f>IF($C7="","",IF($AG7="",TRUE,IF($N7="",FALSE,$N7&gt;=$AG7)))</x:f>
      </x:c>
      <x:c r="AZ7" s="13">
        <x:f>IF($C7="","",IF(OR($AH7="",$AI7=""),TRUE,IF($O7="",FALSE,AND($O7&gt;=$AH7,$O7&lt;=$AI7))))</x:f>
      </x:c>
      <x:c r="BA7" s="13">
        <x:f>IF($C7="","",IF($AJ7="Y",$P7="Y",TRUE))</x:f>
      </x:c>
      <x:c r="BB7" s="13">
        <x:f>IF($C7="","",IF($AK7="Y",$Q7="Y",TRUE))</x:f>
      </x:c>
      <x:c r="BC7" s="13">
        <x:f>IF($C7="","",IF($AL7="Y",$R7="Y",TRUE))</x:f>
      </x:c>
      <x:c r="BD7" s="13">
        <x:f>IF($C7="","",IF($AM7="Y",$S7="Y",TRUE))</x:f>
      </x:c>
      <x:c r="BE7" s="13">
        <x:f>IF($C7="","",IF($AN7="Y",$T7="Y",TRUE))</x:f>
      </x:c>
      <x:c r="BF7" s="13">
        <x:f>IF($C7="","",IF($AO7="",TRUE,IF($U7="",FALSE,$U7&lt;=$AO7)))</x:f>
      </x:c>
      <x:c r="BG7" s="13">
        <x:f>IF($C7="","",IF($AP7="",TRUE,IF($V7="",FALSE,$V7&lt;=$AP7)))</x:f>
      </x:c>
      <x:c r="BH7" s="13">
        <x:f>IF($C7="","",IF($AQ7="",TRUE,IF($W7="",FALSE,$W7&lt;=$AQ7)))</x:f>
      </x:c>
      <x:c r="BI7" s="13">
        <x:f>IF($C7="","",IF($AR7="",TRUE,IF($X7="",FALSE,$X7&lt;=$AR7)))</x:f>
      </x:c>
      <x:c r="BJ7" s="15">
        <x:f>IF($C7="","",IF($Y7="",0,$Y7)+IF($AS7,10,0)+IF($AT7,8,0)+IF($AU7,5,0)+IF($AV7,8,0)+IF($AW7,15,0)+IF($AX7,4,0)+IF($AY7,5,0)+IF($AZ7,10,0)+IF($BA7,8,0)+IF($BB7,4,0)+IF($BC7,6,0)+IF($BD7,3,0)+IF($BE7,2,0)+IF($BF7,2,0)+IF($BG7,2,0)+IF($BH7,2,0)+IF($BI7,1,0))</x:f>
      </x:c>
      <x:c r="BK7" s="15">
        <x:f>IF($C7="","",IF(NOT($AS7),1,0)+IF(NOT($AW7),1,0)+IF(NOT($AZ7),1,0)+IF(NOT($BA7),1,0)+IF(NOT($BB7),1,0)+IF(NOT($BC7),1,0))</x:f>
      </x:c>
      <x:c r="BL7" s="13">
        <x:f>IF($C7="","",IF($BK7&gt;0,"REJECT",IF(COUNTIF($AS7:$BI7,FALSE)=0,"ACCEPT",IF($BJ7&gt;=85,"ACCEPT WITH SORTING / DISCOUNT","REJECT"))))</x:f>
      </x:c>
    </x:row>
    <x:row r="8" ht="24" customHeight="1">
      <x:c r="A8" s="10" t="n"/>
      <x:c r="B8" s="11" t="n"/>
      <x:c r="C8" s="11" t="n"/>
      <x:c r="D8" s="11" t="n"/>
      <x:c r="E8" s="11" t="n"/>
      <x:c r="F8" s="11" t="n"/>
      <x:c r="G8" s="11" t="n"/>
      <x:c r="H8" s="11" t="n"/>
      <x:c r="I8" s="12" t="n"/>
      <x:c r="J8" s="12" t="n"/>
      <x:c r="K8" s="12" t="n"/>
      <x:c r="L8" s="12" t="n"/>
      <x:c r="M8" s="12" t="n"/>
      <x:c r="N8" s="12" t="n"/>
      <x:c r="O8" s="12" t="n"/>
      <x:c r="P8" s="11" t="n"/>
      <x:c r="Q8" s="11" t="n"/>
      <x:c r="R8" s="11" t="n"/>
      <x:c r="S8" s="11" t="n"/>
      <x:c r="T8" s="11" t="n"/>
      <x:c r="U8" s="12" t="n"/>
      <x:c r="V8" s="12" t="n"/>
      <x:c r="W8" s="12" t="n"/>
      <x:c r="X8" s="12" t="n"/>
      <x:c r="Y8" s="12" t="n"/>
      <x:c r="Z8" s="13">
        <x:f>IF($C8="","",VLOOKUP($C8,Config!$A$2:$Y$4,2,FALSE))</x:f>
      </x:c>
      <x:c r="AA8" s="13">
        <x:f>IF($C8="","",VLOOKUP($C8,Config!$A$2:$Y$4,5,FALSE))</x:f>
      </x:c>
      <x:c r="AB8" s="14">
        <x:f>IF($C8="","",VLOOKUP($C8,Config!$A$2:$Y$4,7,FALSE))</x:f>
      </x:c>
      <x:c r="AC8" s="14">
        <x:f>IF($C8="","",VLOOKUP($C8,Config!$A$2:$Y$4,8,FALSE))</x:f>
      </x:c>
      <x:c r="AD8" s="14">
        <x:f>IF($C8="","",VLOOKUP($C8,Config!$A$2:$Y$4,9,FALSE))</x:f>
      </x:c>
      <x:c r="AE8" s="14">
        <x:f>IF($C8="","",VLOOKUP($C8,Config!$A$2:$Y$4,10,FALSE))</x:f>
      </x:c>
      <x:c r="AF8" s="14">
        <x:f>IF($C8="","",VLOOKUP($C8,Config!$A$2:$Y$4,11,FALSE))</x:f>
      </x:c>
      <x:c r="AG8" s="14">
        <x:f>IF($C8="","",VLOOKUP($C8,Config!$A$2:$Y$4,12,FALSE))</x:f>
      </x:c>
      <x:c r="AH8" s="14">
        <x:f>IF($C8="","",VLOOKUP($C8,Config!$A$2:$Y$4,13,FALSE))</x:f>
      </x:c>
      <x:c r="AI8" s="14">
        <x:f>IF($C8="","",VLOOKUP($C8,Config!$A$2:$Y$4,14,FALSE))</x:f>
      </x:c>
      <x:c r="AJ8" s="14">
        <x:f>IF($C8="","",VLOOKUP($C8,Config!$A$2:$Y$4,15,FALSE))</x:f>
      </x:c>
      <x:c r="AK8" s="14">
        <x:f>IF($C8="","",VLOOKUP($C8,Config!$A$2:$Y$4,16,FALSE))</x:f>
      </x:c>
      <x:c r="AL8" s="14">
        <x:f>IF($C8="","",VLOOKUP($C8,Config!$A$2:$Y$4,17,FALSE))</x:f>
      </x:c>
      <x:c r="AM8" s="14">
        <x:f>IF($C8="","",VLOOKUP($C8,Config!$A$2:$Y$4,18,FALSE))</x:f>
      </x:c>
      <x:c r="AN8" s="14">
        <x:f>IF($C8="","",VLOOKUP($C8,Config!$A$2:$Y$4,19,FALSE))</x:f>
      </x:c>
      <x:c r="AO8" s="14">
        <x:f>IF($C8="","",VLOOKUP($C8,Config!$A$2:$Y$4,20,FALSE))</x:f>
      </x:c>
      <x:c r="AP8" s="14">
        <x:f>IF($C8="","",VLOOKUP($C8,Config!$A$2:$Y$4,21,FALSE))</x:f>
      </x:c>
      <x:c r="AQ8" s="14">
        <x:f>IF($C8="","",VLOOKUP($C8,Config!$A$2:$Y$4,22,FALSE))</x:f>
      </x:c>
      <x:c r="AR8" s="14">
        <x:f>IF($C8="","",VLOOKUP($C8,Config!$A$2:$Y$4,23,FALSE))</x:f>
      </x:c>
      <x:c r="AS8" s="13">
        <x:f>IF($C8="","",IF($H8="Extra",3,IF($H8="I",2,IF($H8="II",1,0)))&gt;=IF($AA8="Extra",3,IF($AA8="I",2,IF($AA8="II",1,0))))</x:f>
      </x:c>
      <x:c r="AT8" s="13">
        <x:f>IF($C8="","",IF($I8="",FALSE,$I8&gt;=$AB8))</x:f>
      </x:c>
      <x:c r="AU8" s="13">
        <x:f>IF($C8="","",IF($AC8="",TRUE,IF($J8="",FALSE,$J8&lt;=$AC8)))</x:f>
      </x:c>
      <x:c r="AV8" s="13">
        <x:f>IF($C8="","",IF($AD8="",TRUE,IF($K8="",FALSE,$K8&lt;=$AD8)))</x:f>
      </x:c>
      <x:c r="AW8" s="13">
        <x:f>IF($C8="","",IF($AE8="",TRUE,IF($L8="",FALSE,$L8&lt;=$AE8)))</x:f>
      </x:c>
      <x:c r="AX8" s="13">
        <x:f>IF($C8="","",IF($AF8="",TRUE,IF($M8="",FALSE,$M8&lt;=$AF8)))</x:f>
      </x:c>
      <x:c r="AY8" s="13">
        <x:f>IF($C8="","",IF($AG8="",TRUE,IF($N8="",FALSE,$N8&gt;=$AG8)))</x:f>
      </x:c>
      <x:c r="AZ8" s="13">
        <x:f>IF($C8="","",IF(OR($AH8="",$AI8=""),TRUE,IF($O8="",FALSE,AND($O8&gt;=$AH8,$O8&lt;=$AI8))))</x:f>
      </x:c>
      <x:c r="BA8" s="13">
        <x:f>IF($C8="","",IF($AJ8="Y",$P8="Y",TRUE))</x:f>
      </x:c>
      <x:c r="BB8" s="13">
        <x:f>IF($C8="","",IF($AK8="Y",$Q8="Y",TRUE))</x:f>
      </x:c>
      <x:c r="BC8" s="13">
        <x:f>IF($C8="","",IF($AL8="Y",$R8="Y",TRUE))</x:f>
      </x:c>
      <x:c r="BD8" s="13">
        <x:f>IF($C8="","",IF($AM8="Y",$S8="Y",TRUE))</x:f>
      </x:c>
      <x:c r="BE8" s="13">
        <x:f>IF($C8="","",IF($AN8="Y",$T8="Y",TRUE))</x:f>
      </x:c>
      <x:c r="BF8" s="13">
        <x:f>IF($C8="","",IF($AO8="",TRUE,IF($U8="",FALSE,$U8&lt;=$AO8)))</x:f>
      </x:c>
      <x:c r="BG8" s="13">
        <x:f>IF($C8="","",IF($AP8="",TRUE,IF($V8="",FALSE,$V8&lt;=$AP8)))</x:f>
      </x:c>
      <x:c r="BH8" s="13">
        <x:f>IF($C8="","",IF($AQ8="",TRUE,IF($W8="",FALSE,$W8&lt;=$AQ8)))</x:f>
      </x:c>
      <x:c r="BI8" s="13">
        <x:f>IF($C8="","",IF($AR8="",TRUE,IF($X8="",FALSE,$X8&lt;=$AR8)))</x:f>
      </x:c>
      <x:c r="BJ8" s="15">
        <x:f>IF($C8="","",IF($Y8="",0,$Y8)+IF($AS8,10,0)+IF($AT8,8,0)+IF($AU8,5,0)+IF($AV8,8,0)+IF($AW8,15,0)+IF($AX8,4,0)+IF($AY8,5,0)+IF($AZ8,10,0)+IF($BA8,8,0)+IF($BB8,4,0)+IF($BC8,6,0)+IF($BD8,3,0)+IF($BE8,2,0)+IF($BF8,2,0)+IF($BG8,2,0)+IF($BH8,2,0)+IF($BI8,1,0))</x:f>
      </x:c>
      <x:c r="BK8" s="15">
        <x:f>IF($C8="","",IF(NOT($AS8),1,0)+IF(NOT($AW8),1,0)+IF(NOT($AZ8),1,0)+IF(NOT($BA8),1,0)+IF(NOT($BB8),1,0)+IF(NOT($BC8),1,0))</x:f>
      </x:c>
      <x:c r="BL8" s="13">
        <x:f>IF($C8="","",IF($BK8&gt;0,"REJECT",IF(COUNTIF($AS8:$BI8,FALSE)=0,"ACCEPT",IF($BJ8&gt;=85,"ACCEPT WITH SORTING / DISCOUNT","REJECT"))))</x:f>
      </x:c>
    </x:row>
    <x:row r="9" ht="24" customHeight="1">
      <x:c r="A9" s="10" t="n"/>
      <x:c r="B9" s="11" t="n"/>
      <x:c r="C9" s="11" t="n"/>
      <x:c r="D9" s="11" t="n"/>
      <x:c r="E9" s="11" t="n"/>
      <x:c r="F9" s="11" t="n"/>
      <x:c r="G9" s="11" t="n"/>
      <x:c r="H9" s="11" t="n"/>
      <x:c r="I9" s="12" t="n"/>
      <x:c r="J9" s="12" t="n"/>
      <x:c r="K9" s="12" t="n"/>
      <x:c r="L9" s="12" t="n"/>
      <x:c r="M9" s="12" t="n"/>
      <x:c r="N9" s="12" t="n"/>
      <x:c r="O9" s="12" t="n"/>
      <x:c r="P9" s="11" t="n"/>
      <x:c r="Q9" s="11" t="n"/>
      <x:c r="R9" s="11" t="n"/>
      <x:c r="S9" s="11" t="n"/>
      <x:c r="T9" s="11" t="n"/>
      <x:c r="U9" s="12" t="n"/>
      <x:c r="V9" s="12" t="n"/>
      <x:c r="W9" s="12" t="n"/>
      <x:c r="X9" s="12" t="n"/>
      <x:c r="Y9" s="12" t="n"/>
      <x:c r="Z9" s="13">
        <x:f>IF($C9="","",VLOOKUP($C9,Config!$A$2:$Y$4,2,FALSE))</x:f>
      </x:c>
      <x:c r="AA9" s="13">
        <x:f>IF($C9="","",VLOOKUP($C9,Config!$A$2:$Y$4,5,FALSE))</x:f>
      </x:c>
      <x:c r="AB9" s="14">
        <x:f>IF($C9="","",VLOOKUP($C9,Config!$A$2:$Y$4,7,FALSE))</x:f>
      </x:c>
      <x:c r="AC9" s="14">
        <x:f>IF($C9="","",VLOOKUP($C9,Config!$A$2:$Y$4,8,FALSE))</x:f>
      </x:c>
      <x:c r="AD9" s="14">
        <x:f>IF($C9="","",VLOOKUP($C9,Config!$A$2:$Y$4,9,FALSE))</x:f>
      </x:c>
      <x:c r="AE9" s="14">
        <x:f>IF($C9="","",VLOOKUP($C9,Config!$A$2:$Y$4,10,FALSE))</x:f>
      </x:c>
      <x:c r="AF9" s="14">
        <x:f>IF($C9="","",VLOOKUP($C9,Config!$A$2:$Y$4,11,FALSE))</x:f>
      </x:c>
      <x:c r="AG9" s="14">
        <x:f>IF($C9="","",VLOOKUP($C9,Config!$A$2:$Y$4,12,FALSE))</x:f>
      </x:c>
      <x:c r="AH9" s="14">
        <x:f>IF($C9="","",VLOOKUP($C9,Config!$A$2:$Y$4,13,FALSE))</x:f>
      </x:c>
      <x:c r="AI9" s="14">
        <x:f>IF($C9="","",VLOOKUP($C9,Config!$A$2:$Y$4,14,FALSE))</x:f>
      </x:c>
      <x:c r="AJ9" s="14">
        <x:f>IF($C9="","",VLOOKUP($C9,Config!$A$2:$Y$4,15,FALSE))</x:f>
      </x:c>
      <x:c r="AK9" s="14">
        <x:f>IF($C9="","",VLOOKUP($C9,Config!$A$2:$Y$4,16,FALSE))</x:f>
      </x:c>
      <x:c r="AL9" s="14">
        <x:f>IF($C9="","",VLOOKUP($C9,Config!$A$2:$Y$4,17,FALSE))</x:f>
      </x:c>
      <x:c r="AM9" s="14">
        <x:f>IF($C9="","",VLOOKUP($C9,Config!$A$2:$Y$4,18,FALSE))</x:f>
      </x:c>
      <x:c r="AN9" s="14">
        <x:f>IF($C9="","",VLOOKUP($C9,Config!$A$2:$Y$4,19,FALSE))</x:f>
      </x:c>
      <x:c r="AO9" s="14">
        <x:f>IF($C9="","",VLOOKUP($C9,Config!$A$2:$Y$4,20,FALSE))</x:f>
      </x:c>
      <x:c r="AP9" s="14">
        <x:f>IF($C9="","",VLOOKUP($C9,Config!$A$2:$Y$4,21,FALSE))</x:f>
      </x:c>
      <x:c r="AQ9" s="14">
        <x:f>IF($C9="","",VLOOKUP($C9,Config!$A$2:$Y$4,22,FALSE))</x:f>
      </x:c>
      <x:c r="AR9" s="14">
        <x:f>IF($C9="","",VLOOKUP($C9,Config!$A$2:$Y$4,23,FALSE))</x:f>
      </x:c>
      <x:c r="AS9" s="13">
        <x:f>IF($C9="","",IF($H9="Extra",3,IF($H9="I",2,IF($H9="II",1,0)))&gt;=IF($AA9="Extra",3,IF($AA9="I",2,IF($AA9="II",1,0))))</x:f>
      </x:c>
      <x:c r="AT9" s="13">
        <x:f>IF($C9="","",IF($I9="",FALSE,$I9&gt;=$AB9))</x:f>
      </x:c>
      <x:c r="AU9" s="13">
        <x:f>IF($C9="","",IF($AC9="",TRUE,IF($J9="",FALSE,$J9&lt;=$AC9)))</x:f>
      </x:c>
      <x:c r="AV9" s="13">
        <x:f>IF($C9="","",IF($AD9="",TRUE,IF($K9="",FALSE,$K9&lt;=$AD9)))</x:f>
      </x:c>
      <x:c r="AW9" s="13">
        <x:f>IF($C9="","",IF($AE9="",TRUE,IF($L9="",FALSE,$L9&lt;=$AE9)))</x:f>
      </x:c>
      <x:c r="AX9" s="13">
        <x:f>IF($C9="","",IF($AF9="",TRUE,IF($M9="",FALSE,$M9&lt;=$AF9)))</x:f>
      </x:c>
      <x:c r="AY9" s="13">
        <x:f>IF($C9="","",IF($AG9="",TRUE,IF($N9="",FALSE,$N9&gt;=$AG9)))</x:f>
      </x:c>
      <x:c r="AZ9" s="13">
        <x:f>IF($C9="","",IF(OR($AH9="",$AI9=""),TRUE,IF($O9="",FALSE,AND($O9&gt;=$AH9,$O9&lt;=$AI9))))</x:f>
      </x:c>
      <x:c r="BA9" s="13">
        <x:f>IF($C9="","",IF($AJ9="Y",$P9="Y",TRUE))</x:f>
      </x:c>
      <x:c r="BB9" s="13">
        <x:f>IF($C9="","",IF($AK9="Y",$Q9="Y",TRUE))</x:f>
      </x:c>
      <x:c r="BC9" s="13">
        <x:f>IF($C9="","",IF($AL9="Y",$R9="Y",TRUE))</x:f>
      </x:c>
      <x:c r="BD9" s="13">
        <x:f>IF($C9="","",IF($AM9="Y",$S9="Y",TRUE))</x:f>
      </x:c>
      <x:c r="BE9" s="13">
        <x:f>IF($C9="","",IF($AN9="Y",$T9="Y",TRUE))</x:f>
      </x:c>
      <x:c r="BF9" s="13">
        <x:f>IF($C9="","",IF($AO9="",TRUE,IF($U9="",FALSE,$U9&lt;=$AO9)))</x:f>
      </x:c>
      <x:c r="BG9" s="13">
        <x:f>IF($C9="","",IF($AP9="",TRUE,IF($V9="",FALSE,$V9&lt;=$AP9)))</x:f>
      </x:c>
      <x:c r="BH9" s="13">
        <x:f>IF($C9="","",IF($AQ9="",TRUE,IF($W9="",FALSE,$W9&lt;=$AQ9)))</x:f>
      </x:c>
      <x:c r="BI9" s="13">
        <x:f>IF($C9="","",IF($AR9="",TRUE,IF($X9="",FALSE,$X9&lt;=$AR9)))</x:f>
      </x:c>
      <x:c r="BJ9" s="15">
        <x:f>IF($C9="","",IF($Y9="",0,$Y9)+IF($AS9,10,0)+IF($AT9,8,0)+IF($AU9,5,0)+IF($AV9,8,0)+IF($AW9,15,0)+IF($AX9,4,0)+IF($AY9,5,0)+IF($AZ9,10,0)+IF($BA9,8,0)+IF($BB9,4,0)+IF($BC9,6,0)+IF($BD9,3,0)+IF($BE9,2,0)+IF($BF9,2,0)+IF($BG9,2,0)+IF($BH9,2,0)+IF($BI9,1,0))</x:f>
      </x:c>
      <x:c r="BK9" s="15">
        <x:f>IF($C9="","",IF(NOT($AS9),1,0)+IF(NOT($AW9),1,0)+IF(NOT($AZ9),1,0)+IF(NOT($BA9),1,0)+IF(NOT($BB9),1,0)+IF(NOT($BC9),1,0))</x:f>
      </x:c>
      <x:c r="BL9" s="13">
        <x:f>IF($C9="","",IF($BK9&gt;0,"REJECT",IF(COUNTIF($AS9:$BI9,FALSE)=0,"ACCEPT",IF($BJ9&gt;=85,"ACCEPT WITH SORTING / DISCOUNT","REJECT"))))</x:f>
      </x:c>
    </x:row>
    <x:row r="10" ht="24" customHeight="1">
      <x:c r="A10" s="10" t="n"/>
      <x:c r="B10" s="11" t="n"/>
      <x:c r="C10" s="11" t="n"/>
      <x:c r="D10" s="11" t="n"/>
      <x:c r="E10" s="11" t="n"/>
      <x:c r="F10" s="11" t="n"/>
      <x:c r="G10" s="11" t="n"/>
      <x:c r="H10" s="11" t="n"/>
      <x:c r="I10" s="12" t="n"/>
      <x:c r="J10" s="12" t="n"/>
      <x:c r="K10" s="12" t="n"/>
      <x:c r="L10" s="12" t="n"/>
      <x:c r="M10" s="12" t="n"/>
      <x:c r="N10" s="12" t="n"/>
      <x:c r="O10" s="12" t="n"/>
      <x:c r="P10" s="11" t="n"/>
      <x:c r="Q10" s="11" t="n"/>
      <x:c r="R10" s="11" t="n"/>
      <x:c r="S10" s="11" t="n"/>
      <x:c r="T10" s="11" t="n"/>
      <x:c r="U10" s="12" t="n"/>
      <x:c r="V10" s="12" t="n"/>
      <x:c r="W10" s="12" t="n"/>
      <x:c r="X10" s="12" t="n"/>
      <x:c r="Y10" s="12" t="n"/>
      <x:c r="Z10" s="13">
        <x:f>IF($C10="","",VLOOKUP($C10,Config!$A$2:$Y$4,2,FALSE))</x:f>
      </x:c>
      <x:c r="AA10" s="13">
        <x:f>IF($C10="","",VLOOKUP($C10,Config!$A$2:$Y$4,5,FALSE))</x:f>
      </x:c>
      <x:c r="AB10" s="14">
        <x:f>IF($C10="","",VLOOKUP($C10,Config!$A$2:$Y$4,7,FALSE))</x:f>
      </x:c>
      <x:c r="AC10" s="14">
        <x:f>IF($C10="","",VLOOKUP($C10,Config!$A$2:$Y$4,8,FALSE))</x:f>
      </x:c>
      <x:c r="AD10" s="14">
        <x:f>IF($C10="","",VLOOKUP($C10,Config!$A$2:$Y$4,9,FALSE))</x:f>
      </x:c>
      <x:c r="AE10" s="14">
        <x:f>IF($C10="","",VLOOKUP($C10,Config!$A$2:$Y$4,10,FALSE))</x:f>
      </x:c>
      <x:c r="AF10" s="14">
        <x:f>IF($C10="","",VLOOKUP($C10,Config!$A$2:$Y$4,11,FALSE))</x:f>
      </x:c>
      <x:c r="AG10" s="14">
        <x:f>IF($C10="","",VLOOKUP($C10,Config!$A$2:$Y$4,12,FALSE))</x:f>
      </x:c>
      <x:c r="AH10" s="14">
        <x:f>IF($C10="","",VLOOKUP($C10,Config!$A$2:$Y$4,13,FALSE))</x:f>
      </x:c>
      <x:c r="AI10" s="14">
        <x:f>IF($C10="","",VLOOKUP($C10,Config!$A$2:$Y$4,14,FALSE))</x:f>
      </x:c>
      <x:c r="AJ10" s="14">
        <x:f>IF($C10="","",VLOOKUP($C10,Config!$A$2:$Y$4,15,FALSE))</x:f>
      </x:c>
      <x:c r="AK10" s="14">
        <x:f>IF($C10="","",VLOOKUP($C10,Config!$A$2:$Y$4,16,FALSE))</x:f>
      </x:c>
      <x:c r="AL10" s="14">
        <x:f>IF($C10="","",VLOOKUP($C10,Config!$A$2:$Y$4,17,FALSE))</x:f>
      </x:c>
      <x:c r="AM10" s="14">
        <x:f>IF($C10="","",VLOOKUP($C10,Config!$A$2:$Y$4,18,FALSE))</x:f>
      </x:c>
      <x:c r="AN10" s="14">
        <x:f>IF($C10="","",VLOOKUP($C10,Config!$A$2:$Y$4,19,FALSE))</x:f>
      </x:c>
      <x:c r="AO10" s="14">
        <x:f>IF($C10="","",VLOOKUP($C10,Config!$A$2:$Y$4,20,FALSE))</x:f>
      </x:c>
      <x:c r="AP10" s="14">
        <x:f>IF($C10="","",VLOOKUP($C10,Config!$A$2:$Y$4,21,FALSE))</x:f>
      </x:c>
      <x:c r="AQ10" s="14">
        <x:f>IF($C10="","",VLOOKUP($C10,Config!$A$2:$Y$4,22,FALSE))</x:f>
      </x:c>
      <x:c r="AR10" s="14">
        <x:f>IF($C10="","",VLOOKUP($C10,Config!$A$2:$Y$4,23,FALSE))</x:f>
      </x:c>
      <x:c r="AS10" s="13">
        <x:f>IF($C10="","",IF($H10="Extra",3,IF($H10="I",2,IF($H10="II",1,0)))&gt;=IF($AA10="Extra",3,IF($AA10="I",2,IF($AA10="II",1,0))))</x:f>
      </x:c>
      <x:c r="AT10" s="13">
        <x:f>IF($C10="","",IF($I10="",FALSE,$I10&gt;=$AB10))</x:f>
      </x:c>
      <x:c r="AU10" s="13">
        <x:f>IF($C10="","",IF($AC10="",TRUE,IF($J10="",FALSE,$J10&lt;=$AC10)))</x:f>
      </x:c>
      <x:c r="AV10" s="13">
        <x:f>IF($C10="","",IF($AD10="",TRUE,IF($K10="",FALSE,$K10&lt;=$AD10)))</x:f>
      </x:c>
      <x:c r="AW10" s="13">
        <x:f>IF($C10="","",IF($AE10="",TRUE,IF($L10="",FALSE,$L10&lt;=$AE10)))</x:f>
      </x:c>
      <x:c r="AX10" s="13">
        <x:f>IF($C10="","",IF($AF10="",TRUE,IF($M10="",FALSE,$M10&lt;=$AF10)))</x:f>
      </x:c>
      <x:c r="AY10" s="13">
        <x:f>IF($C10="","",IF($AG10="",TRUE,IF($N10="",FALSE,$N10&gt;=$AG10)))</x:f>
      </x:c>
      <x:c r="AZ10" s="13">
        <x:f>IF($C10="","",IF(OR($AH10="",$AI10=""),TRUE,IF($O10="",FALSE,AND($O10&gt;=$AH10,$O10&lt;=$AI10))))</x:f>
      </x:c>
      <x:c r="BA10" s="13">
        <x:f>IF($C10="","",IF($AJ10="Y",$P10="Y",TRUE))</x:f>
      </x:c>
      <x:c r="BB10" s="13">
        <x:f>IF($C10="","",IF($AK10="Y",$Q10="Y",TRUE))</x:f>
      </x:c>
      <x:c r="BC10" s="13">
        <x:f>IF($C10="","",IF($AL10="Y",$R10="Y",TRUE))</x:f>
      </x:c>
      <x:c r="BD10" s="13">
        <x:f>IF($C10="","",IF($AM10="Y",$S10="Y",TRUE))</x:f>
      </x:c>
      <x:c r="BE10" s="13">
        <x:f>IF($C10="","",IF($AN10="Y",$T10="Y",TRUE))</x:f>
      </x:c>
      <x:c r="BF10" s="13">
        <x:f>IF($C10="","",IF($AO10="",TRUE,IF($U10="",FALSE,$U10&lt;=$AO10)))</x:f>
      </x:c>
      <x:c r="BG10" s="13">
        <x:f>IF($C10="","",IF($AP10="",TRUE,IF($V10="",FALSE,$V10&lt;=$AP10)))</x:f>
      </x:c>
      <x:c r="BH10" s="13">
        <x:f>IF($C10="","",IF($AQ10="",TRUE,IF($W10="",FALSE,$W10&lt;=$AQ10)))</x:f>
      </x:c>
      <x:c r="BI10" s="13">
        <x:f>IF($C10="","",IF($AR10="",TRUE,IF($X10="",FALSE,$X10&lt;=$AR10)))</x:f>
      </x:c>
      <x:c r="BJ10" s="15">
        <x:f>IF($C10="","",IF($Y10="",0,$Y10)+IF($AS10,10,0)+IF($AT10,8,0)+IF($AU10,5,0)+IF($AV10,8,0)+IF($AW10,15,0)+IF($AX10,4,0)+IF($AY10,5,0)+IF($AZ10,10,0)+IF($BA10,8,0)+IF($BB10,4,0)+IF($BC10,6,0)+IF($BD10,3,0)+IF($BE10,2,0)+IF($BF10,2,0)+IF($BG10,2,0)+IF($BH10,2,0)+IF($BI10,1,0))</x:f>
      </x:c>
      <x:c r="BK10" s="15">
        <x:f>IF($C10="","",IF(NOT($AS10),1,0)+IF(NOT($AW10),1,0)+IF(NOT($AZ10),1,0)+IF(NOT($BA10),1,0)+IF(NOT($BB10),1,0)+IF(NOT($BC10),1,0))</x:f>
      </x:c>
      <x:c r="BL10" s="13">
        <x:f>IF($C10="","",IF($BK10&gt;0,"REJECT",IF(COUNTIF($AS10:$BI10,FALSE)=0,"ACCEPT",IF($BJ10&gt;=85,"ACCEPT WITH SORTING / DISCOUNT","REJECT"))))</x:f>
      </x:c>
    </x:row>
    <x:row r="11" ht="24" customHeight="1">
      <x:c r="A11" s="10" t="n"/>
      <x:c r="B11" s="11" t="n"/>
      <x:c r="C11" s="11" t="n"/>
      <x:c r="D11" s="11" t="n"/>
      <x:c r="E11" s="11" t="n"/>
      <x:c r="F11" s="11" t="n"/>
      <x:c r="G11" s="11" t="n"/>
      <x:c r="H11" s="11" t="n"/>
      <x:c r="I11" s="12" t="n"/>
      <x:c r="J11" s="12" t="n"/>
      <x:c r="K11" s="12" t="n"/>
      <x:c r="L11" s="12" t="n"/>
      <x:c r="M11" s="12" t="n"/>
      <x:c r="N11" s="12" t="n"/>
      <x:c r="O11" s="12" t="n"/>
      <x:c r="P11" s="11" t="n"/>
      <x:c r="Q11" s="11" t="n"/>
      <x:c r="R11" s="11" t="n"/>
      <x:c r="S11" s="11" t="n"/>
      <x:c r="T11" s="11" t="n"/>
      <x:c r="U11" s="12" t="n"/>
      <x:c r="V11" s="12" t="n"/>
      <x:c r="W11" s="12" t="n"/>
      <x:c r="X11" s="12" t="n"/>
      <x:c r="Y11" s="12" t="n"/>
      <x:c r="Z11" s="13">
        <x:f>IF($C11="","",VLOOKUP($C11,Config!$A$2:$Y$4,2,FALSE))</x:f>
      </x:c>
      <x:c r="AA11" s="13">
        <x:f>IF($C11="","",VLOOKUP($C11,Config!$A$2:$Y$4,5,FALSE))</x:f>
      </x:c>
      <x:c r="AB11" s="14">
        <x:f>IF($C11="","",VLOOKUP($C11,Config!$A$2:$Y$4,7,FALSE))</x:f>
      </x:c>
      <x:c r="AC11" s="14">
        <x:f>IF($C11="","",VLOOKUP($C11,Config!$A$2:$Y$4,8,FALSE))</x:f>
      </x:c>
      <x:c r="AD11" s="14">
        <x:f>IF($C11="","",VLOOKUP($C11,Config!$A$2:$Y$4,9,FALSE))</x:f>
      </x:c>
      <x:c r="AE11" s="14">
        <x:f>IF($C11="","",VLOOKUP($C11,Config!$A$2:$Y$4,10,FALSE))</x:f>
      </x:c>
      <x:c r="AF11" s="14">
        <x:f>IF($C11="","",VLOOKUP($C11,Config!$A$2:$Y$4,11,FALSE))</x:f>
      </x:c>
      <x:c r="AG11" s="14">
        <x:f>IF($C11="","",VLOOKUP($C11,Config!$A$2:$Y$4,12,FALSE))</x:f>
      </x:c>
      <x:c r="AH11" s="14">
        <x:f>IF($C11="","",VLOOKUP($C11,Config!$A$2:$Y$4,13,FALSE))</x:f>
      </x:c>
      <x:c r="AI11" s="14">
        <x:f>IF($C11="","",VLOOKUP($C11,Config!$A$2:$Y$4,14,FALSE))</x:f>
      </x:c>
      <x:c r="AJ11" s="14">
        <x:f>IF($C11="","",VLOOKUP($C11,Config!$A$2:$Y$4,15,FALSE))</x:f>
      </x:c>
      <x:c r="AK11" s="14">
        <x:f>IF($C11="","",VLOOKUP($C11,Config!$A$2:$Y$4,16,FALSE))</x:f>
      </x:c>
      <x:c r="AL11" s="14">
        <x:f>IF($C11="","",VLOOKUP($C11,Config!$A$2:$Y$4,17,FALSE))</x:f>
      </x:c>
      <x:c r="AM11" s="14">
        <x:f>IF($C11="","",VLOOKUP($C11,Config!$A$2:$Y$4,18,FALSE))</x:f>
      </x:c>
      <x:c r="AN11" s="14">
        <x:f>IF($C11="","",VLOOKUP($C11,Config!$A$2:$Y$4,19,FALSE))</x:f>
      </x:c>
      <x:c r="AO11" s="14">
        <x:f>IF($C11="","",VLOOKUP($C11,Config!$A$2:$Y$4,20,FALSE))</x:f>
      </x:c>
      <x:c r="AP11" s="14">
        <x:f>IF($C11="","",VLOOKUP($C11,Config!$A$2:$Y$4,21,FALSE))</x:f>
      </x:c>
      <x:c r="AQ11" s="14">
        <x:f>IF($C11="","",VLOOKUP($C11,Config!$A$2:$Y$4,22,FALSE))</x:f>
      </x:c>
      <x:c r="AR11" s="14">
        <x:f>IF($C11="","",VLOOKUP($C11,Config!$A$2:$Y$4,23,FALSE))</x:f>
      </x:c>
      <x:c r="AS11" s="13">
        <x:f>IF($C11="","",IF($H11="Extra",3,IF($H11="I",2,IF($H11="II",1,0)))&gt;=IF($AA11="Extra",3,IF($AA11="I",2,IF($AA11="II",1,0))))</x:f>
      </x:c>
      <x:c r="AT11" s="13">
        <x:f>IF($C11="","",IF($I11="",FALSE,$I11&gt;=$AB11))</x:f>
      </x:c>
      <x:c r="AU11" s="13">
        <x:f>IF($C11="","",IF($AC11="",TRUE,IF($J11="",FALSE,$J11&lt;=$AC11)))</x:f>
      </x:c>
      <x:c r="AV11" s="13">
        <x:f>IF($C11="","",IF($AD11="",TRUE,IF($K11="",FALSE,$K11&lt;=$AD11)))</x:f>
      </x:c>
      <x:c r="AW11" s="13">
        <x:f>IF($C11="","",IF($AE11="",TRUE,IF($L11="",FALSE,$L11&lt;=$AE11)))</x:f>
      </x:c>
      <x:c r="AX11" s="13">
        <x:f>IF($C11="","",IF($AF11="",TRUE,IF($M11="",FALSE,$M11&lt;=$AF11)))</x:f>
      </x:c>
      <x:c r="AY11" s="13">
        <x:f>IF($C11="","",IF($AG11="",TRUE,IF($N11="",FALSE,$N11&gt;=$AG11)))</x:f>
      </x:c>
      <x:c r="AZ11" s="13">
        <x:f>IF($C11="","",IF(OR($AH11="",$AI11=""),TRUE,IF($O11="",FALSE,AND($O11&gt;=$AH11,$O11&lt;=$AI11))))</x:f>
      </x:c>
      <x:c r="BA11" s="13">
        <x:f>IF($C11="","",IF($AJ11="Y",$P11="Y",TRUE))</x:f>
      </x:c>
      <x:c r="BB11" s="13">
        <x:f>IF($C11="","",IF($AK11="Y",$Q11="Y",TRUE))</x:f>
      </x:c>
      <x:c r="BC11" s="13">
        <x:f>IF($C11="","",IF($AL11="Y",$R11="Y",TRUE))</x:f>
      </x:c>
      <x:c r="BD11" s="13">
        <x:f>IF($C11="","",IF($AM11="Y",$S11="Y",TRUE))</x:f>
      </x:c>
      <x:c r="BE11" s="13">
        <x:f>IF($C11="","",IF($AN11="Y",$T11="Y",TRUE))</x:f>
      </x:c>
      <x:c r="BF11" s="13">
        <x:f>IF($C11="","",IF($AO11="",TRUE,IF($U11="",FALSE,$U11&lt;=$AO11)))</x:f>
      </x:c>
      <x:c r="BG11" s="13">
        <x:f>IF($C11="","",IF($AP11="",TRUE,IF($V11="",FALSE,$V11&lt;=$AP11)))</x:f>
      </x:c>
      <x:c r="BH11" s="13">
        <x:f>IF($C11="","",IF($AQ11="",TRUE,IF($W11="",FALSE,$W11&lt;=$AQ11)))</x:f>
      </x:c>
      <x:c r="BI11" s="13">
        <x:f>IF($C11="","",IF($AR11="",TRUE,IF($X11="",FALSE,$X11&lt;=$AR11)))</x:f>
      </x:c>
      <x:c r="BJ11" s="15">
        <x:f>IF($C11="","",IF($Y11="",0,$Y11)+IF($AS11,10,0)+IF($AT11,8,0)+IF($AU11,5,0)+IF($AV11,8,0)+IF($AW11,15,0)+IF($AX11,4,0)+IF($AY11,5,0)+IF($AZ11,10,0)+IF($BA11,8,0)+IF($BB11,4,0)+IF($BC11,6,0)+IF($BD11,3,0)+IF($BE11,2,0)+IF($BF11,2,0)+IF($BG11,2,0)+IF($BH11,2,0)+IF($BI11,1,0))</x:f>
      </x:c>
      <x:c r="BK11" s="15">
        <x:f>IF($C11="","",IF(NOT($AS11),1,0)+IF(NOT($AW11),1,0)+IF(NOT($AZ11),1,0)+IF(NOT($BA11),1,0)+IF(NOT($BB11),1,0)+IF(NOT($BC11),1,0))</x:f>
      </x:c>
      <x:c r="BL11" s="13">
        <x:f>IF($C11="","",IF($BK11&gt;0,"REJECT",IF(COUNTIF($AS11:$BI11,FALSE)=0,"ACCEPT",IF($BJ11&gt;=85,"ACCEPT WITH SORTING / DISCOUNT","REJECT"))))</x:f>
      </x:c>
    </x:row>
    <x:row r="12" ht="24" customHeight="1">
      <x:c r="A12" s="10" t="n"/>
      <x:c r="B12" s="11" t="n"/>
      <x:c r="C12" s="11" t="n"/>
      <x:c r="D12" s="11" t="n"/>
      <x:c r="E12" s="11" t="n"/>
      <x:c r="F12" s="11" t="n"/>
      <x:c r="G12" s="11" t="n"/>
      <x:c r="H12" s="11" t="n"/>
      <x:c r="I12" s="12" t="n"/>
      <x:c r="J12" s="12" t="n"/>
      <x:c r="K12" s="12" t="n"/>
      <x:c r="L12" s="12" t="n"/>
      <x:c r="M12" s="12" t="n"/>
      <x:c r="N12" s="12" t="n"/>
      <x:c r="O12" s="12" t="n"/>
      <x:c r="P12" s="11" t="n"/>
      <x:c r="Q12" s="11" t="n"/>
      <x:c r="R12" s="11" t="n"/>
      <x:c r="S12" s="11" t="n"/>
      <x:c r="T12" s="11" t="n"/>
      <x:c r="U12" s="12" t="n"/>
      <x:c r="V12" s="12" t="n"/>
      <x:c r="W12" s="12" t="n"/>
      <x:c r="X12" s="12" t="n"/>
      <x:c r="Y12" s="12" t="n"/>
      <x:c r="Z12" s="13">
        <x:f>IF($C12="","",VLOOKUP($C12,Config!$A$2:$Y$4,2,FALSE))</x:f>
      </x:c>
      <x:c r="AA12" s="13">
        <x:f>IF($C12="","",VLOOKUP($C12,Config!$A$2:$Y$4,5,FALSE))</x:f>
      </x:c>
      <x:c r="AB12" s="14">
        <x:f>IF($C12="","",VLOOKUP($C12,Config!$A$2:$Y$4,7,FALSE))</x:f>
      </x:c>
      <x:c r="AC12" s="14">
        <x:f>IF($C12="","",VLOOKUP($C12,Config!$A$2:$Y$4,8,FALSE))</x:f>
      </x:c>
      <x:c r="AD12" s="14">
        <x:f>IF($C12="","",VLOOKUP($C12,Config!$A$2:$Y$4,9,FALSE))</x:f>
      </x:c>
      <x:c r="AE12" s="14">
        <x:f>IF($C12="","",VLOOKUP($C12,Config!$A$2:$Y$4,10,FALSE))</x:f>
      </x:c>
      <x:c r="AF12" s="14">
        <x:f>IF($C12="","",VLOOKUP($C12,Config!$A$2:$Y$4,11,FALSE))</x:f>
      </x:c>
      <x:c r="AG12" s="14">
        <x:f>IF($C12="","",VLOOKUP($C12,Config!$A$2:$Y$4,12,FALSE))</x:f>
      </x:c>
      <x:c r="AH12" s="14">
        <x:f>IF($C12="","",VLOOKUP($C12,Config!$A$2:$Y$4,13,FALSE))</x:f>
      </x:c>
      <x:c r="AI12" s="14">
        <x:f>IF($C12="","",VLOOKUP($C12,Config!$A$2:$Y$4,14,FALSE))</x:f>
      </x:c>
      <x:c r="AJ12" s="14">
        <x:f>IF($C12="","",VLOOKUP($C12,Config!$A$2:$Y$4,15,FALSE))</x:f>
      </x:c>
      <x:c r="AK12" s="14">
        <x:f>IF($C12="","",VLOOKUP($C12,Config!$A$2:$Y$4,16,FALSE))</x:f>
      </x:c>
      <x:c r="AL12" s="14">
        <x:f>IF($C12="","",VLOOKUP($C12,Config!$A$2:$Y$4,17,FALSE))</x:f>
      </x:c>
      <x:c r="AM12" s="14">
        <x:f>IF($C12="","",VLOOKUP($C12,Config!$A$2:$Y$4,18,FALSE))</x:f>
      </x:c>
      <x:c r="AN12" s="14">
        <x:f>IF($C12="","",VLOOKUP($C12,Config!$A$2:$Y$4,19,FALSE))</x:f>
      </x:c>
      <x:c r="AO12" s="14">
        <x:f>IF($C12="","",VLOOKUP($C12,Config!$A$2:$Y$4,20,FALSE))</x:f>
      </x:c>
      <x:c r="AP12" s="14">
        <x:f>IF($C12="","",VLOOKUP($C12,Config!$A$2:$Y$4,21,FALSE))</x:f>
      </x:c>
      <x:c r="AQ12" s="14">
        <x:f>IF($C12="","",VLOOKUP($C12,Config!$A$2:$Y$4,22,FALSE))</x:f>
      </x:c>
      <x:c r="AR12" s="14">
        <x:f>IF($C12="","",VLOOKUP($C12,Config!$A$2:$Y$4,23,FALSE))</x:f>
      </x:c>
      <x:c r="AS12" s="13">
        <x:f>IF($C12="","",IF($H12="Extra",3,IF($H12="I",2,IF($H12="II",1,0)))&gt;=IF($AA12="Extra",3,IF($AA12="I",2,IF($AA12="II",1,0))))</x:f>
      </x:c>
      <x:c r="AT12" s="13">
        <x:f>IF($C12="","",IF($I12="",FALSE,$I12&gt;=$AB12))</x:f>
      </x:c>
      <x:c r="AU12" s="13">
        <x:f>IF($C12="","",IF($AC12="",TRUE,IF($J12="",FALSE,$J12&lt;=$AC12)))</x:f>
      </x:c>
      <x:c r="AV12" s="13">
        <x:f>IF($C12="","",IF($AD12="",TRUE,IF($K12="",FALSE,$K12&lt;=$AD12)))</x:f>
      </x:c>
      <x:c r="AW12" s="13">
        <x:f>IF($C12="","",IF($AE12="",TRUE,IF($L12="",FALSE,$L12&lt;=$AE12)))</x:f>
      </x:c>
      <x:c r="AX12" s="13">
        <x:f>IF($C12="","",IF($AF12="",TRUE,IF($M12="",FALSE,$M12&lt;=$AF12)))</x:f>
      </x:c>
      <x:c r="AY12" s="13">
        <x:f>IF($C12="","",IF($AG12="",TRUE,IF($N12="",FALSE,$N12&gt;=$AG12)))</x:f>
      </x:c>
      <x:c r="AZ12" s="13">
        <x:f>IF($C12="","",IF(OR($AH12="",$AI12=""),TRUE,IF($O12="",FALSE,AND($O12&gt;=$AH12,$O12&lt;=$AI12))))</x:f>
      </x:c>
      <x:c r="BA12" s="13">
        <x:f>IF($C12="","",IF($AJ12="Y",$P12="Y",TRUE))</x:f>
      </x:c>
      <x:c r="BB12" s="13">
        <x:f>IF($C12="","",IF($AK12="Y",$Q12="Y",TRUE))</x:f>
      </x:c>
      <x:c r="BC12" s="13">
        <x:f>IF($C12="","",IF($AL12="Y",$R12="Y",TRUE))</x:f>
      </x:c>
      <x:c r="BD12" s="13">
        <x:f>IF($C12="","",IF($AM12="Y",$S12="Y",TRUE))</x:f>
      </x:c>
      <x:c r="BE12" s="13">
        <x:f>IF($C12="","",IF($AN12="Y",$T12="Y",TRUE))</x:f>
      </x:c>
      <x:c r="BF12" s="13">
        <x:f>IF($C12="","",IF($AO12="",TRUE,IF($U12="",FALSE,$U12&lt;=$AO12)))</x:f>
      </x:c>
      <x:c r="BG12" s="13">
        <x:f>IF($C12="","",IF($AP12="",TRUE,IF($V12="",FALSE,$V12&lt;=$AP12)))</x:f>
      </x:c>
      <x:c r="BH12" s="13">
        <x:f>IF($C12="","",IF($AQ12="",TRUE,IF($W12="",FALSE,$W12&lt;=$AQ12)))</x:f>
      </x:c>
      <x:c r="BI12" s="13">
        <x:f>IF($C12="","",IF($AR12="",TRUE,IF($X12="",FALSE,$X12&lt;=$AR12)))</x:f>
      </x:c>
      <x:c r="BJ12" s="15">
        <x:f>IF($C12="","",IF($Y12="",0,$Y12)+IF($AS12,10,0)+IF($AT12,8,0)+IF($AU12,5,0)+IF($AV12,8,0)+IF($AW12,15,0)+IF($AX12,4,0)+IF($AY12,5,0)+IF($AZ12,10,0)+IF($BA12,8,0)+IF($BB12,4,0)+IF($BC12,6,0)+IF($BD12,3,0)+IF($BE12,2,0)+IF($BF12,2,0)+IF($BG12,2,0)+IF($BH12,2,0)+IF($BI12,1,0))</x:f>
      </x:c>
      <x:c r="BK12" s="15">
        <x:f>IF($C12="","",IF(NOT($AS12),1,0)+IF(NOT($AW12),1,0)+IF(NOT($AZ12),1,0)+IF(NOT($BA12),1,0)+IF(NOT($BB12),1,0)+IF(NOT($BC12),1,0))</x:f>
      </x:c>
      <x:c r="BL12" s="13">
        <x:f>IF($C12="","",IF($BK12&gt;0,"REJECT",IF(COUNTIF($AS12:$BI12,FALSE)=0,"ACCEPT",IF($BJ12&gt;=85,"ACCEPT WITH SORTING / DISCOUNT","REJECT"))))</x:f>
      </x:c>
    </x:row>
    <x:row r="13" ht="24" customHeight="1">
      <x:c r="A13" s="10" t="n"/>
      <x:c r="B13" s="11" t="n"/>
      <x:c r="C13" s="11" t="n"/>
      <x:c r="D13" s="11" t="n"/>
      <x:c r="E13" s="11" t="n"/>
      <x:c r="F13" s="11" t="n"/>
      <x:c r="G13" s="11" t="n"/>
      <x:c r="H13" s="11" t="n"/>
      <x:c r="I13" s="12" t="n"/>
      <x:c r="J13" s="12" t="n"/>
      <x:c r="K13" s="12" t="n"/>
      <x:c r="L13" s="12" t="n"/>
      <x:c r="M13" s="12" t="n"/>
      <x:c r="N13" s="12" t="n"/>
      <x:c r="O13" s="12" t="n"/>
      <x:c r="P13" s="11" t="n"/>
      <x:c r="Q13" s="11" t="n"/>
      <x:c r="R13" s="11" t="n"/>
      <x:c r="S13" s="11" t="n"/>
      <x:c r="T13" s="11" t="n"/>
      <x:c r="U13" s="12" t="n"/>
      <x:c r="V13" s="12" t="n"/>
      <x:c r="W13" s="12" t="n"/>
      <x:c r="X13" s="12" t="n"/>
      <x:c r="Y13" s="12" t="n"/>
      <x:c r="Z13" s="13">
        <x:f>IF($C13="","",VLOOKUP($C13,Config!$A$2:$Y$4,2,FALSE))</x:f>
      </x:c>
      <x:c r="AA13" s="13">
        <x:f>IF($C13="","",VLOOKUP($C13,Config!$A$2:$Y$4,5,FALSE))</x:f>
      </x:c>
      <x:c r="AB13" s="14">
        <x:f>IF($C13="","",VLOOKUP($C13,Config!$A$2:$Y$4,7,FALSE))</x:f>
      </x:c>
      <x:c r="AC13" s="14">
        <x:f>IF($C13="","",VLOOKUP($C13,Config!$A$2:$Y$4,8,FALSE))</x:f>
      </x:c>
      <x:c r="AD13" s="14">
        <x:f>IF($C13="","",VLOOKUP($C13,Config!$A$2:$Y$4,9,FALSE))</x:f>
      </x:c>
      <x:c r="AE13" s="14">
        <x:f>IF($C13="","",VLOOKUP($C13,Config!$A$2:$Y$4,10,FALSE))</x:f>
      </x:c>
      <x:c r="AF13" s="14">
        <x:f>IF($C13="","",VLOOKUP($C13,Config!$A$2:$Y$4,11,FALSE))</x:f>
      </x:c>
      <x:c r="AG13" s="14">
        <x:f>IF($C13="","",VLOOKUP($C13,Config!$A$2:$Y$4,12,FALSE))</x:f>
      </x:c>
      <x:c r="AH13" s="14">
        <x:f>IF($C13="","",VLOOKUP($C13,Config!$A$2:$Y$4,13,FALSE))</x:f>
      </x:c>
      <x:c r="AI13" s="14">
        <x:f>IF($C13="","",VLOOKUP($C13,Config!$A$2:$Y$4,14,FALSE))</x:f>
      </x:c>
      <x:c r="AJ13" s="14">
        <x:f>IF($C13="","",VLOOKUP($C13,Config!$A$2:$Y$4,15,FALSE))</x:f>
      </x:c>
      <x:c r="AK13" s="14">
        <x:f>IF($C13="","",VLOOKUP($C13,Config!$A$2:$Y$4,16,FALSE))</x:f>
      </x:c>
      <x:c r="AL13" s="14">
        <x:f>IF($C13="","",VLOOKUP($C13,Config!$A$2:$Y$4,17,FALSE))</x:f>
      </x:c>
      <x:c r="AM13" s="14">
        <x:f>IF($C13="","",VLOOKUP($C13,Config!$A$2:$Y$4,18,FALSE))</x:f>
      </x:c>
      <x:c r="AN13" s="14">
        <x:f>IF($C13="","",VLOOKUP($C13,Config!$A$2:$Y$4,19,FALSE))</x:f>
      </x:c>
      <x:c r="AO13" s="14">
        <x:f>IF($C13="","",VLOOKUP($C13,Config!$A$2:$Y$4,20,FALSE))</x:f>
      </x:c>
      <x:c r="AP13" s="14">
        <x:f>IF($C13="","",VLOOKUP($C13,Config!$A$2:$Y$4,21,FALSE))</x:f>
      </x:c>
      <x:c r="AQ13" s="14">
        <x:f>IF($C13="","",VLOOKUP($C13,Config!$A$2:$Y$4,22,FALSE))</x:f>
      </x:c>
      <x:c r="AR13" s="14">
        <x:f>IF($C13="","",VLOOKUP($C13,Config!$A$2:$Y$4,23,FALSE))</x:f>
      </x:c>
      <x:c r="AS13" s="13">
        <x:f>IF($C13="","",IF($H13="Extra",3,IF($H13="I",2,IF($H13="II",1,0)))&gt;=IF($AA13="Extra",3,IF($AA13="I",2,IF($AA13="II",1,0))))</x:f>
      </x:c>
      <x:c r="AT13" s="13">
        <x:f>IF($C13="","",IF($I13="",FALSE,$I13&gt;=$AB13))</x:f>
      </x:c>
      <x:c r="AU13" s="13">
        <x:f>IF($C13="","",IF($AC13="",TRUE,IF($J13="",FALSE,$J13&lt;=$AC13)))</x:f>
      </x:c>
      <x:c r="AV13" s="13">
        <x:f>IF($C13="","",IF($AD13="",TRUE,IF($K13="",FALSE,$K13&lt;=$AD13)))</x:f>
      </x:c>
      <x:c r="AW13" s="13">
        <x:f>IF($C13="","",IF($AE13="",TRUE,IF($L13="",FALSE,$L13&lt;=$AE13)))</x:f>
      </x:c>
      <x:c r="AX13" s="13">
        <x:f>IF($C13="","",IF($AF13="",TRUE,IF($M13="",FALSE,$M13&lt;=$AF13)))</x:f>
      </x:c>
      <x:c r="AY13" s="13">
        <x:f>IF($C13="","",IF($AG13="",TRUE,IF($N13="",FALSE,$N13&gt;=$AG13)))</x:f>
      </x:c>
      <x:c r="AZ13" s="13">
        <x:f>IF($C13="","",IF(OR($AH13="",$AI13=""),TRUE,IF($O13="",FALSE,AND($O13&gt;=$AH13,$O13&lt;=$AI13))))</x:f>
      </x:c>
      <x:c r="BA13" s="13">
        <x:f>IF($C13="","",IF($AJ13="Y",$P13="Y",TRUE))</x:f>
      </x:c>
      <x:c r="BB13" s="13">
        <x:f>IF($C13="","",IF($AK13="Y",$Q13="Y",TRUE))</x:f>
      </x:c>
      <x:c r="BC13" s="13">
        <x:f>IF($C13="","",IF($AL13="Y",$R13="Y",TRUE))</x:f>
      </x:c>
      <x:c r="BD13" s="13">
        <x:f>IF($C13="","",IF($AM13="Y",$S13="Y",TRUE))</x:f>
      </x:c>
      <x:c r="BE13" s="13">
        <x:f>IF($C13="","",IF($AN13="Y",$T13="Y",TRUE))</x:f>
      </x:c>
      <x:c r="BF13" s="13">
        <x:f>IF($C13="","",IF($AO13="",TRUE,IF($U13="",FALSE,$U13&lt;=$AO13)))</x:f>
      </x:c>
      <x:c r="BG13" s="13">
        <x:f>IF($C13="","",IF($AP13="",TRUE,IF($V13="",FALSE,$V13&lt;=$AP13)))</x:f>
      </x:c>
      <x:c r="BH13" s="13">
        <x:f>IF($C13="","",IF($AQ13="",TRUE,IF($W13="",FALSE,$W13&lt;=$AQ13)))</x:f>
      </x:c>
      <x:c r="BI13" s="13">
        <x:f>IF($C13="","",IF($AR13="",TRUE,IF($X13="",FALSE,$X13&lt;=$AR13)))</x:f>
      </x:c>
      <x:c r="BJ13" s="15">
        <x:f>IF($C13="","",IF($Y13="",0,$Y13)+IF($AS13,10,0)+IF($AT13,8,0)+IF($AU13,5,0)+IF($AV13,8,0)+IF($AW13,15,0)+IF($AX13,4,0)+IF($AY13,5,0)+IF($AZ13,10,0)+IF($BA13,8,0)+IF($BB13,4,0)+IF($BC13,6,0)+IF($BD13,3,0)+IF($BE13,2,0)+IF($BF13,2,0)+IF($BG13,2,0)+IF($BH13,2,0)+IF($BI13,1,0))</x:f>
      </x:c>
      <x:c r="BK13" s="15">
        <x:f>IF($C13="","",IF(NOT($AS13),1,0)+IF(NOT($AW13),1,0)+IF(NOT($AZ13),1,0)+IF(NOT($BA13),1,0)+IF(NOT($BB13),1,0)+IF(NOT($BC13),1,0))</x:f>
      </x:c>
      <x:c r="BL13" s="13">
        <x:f>IF($C13="","",IF($BK13&gt;0,"REJECT",IF(COUNTIF($AS13:$BI13,FALSE)=0,"ACCEPT",IF($BJ13&gt;=85,"ACCEPT WITH SORTING / DISCOUNT","REJECT"))))</x:f>
      </x:c>
    </x:row>
    <x:row r="14" ht="24" customHeight="1">
      <x:c r="A14" s="10" t="n"/>
      <x:c r="B14" s="11" t="n"/>
      <x:c r="C14" s="11" t="n"/>
      <x:c r="D14" s="11" t="n"/>
      <x:c r="E14" s="11" t="n"/>
      <x:c r="F14" s="11" t="n"/>
      <x:c r="G14" s="11" t="n"/>
      <x:c r="H14" s="11" t="n"/>
      <x:c r="I14" s="12" t="n"/>
      <x:c r="J14" s="12" t="n"/>
      <x:c r="K14" s="12" t="n"/>
      <x:c r="L14" s="12" t="n"/>
      <x:c r="M14" s="12" t="n"/>
      <x:c r="N14" s="12" t="n"/>
      <x:c r="O14" s="12" t="n"/>
      <x:c r="P14" s="11" t="n"/>
      <x:c r="Q14" s="11" t="n"/>
      <x:c r="R14" s="11" t="n"/>
      <x:c r="S14" s="11" t="n"/>
      <x:c r="T14" s="11" t="n"/>
      <x:c r="U14" s="12" t="n"/>
      <x:c r="V14" s="12" t="n"/>
      <x:c r="W14" s="12" t="n"/>
      <x:c r="X14" s="12" t="n"/>
      <x:c r="Y14" s="12" t="n"/>
      <x:c r="Z14" s="13">
        <x:f>IF($C14="","",VLOOKUP($C14,Config!$A$2:$Y$4,2,FALSE))</x:f>
      </x:c>
      <x:c r="AA14" s="13">
        <x:f>IF($C14="","",VLOOKUP($C14,Config!$A$2:$Y$4,5,FALSE))</x:f>
      </x:c>
      <x:c r="AB14" s="14">
        <x:f>IF($C14="","",VLOOKUP($C14,Config!$A$2:$Y$4,7,FALSE))</x:f>
      </x:c>
      <x:c r="AC14" s="14">
        <x:f>IF($C14="","",VLOOKUP($C14,Config!$A$2:$Y$4,8,FALSE))</x:f>
      </x:c>
      <x:c r="AD14" s="14">
        <x:f>IF($C14="","",VLOOKUP($C14,Config!$A$2:$Y$4,9,FALSE))</x:f>
      </x:c>
      <x:c r="AE14" s="14">
        <x:f>IF($C14="","",VLOOKUP($C14,Config!$A$2:$Y$4,10,FALSE))</x:f>
      </x:c>
      <x:c r="AF14" s="14">
        <x:f>IF($C14="","",VLOOKUP($C14,Config!$A$2:$Y$4,11,FALSE))</x:f>
      </x:c>
      <x:c r="AG14" s="14">
        <x:f>IF($C14="","",VLOOKUP($C14,Config!$A$2:$Y$4,12,FALSE))</x:f>
      </x:c>
      <x:c r="AH14" s="14">
        <x:f>IF($C14="","",VLOOKUP($C14,Config!$A$2:$Y$4,13,FALSE))</x:f>
      </x:c>
      <x:c r="AI14" s="14">
        <x:f>IF($C14="","",VLOOKUP($C14,Config!$A$2:$Y$4,14,FALSE))</x:f>
      </x:c>
      <x:c r="AJ14" s="14">
        <x:f>IF($C14="","",VLOOKUP($C14,Config!$A$2:$Y$4,15,FALSE))</x:f>
      </x:c>
      <x:c r="AK14" s="14">
        <x:f>IF($C14="","",VLOOKUP($C14,Config!$A$2:$Y$4,16,FALSE))</x:f>
      </x:c>
      <x:c r="AL14" s="14">
        <x:f>IF($C14="","",VLOOKUP($C14,Config!$A$2:$Y$4,17,FALSE))</x:f>
      </x:c>
      <x:c r="AM14" s="14">
        <x:f>IF($C14="","",VLOOKUP($C14,Config!$A$2:$Y$4,18,FALSE))</x:f>
      </x:c>
      <x:c r="AN14" s="14">
        <x:f>IF($C14="","",VLOOKUP($C14,Config!$A$2:$Y$4,19,FALSE))</x:f>
      </x:c>
      <x:c r="AO14" s="14">
        <x:f>IF($C14="","",VLOOKUP($C14,Config!$A$2:$Y$4,20,FALSE))</x:f>
      </x:c>
      <x:c r="AP14" s="14">
        <x:f>IF($C14="","",VLOOKUP($C14,Config!$A$2:$Y$4,21,FALSE))</x:f>
      </x:c>
      <x:c r="AQ14" s="14">
        <x:f>IF($C14="","",VLOOKUP($C14,Config!$A$2:$Y$4,22,FALSE))</x:f>
      </x:c>
      <x:c r="AR14" s="14">
        <x:f>IF($C14="","",VLOOKUP($C14,Config!$A$2:$Y$4,23,FALSE))</x:f>
      </x:c>
      <x:c r="AS14" s="13">
        <x:f>IF($C14="","",IF($H14="Extra",3,IF($H14="I",2,IF($H14="II",1,0)))&gt;=IF($AA14="Extra",3,IF($AA14="I",2,IF($AA14="II",1,0))))</x:f>
      </x:c>
      <x:c r="AT14" s="13">
        <x:f>IF($C14="","",IF($I14="",FALSE,$I14&gt;=$AB14))</x:f>
      </x:c>
      <x:c r="AU14" s="13">
        <x:f>IF($C14="","",IF($AC14="",TRUE,IF($J14="",FALSE,$J14&lt;=$AC14)))</x:f>
      </x:c>
      <x:c r="AV14" s="13">
        <x:f>IF($C14="","",IF($AD14="",TRUE,IF($K14="",FALSE,$K14&lt;=$AD14)))</x:f>
      </x:c>
      <x:c r="AW14" s="13">
        <x:f>IF($C14="","",IF($AE14="",TRUE,IF($L14="",FALSE,$L14&lt;=$AE14)))</x:f>
      </x:c>
      <x:c r="AX14" s="13">
        <x:f>IF($C14="","",IF($AF14="",TRUE,IF($M14="",FALSE,$M14&lt;=$AF14)))</x:f>
      </x:c>
      <x:c r="AY14" s="13">
        <x:f>IF($C14="","",IF($AG14="",TRUE,IF($N14="",FALSE,$N14&gt;=$AG14)))</x:f>
      </x:c>
      <x:c r="AZ14" s="13">
        <x:f>IF($C14="","",IF(OR($AH14="",$AI14=""),TRUE,IF($O14="",FALSE,AND($O14&gt;=$AH14,$O14&lt;=$AI14))))</x:f>
      </x:c>
      <x:c r="BA14" s="13">
        <x:f>IF($C14="","",IF($AJ14="Y",$P14="Y",TRUE))</x:f>
      </x:c>
      <x:c r="BB14" s="13">
        <x:f>IF($C14="","",IF($AK14="Y",$Q14="Y",TRUE))</x:f>
      </x:c>
      <x:c r="BC14" s="13">
        <x:f>IF($C14="","",IF($AL14="Y",$R14="Y",TRUE))</x:f>
      </x:c>
      <x:c r="BD14" s="13">
        <x:f>IF($C14="","",IF($AM14="Y",$S14="Y",TRUE))</x:f>
      </x:c>
      <x:c r="BE14" s="13">
        <x:f>IF($C14="","",IF($AN14="Y",$T14="Y",TRUE))</x:f>
      </x:c>
      <x:c r="BF14" s="13">
        <x:f>IF($C14="","",IF($AO14="",TRUE,IF($U14="",FALSE,$U14&lt;=$AO14)))</x:f>
      </x:c>
      <x:c r="BG14" s="13">
        <x:f>IF($C14="","",IF($AP14="",TRUE,IF($V14="",FALSE,$V14&lt;=$AP14)))</x:f>
      </x:c>
      <x:c r="BH14" s="13">
        <x:f>IF($C14="","",IF($AQ14="",TRUE,IF($W14="",FALSE,$W14&lt;=$AQ14)))</x:f>
      </x:c>
      <x:c r="BI14" s="13">
        <x:f>IF($C14="","",IF($AR14="",TRUE,IF($X14="",FALSE,$X14&lt;=$AR14)))</x:f>
      </x:c>
      <x:c r="BJ14" s="15">
        <x:f>IF($C14="","",IF($Y14="",0,$Y14)+IF($AS14,10,0)+IF($AT14,8,0)+IF($AU14,5,0)+IF($AV14,8,0)+IF($AW14,15,0)+IF($AX14,4,0)+IF($AY14,5,0)+IF($AZ14,10,0)+IF($BA14,8,0)+IF($BB14,4,0)+IF($BC14,6,0)+IF($BD14,3,0)+IF($BE14,2,0)+IF($BF14,2,0)+IF($BG14,2,0)+IF($BH14,2,0)+IF($BI14,1,0))</x:f>
      </x:c>
      <x:c r="BK14" s="15">
        <x:f>IF($C14="","",IF(NOT($AS14),1,0)+IF(NOT($AW14),1,0)+IF(NOT($AZ14),1,0)+IF(NOT($BA14),1,0)+IF(NOT($BB14),1,0)+IF(NOT($BC14),1,0))</x:f>
      </x:c>
      <x:c r="BL14" s="13">
        <x:f>IF($C14="","",IF($BK14&gt;0,"REJECT",IF(COUNTIF($AS14:$BI14,FALSE)=0,"ACCEPT",IF($BJ14&gt;=85,"ACCEPT WITH SORTING / DISCOUNT","REJECT"))))</x:f>
      </x:c>
    </x:row>
    <x:row r="15" ht="24" customHeight="1">
      <x:c r="A15" s="10" t="n"/>
      <x:c r="B15" s="11" t="n"/>
      <x:c r="C15" s="11" t="n"/>
      <x:c r="D15" s="11" t="n"/>
      <x:c r="E15" s="11" t="n"/>
      <x:c r="F15" s="11" t="n"/>
      <x:c r="G15" s="11" t="n"/>
      <x:c r="H15" s="11" t="n"/>
      <x:c r="I15" s="12" t="n"/>
      <x:c r="J15" s="12" t="n"/>
      <x:c r="K15" s="12" t="n"/>
      <x:c r="L15" s="12" t="n"/>
      <x:c r="M15" s="12" t="n"/>
      <x:c r="N15" s="12" t="n"/>
      <x:c r="O15" s="12" t="n"/>
      <x:c r="P15" s="11" t="n"/>
      <x:c r="Q15" s="11" t="n"/>
      <x:c r="R15" s="11" t="n"/>
      <x:c r="S15" s="11" t="n"/>
      <x:c r="T15" s="11" t="n"/>
      <x:c r="U15" s="12" t="n"/>
      <x:c r="V15" s="12" t="n"/>
      <x:c r="W15" s="12" t="n"/>
      <x:c r="X15" s="12" t="n"/>
      <x:c r="Y15" s="12" t="n"/>
      <x:c r="Z15" s="13">
        <x:f>IF($C15="","",VLOOKUP($C15,Config!$A$2:$Y$4,2,FALSE))</x:f>
      </x:c>
      <x:c r="AA15" s="13">
        <x:f>IF($C15="","",VLOOKUP($C15,Config!$A$2:$Y$4,5,FALSE))</x:f>
      </x:c>
      <x:c r="AB15" s="14">
        <x:f>IF($C15="","",VLOOKUP($C15,Config!$A$2:$Y$4,7,FALSE))</x:f>
      </x:c>
      <x:c r="AC15" s="14">
        <x:f>IF($C15="","",VLOOKUP($C15,Config!$A$2:$Y$4,8,FALSE))</x:f>
      </x:c>
      <x:c r="AD15" s="14">
        <x:f>IF($C15="","",VLOOKUP($C15,Config!$A$2:$Y$4,9,FALSE))</x:f>
      </x:c>
      <x:c r="AE15" s="14">
        <x:f>IF($C15="","",VLOOKUP($C15,Config!$A$2:$Y$4,10,FALSE))</x:f>
      </x:c>
      <x:c r="AF15" s="14">
        <x:f>IF($C15="","",VLOOKUP($C15,Config!$A$2:$Y$4,11,FALSE))</x:f>
      </x:c>
      <x:c r="AG15" s="14">
        <x:f>IF($C15="","",VLOOKUP($C15,Config!$A$2:$Y$4,12,FALSE))</x:f>
      </x:c>
      <x:c r="AH15" s="14">
        <x:f>IF($C15="","",VLOOKUP($C15,Config!$A$2:$Y$4,13,FALSE))</x:f>
      </x:c>
      <x:c r="AI15" s="14">
        <x:f>IF($C15="","",VLOOKUP($C15,Config!$A$2:$Y$4,14,FALSE))</x:f>
      </x:c>
      <x:c r="AJ15" s="14">
        <x:f>IF($C15="","",VLOOKUP($C15,Config!$A$2:$Y$4,15,FALSE))</x:f>
      </x:c>
      <x:c r="AK15" s="14">
        <x:f>IF($C15="","",VLOOKUP($C15,Config!$A$2:$Y$4,16,FALSE))</x:f>
      </x:c>
      <x:c r="AL15" s="14">
        <x:f>IF($C15="","",VLOOKUP($C15,Config!$A$2:$Y$4,17,FALSE))</x:f>
      </x:c>
      <x:c r="AM15" s="14">
        <x:f>IF($C15="","",VLOOKUP($C15,Config!$A$2:$Y$4,18,FALSE))</x:f>
      </x:c>
      <x:c r="AN15" s="14">
        <x:f>IF($C15="","",VLOOKUP($C15,Config!$A$2:$Y$4,19,FALSE))</x:f>
      </x:c>
      <x:c r="AO15" s="14">
        <x:f>IF($C15="","",VLOOKUP($C15,Config!$A$2:$Y$4,20,FALSE))</x:f>
      </x:c>
      <x:c r="AP15" s="14">
        <x:f>IF($C15="","",VLOOKUP($C15,Config!$A$2:$Y$4,21,FALSE))</x:f>
      </x:c>
      <x:c r="AQ15" s="14">
        <x:f>IF($C15="","",VLOOKUP($C15,Config!$A$2:$Y$4,22,FALSE))</x:f>
      </x:c>
      <x:c r="AR15" s="14">
        <x:f>IF($C15="","",VLOOKUP($C15,Config!$A$2:$Y$4,23,FALSE))</x:f>
      </x:c>
      <x:c r="AS15" s="13">
        <x:f>IF($C15="","",IF($H15="Extra",3,IF($H15="I",2,IF($H15="II",1,0)))&gt;=IF($AA15="Extra",3,IF($AA15="I",2,IF($AA15="II",1,0))))</x:f>
      </x:c>
      <x:c r="AT15" s="13">
        <x:f>IF($C15="","",IF($I15="",FALSE,$I15&gt;=$AB15))</x:f>
      </x:c>
      <x:c r="AU15" s="13">
        <x:f>IF($C15="","",IF($AC15="",TRUE,IF($J15="",FALSE,$J15&lt;=$AC15)))</x:f>
      </x:c>
      <x:c r="AV15" s="13">
        <x:f>IF($C15="","",IF($AD15="",TRUE,IF($K15="",FALSE,$K15&lt;=$AD15)))</x:f>
      </x:c>
      <x:c r="AW15" s="13">
        <x:f>IF($C15="","",IF($AE15="",TRUE,IF($L15="",FALSE,$L15&lt;=$AE15)))</x:f>
      </x:c>
      <x:c r="AX15" s="13">
        <x:f>IF($C15="","",IF($AF15="",TRUE,IF($M15="",FALSE,$M15&lt;=$AF15)))</x:f>
      </x:c>
      <x:c r="AY15" s="13">
        <x:f>IF($C15="","",IF($AG15="",TRUE,IF($N15="",FALSE,$N15&gt;=$AG15)))</x:f>
      </x:c>
      <x:c r="AZ15" s="13">
        <x:f>IF($C15="","",IF(OR($AH15="",$AI15=""),TRUE,IF($O15="",FALSE,AND($O15&gt;=$AH15,$O15&lt;=$AI15))))</x:f>
      </x:c>
      <x:c r="BA15" s="13">
        <x:f>IF($C15="","",IF($AJ15="Y",$P15="Y",TRUE))</x:f>
      </x:c>
      <x:c r="BB15" s="13">
        <x:f>IF($C15="","",IF($AK15="Y",$Q15="Y",TRUE))</x:f>
      </x:c>
      <x:c r="BC15" s="13">
        <x:f>IF($C15="","",IF($AL15="Y",$R15="Y",TRUE))</x:f>
      </x:c>
      <x:c r="BD15" s="13">
        <x:f>IF($C15="","",IF($AM15="Y",$S15="Y",TRUE))</x:f>
      </x:c>
      <x:c r="BE15" s="13">
        <x:f>IF($C15="","",IF($AN15="Y",$T15="Y",TRUE))</x:f>
      </x:c>
      <x:c r="BF15" s="13">
        <x:f>IF($C15="","",IF($AO15="",TRUE,IF($U15="",FALSE,$U15&lt;=$AO15)))</x:f>
      </x:c>
      <x:c r="BG15" s="13">
        <x:f>IF($C15="","",IF($AP15="",TRUE,IF($V15="",FALSE,$V15&lt;=$AP15)))</x:f>
      </x:c>
      <x:c r="BH15" s="13">
        <x:f>IF($C15="","",IF($AQ15="",TRUE,IF($W15="",FALSE,$W15&lt;=$AQ15)))</x:f>
      </x:c>
      <x:c r="BI15" s="13">
        <x:f>IF($C15="","",IF($AR15="",TRUE,IF($X15="",FALSE,$X15&lt;=$AR15)))</x:f>
      </x:c>
      <x:c r="BJ15" s="15">
        <x:f>IF($C15="","",IF($Y15="",0,$Y15)+IF($AS15,10,0)+IF($AT15,8,0)+IF($AU15,5,0)+IF($AV15,8,0)+IF($AW15,15,0)+IF($AX15,4,0)+IF($AY15,5,0)+IF($AZ15,10,0)+IF($BA15,8,0)+IF($BB15,4,0)+IF($BC15,6,0)+IF($BD15,3,0)+IF($BE15,2,0)+IF($BF15,2,0)+IF($BG15,2,0)+IF($BH15,2,0)+IF($BI15,1,0))</x:f>
      </x:c>
      <x:c r="BK15" s="15">
        <x:f>IF($C15="","",IF(NOT($AS15),1,0)+IF(NOT($AW15),1,0)+IF(NOT($AZ15),1,0)+IF(NOT($BA15),1,0)+IF(NOT($BB15),1,0)+IF(NOT($BC15),1,0))</x:f>
      </x:c>
      <x:c r="BL15" s="13">
        <x:f>IF($C15="","",IF($BK15&gt;0,"REJECT",IF(COUNTIF($AS15:$BI15,FALSE)=0,"ACCEPT",IF($BJ15&gt;=85,"ACCEPT WITH SORTING / DISCOUNT","REJECT"))))</x:f>
      </x:c>
    </x:row>
    <x:row r="16" ht="24" customHeight="1">
      <x:c r="A16" s="10" t="n"/>
      <x:c r="B16" s="11" t="n"/>
      <x:c r="C16" s="11" t="n"/>
      <x:c r="D16" s="11" t="n"/>
      <x:c r="E16" s="11" t="n"/>
      <x:c r="F16" s="11" t="n"/>
      <x:c r="G16" s="11" t="n"/>
      <x:c r="H16" s="11" t="n"/>
      <x:c r="I16" s="12" t="n"/>
      <x:c r="J16" s="12" t="n"/>
      <x:c r="K16" s="12" t="n"/>
      <x:c r="L16" s="12" t="n"/>
      <x:c r="M16" s="12" t="n"/>
      <x:c r="N16" s="12" t="n"/>
      <x:c r="O16" s="12" t="n"/>
      <x:c r="P16" s="11" t="n"/>
      <x:c r="Q16" s="11" t="n"/>
      <x:c r="R16" s="11" t="n"/>
      <x:c r="S16" s="11" t="n"/>
      <x:c r="T16" s="11" t="n"/>
      <x:c r="U16" s="12" t="n"/>
      <x:c r="V16" s="12" t="n"/>
      <x:c r="W16" s="12" t="n"/>
      <x:c r="X16" s="12" t="n"/>
      <x:c r="Y16" s="12" t="n"/>
      <x:c r="Z16" s="13">
        <x:f>IF($C16="","",VLOOKUP($C16,Config!$A$2:$Y$4,2,FALSE))</x:f>
      </x:c>
      <x:c r="AA16" s="13">
        <x:f>IF($C16="","",VLOOKUP($C16,Config!$A$2:$Y$4,5,FALSE))</x:f>
      </x:c>
      <x:c r="AB16" s="14">
        <x:f>IF($C16="","",VLOOKUP($C16,Config!$A$2:$Y$4,7,FALSE))</x:f>
      </x:c>
      <x:c r="AC16" s="14">
        <x:f>IF($C16="","",VLOOKUP($C16,Config!$A$2:$Y$4,8,FALSE))</x:f>
      </x:c>
      <x:c r="AD16" s="14">
        <x:f>IF($C16="","",VLOOKUP($C16,Config!$A$2:$Y$4,9,FALSE))</x:f>
      </x:c>
      <x:c r="AE16" s="14">
        <x:f>IF($C16="","",VLOOKUP($C16,Config!$A$2:$Y$4,10,FALSE))</x:f>
      </x:c>
      <x:c r="AF16" s="14">
        <x:f>IF($C16="","",VLOOKUP($C16,Config!$A$2:$Y$4,11,FALSE))</x:f>
      </x:c>
      <x:c r="AG16" s="14">
        <x:f>IF($C16="","",VLOOKUP($C16,Config!$A$2:$Y$4,12,FALSE))</x:f>
      </x:c>
      <x:c r="AH16" s="14">
        <x:f>IF($C16="","",VLOOKUP($C16,Config!$A$2:$Y$4,13,FALSE))</x:f>
      </x:c>
      <x:c r="AI16" s="14">
        <x:f>IF($C16="","",VLOOKUP($C16,Config!$A$2:$Y$4,14,FALSE))</x:f>
      </x:c>
      <x:c r="AJ16" s="14">
        <x:f>IF($C16="","",VLOOKUP($C16,Config!$A$2:$Y$4,15,FALSE))</x:f>
      </x:c>
      <x:c r="AK16" s="14">
        <x:f>IF($C16="","",VLOOKUP($C16,Config!$A$2:$Y$4,16,FALSE))</x:f>
      </x:c>
      <x:c r="AL16" s="14">
        <x:f>IF($C16="","",VLOOKUP($C16,Config!$A$2:$Y$4,17,FALSE))</x:f>
      </x:c>
      <x:c r="AM16" s="14">
        <x:f>IF($C16="","",VLOOKUP($C16,Config!$A$2:$Y$4,18,FALSE))</x:f>
      </x:c>
      <x:c r="AN16" s="14">
        <x:f>IF($C16="","",VLOOKUP($C16,Config!$A$2:$Y$4,19,FALSE))</x:f>
      </x:c>
      <x:c r="AO16" s="14">
        <x:f>IF($C16="","",VLOOKUP($C16,Config!$A$2:$Y$4,20,FALSE))</x:f>
      </x:c>
      <x:c r="AP16" s="14">
        <x:f>IF($C16="","",VLOOKUP($C16,Config!$A$2:$Y$4,21,FALSE))</x:f>
      </x:c>
      <x:c r="AQ16" s="14">
        <x:f>IF($C16="","",VLOOKUP($C16,Config!$A$2:$Y$4,22,FALSE))</x:f>
      </x:c>
      <x:c r="AR16" s="14">
        <x:f>IF($C16="","",VLOOKUP($C16,Config!$A$2:$Y$4,23,FALSE))</x:f>
      </x:c>
      <x:c r="AS16" s="13">
        <x:f>IF($C16="","",IF($H16="Extra",3,IF($H16="I",2,IF($H16="II",1,0)))&gt;=IF($AA16="Extra",3,IF($AA16="I",2,IF($AA16="II",1,0))))</x:f>
      </x:c>
      <x:c r="AT16" s="13">
        <x:f>IF($C16="","",IF($I16="",FALSE,$I16&gt;=$AB16))</x:f>
      </x:c>
      <x:c r="AU16" s="13">
        <x:f>IF($C16="","",IF($AC16="",TRUE,IF($J16="",FALSE,$J16&lt;=$AC16)))</x:f>
      </x:c>
      <x:c r="AV16" s="13">
        <x:f>IF($C16="","",IF($AD16="",TRUE,IF($K16="",FALSE,$K16&lt;=$AD16)))</x:f>
      </x:c>
      <x:c r="AW16" s="13">
        <x:f>IF($C16="","",IF($AE16="",TRUE,IF($L16="",FALSE,$L16&lt;=$AE16)))</x:f>
      </x:c>
      <x:c r="AX16" s="13">
        <x:f>IF($C16="","",IF($AF16="",TRUE,IF($M16="",FALSE,$M16&lt;=$AF16)))</x:f>
      </x:c>
      <x:c r="AY16" s="13">
        <x:f>IF($C16="","",IF($AG16="",TRUE,IF($N16="",FALSE,$N16&gt;=$AG16)))</x:f>
      </x:c>
      <x:c r="AZ16" s="13">
        <x:f>IF($C16="","",IF(OR($AH16="",$AI16=""),TRUE,IF($O16="",FALSE,AND($O16&gt;=$AH16,$O16&lt;=$AI16))))</x:f>
      </x:c>
      <x:c r="BA16" s="13">
        <x:f>IF($C16="","",IF($AJ16="Y",$P16="Y",TRUE))</x:f>
      </x:c>
      <x:c r="BB16" s="13">
        <x:f>IF($C16="","",IF($AK16="Y",$Q16="Y",TRUE))</x:f>
      </x:c>
      <x:c r="BC16" s="13">
        <x:f>IF($C16="","",IF($AL16="Y",$R16="Y",TRUE))</x:f>
      </x:c>
      <x:c r="BD16" s="13">
        <x:f>IF($C16="","",IF($AM16="Y",$S16="Y",TRUE))</x:f>
      </x:c>
      <x:c r="BE16" s="13">
        <x:f>IF($C16="","",IF($AN16="Y",$T16="Y",TRUE))</x:f>
      </x:c>
      <x:c r="BF16" s="13">
        <x:f>IF($C16="","",IF($AO16="",TRUE,IF($U16="",FALSE,$U16&lt;=$AO16)))</x:f>
      </x:c>
      <x:c r="BG16" s="13">
        <x:f>IF($C16="","",IF($AP16="",TRUE,IF($V16="",FALSE,$V16&lt;=$AP16)))</x:f>
      </x:c>
      <x:c r="BH16" s="13">
        <x:f>IF($C16="","",IF($AQ16="",TRUE,IF($W16="",FALSE,$W16&lt;=$AQ16)))</x:f>
      </x:c>
      <x:c r="BI16" s="13">
        <x:f>IF($C16="","",IF($AR16="",TRUE,IF($X16="",FALSE,$X16&lt;=$AR16)))</x:f>
      </x:c>
      <x:c r="BJ16" s="15">
        <x:f>IF($C16="","",IF($Y16="",0,$Y16)+IF($AS16,10,0)+IF($AT16,8,0)+IF($AU16,5,0)+IF($AV16,8,0)+IF($AW16,15,0)+IF($AX16,4,0)+IF($AY16,5,0)+IF($AZ16,10,0)+IF($BA16,8,0)+IF($BB16,4,0)+IF($BC16,6,0)+IF($BD16,3,0)+IF($BE16,2,0)+IF($BF16,2,0)+IF($BG16,2,0)+IF($BH16,2,0)+IF($BI16,1,0))</x:f>
      </x:c>
      <x:c r="BK16" s="15">
        <x:f>IF($C16="","",IF(NOT($AS16),1,0)+IF(NOT($AW16),1,0)+IF(NOT($AZ16),1,0)+IF(NOT($BA16),1,0)+IF(NOT($BB16),1,0)+IF(NOT($BC16),1,0))</x:f>
      </x:c>
      <x:c r="BL16" s="13">
        <x:f>IF($C16="","",IF($BK16&gt;0,"REJECT",IF(COUNTIF($AS16:$BI16,FALSE)=0,"ACCEPT",IF($BJ16&gt;=85,"ACCEPT WITH SORTING / DISCOUNT","REJECT"))))</x:f>
      </x:c>
    </x:row>
    <x:row r="17" ht="24" customHeight="1">
      <x:c r="A17" s="10" t="n"/>
      <x:c r="B17" s="11" t="n"/>
      <x:c r="C17" s="11" t="n"/>
      <x:c r="D17" s="11" t="n"/>
      <x:c r="E17" s="11" t="n"/>
      <x:c r="F17" s="11" t="n"/>
      <x:c r="G17" s="11" t="n"/>
      <x:c r="H17" s="11" t="n"/>
      <x:c r="I17" s="12" t="n"/>
      <x:c r="J17" s="12" t="n"/>
      <x:c r="K17" s="12" t="n"/>
      <x:c r="L17" s="12" t="n"/>
      <x:c r="M17" s="12" t="n"/>
      <x:c r="N17" s="12" t="n"/>
      <x:c r="O17" s="12" t="n"/>
      <x:c r="P17" s="11" t="n"/>
      <x:c r="Q17" s="11" t="n"/>
      <x:c r="R17" s="11" t="n"/>
      <x:c r="S17" s="11" t="n"/>
      <x:c r="T17" s="11" t="n"/>
      <x:c r="U17" s="12" t="n"/>
      <x:c r="V17" s="12" t="n"/>
      <x:c r="W17" s="12" t="n"/>
      <x:c r="X17" s="12" t="n"/>
      <x:c r="Y17" s="12" t="n"/>
      <x:c r="Z17" s="13">
        <x:f>IF($C17="","",VLOOKUP($C17,Config!$A$2:$Y$4,2,FALSE))</x:f>
      </x:c>
      <x:c r="AA17" s="13">
        <x:f>IF($C17="","",VLOOKUP($C17,Config!$A$2:$Y$4,5,FALSE))</x:f>
      </x:c>
      <x:c r="AB17" s="14">
        <x:f>IF($C17="","",VLOOKUP($C17,Config!$A$2:$Y$4,7,FALSE))</x:f>
      </x:c>
      <x:c r="AC17" s="14">
        <x:f>IF($C17="","",VLOOKUP($C17,Config!$A$2:$Y$4,8,FALSE))</x:f>
      </x:c>
      <x:c r="AD17" s="14">
        <x:f>IF($C17="","",VLOOKUP($C17,Config!$A$2:$Y$4,9,FALSE))</x:f>
      </x:c>
      <x:c r="AE17" s="14">
        <x:f>IF($C17="","",VLOOKUP($C17,Config!$A$2:$Y$4,10,FALSE))</x:f>
      </x:c>
      <x:c r="AF17" s="14">
        <x:f>IF($C17="","",VLOOKUP($C17,Config!$A$2:$Y$4,11,FALSE))</x:f>
      </x:c>
      <x:c r="AG17" s="14">
        <x:f>IF($C17="","",VLOOKUP($C17,Config!$A$2:$Y$4,12,FALSE))</x:f>
      </x:c>
      <x:c r="AH17" s="14">
        <x:f>IF($C17="","",VLOOKUP($C17,Config!$A$2:$Y$4,13,FALSE))</x:f>
      </x:c>
      <x:c r="AI17" s="14">
        <x:f>IF($C17="","",VLOOKUP($C17,Config!$A$2:$Y$4,14,FALSE))</x:f>
      </x:c>
      <x:c r="AJ17" s="14">
        <x:f>IF($C17="","",VLOOKUP($C17,Config!$A$2:$Y$4,15,FALSE))</x:f>
      </x:c>
      <x:c r="AK17" s="14">
        <x:f>IF($C17="","",VLOOKUP($C17,Config!$A$2:$Y$4,16,FALSE))</x:f>
      </x:c>
      <x:c r="AL17" s="14">
        <x:f>IF($C17="","",VLOOKUP($C17,Config!$A$2:$Y$4,17,FALSE))</x:f>
      </x:c>
      <x:c r="AM17" s="14">
        <x:f>IF($C17="","",VLOOKUP($C17,Config!$A$2:$Y$4,18,FALSE))</x:f>
      </x:c>
      <x:c r="AN17" s="14">
        <x:f>IF($C17="","",VLOOKUP($C17,Config!$A$2:$Y$4,19,FALSE))</x:f>
      </x:c>
      <x:c r="AO17" s="14">
        <x:f>IF($C17="","",VLOOKUP($C17,Config!$A$2:$Y$4,20,FALSE))</x:f>
      </x:c>
      <x:c r="AP17" s="14">
        <x:f>IF($C17="","",VLOOKUP($C17,Config!$A$2:$Y$4,21,FALSE))</x:f>
      </x:c>
      <x:c r="AQ17" s="14">
        <x:f>IF($C17="","",VLOOKUP($C17,Config!$A$2:$Y$4,22,FALSE))</x:f>
      </x:c>
      <x:c r="AR17" s="14">
        <x:f>IF($C17="","",VLOOKUP($C17,Config!$A$2:$Y$4,23,FALSE))</x:f>
      </x:c>
      <x:c r="AS17" s="13">
        <x:f>IF($C17="","",IF($H17="Extra",3,IF($H17="I",2,IF($H17="II",1,0)))&gt;=IF($AA17="Extra",3,IF($AA17="I",2,IF($AA17="II",1,0))))</x:f>
      </x:c>
      <x:c r="AT17" s="13">
        <x:f>IF($C17="","",IF($I17="",FALSE,$I17&gt;=$AB17))</x:f>
      </x:c>
      <x:c r="AU17" s="13">
        <x:f>IF($C17="","",IF($AC17="",TRUE,IF($J17="",FALSE,$J17&lt;=$AC17)))</x:f>
      </x:c>
      <x:c r="AV17" s="13">
        <x:f>IF($C17="","",IF($AD17="",TRUE,IF($K17="",FALSE,$K17&lt;=$AD17)))</x:f>
      </x:c>
      <x:c r="AW17" s="13">
        <x:f>IF($C17="","",IF($AE17="",TRUE,IF($L17="",FALSE,$L17&lt;=$AE17)))</x:f>
      </x:c>
      <x:c r="AX17" s="13">
        <x:f>IF($C17="","",IF($AF17="",TRUE,IF($M17="",FALSE,$M17&lt;=$AF17)))</x:f>
      </x:c>
      <x:c r="AY17" s="13">
        <x:f>IF($C17="","",IF($AG17="",TRUE,IF($N17="",FALSE,$N17&gt;=$AG17)))</x:f>
      </x:c>
      <x:c r="AZ17" s="13">
        <x:f>IF($C17="","",IF(OR($AH17="",$AI17=""),TRUE,IF($O17="",FALSE,AND($O17&gt;=$AH17,$O17&lt;=$AI17))))</x:f>
      </x:c>
      <x:c r="BA17" s="13">
        <x:f>IF($C17="","",IF($AJ17="Y",$P17="Y",TRUE))</x:f>
      </x:c>
      <x:c r="BB17" s="13">
        <x:f>IF($C17="","",IF($AK17="Y",$Q17="Y",TRUE))</x:f>
      </x:c>
      <x:c r="BC17" s="13">
        <x:f>IF($C17="","",IF($AL17="Y",$R17="Y",TRUE))</x:f>
      </x:c>
      <x:c r="BD17" s="13">
        <x:f>IF($C17="","",IF($AM17="Y",$S17="Y",TRUE))</x:f>
      </x:c>
      <x:c r="BE17" s="13">
        <x:f>IF($C17="","",IF($AN17="Y",$T17="Y",TRUE))</x:f>
      </x:c>
      <x:c r="BF17" s="13">
        <x:f>IF($C17="","",IF($AO17="",TRUE,IF($U17="",FALSE,$U17&lt;=$AO17)))</x:f>
      </x:c>
      <x:c r="BG17" s="13">
        <x:f>IF($C17="","",IF($AP17="",TRUE,IF($V17="",FALSE,$V17&lt;=$AP17)))</x:f>
      </x:c>
      <x:c r="BH17" s="13">
        <x:f>IF($C17="","",IF($AQ17="",TRUE,IF($W17="",FALSE,$W17&lt;=$AQ17)))</x:f>
      </x:c>
      <x:c r="BI17" s="13">
        <x:f>IF($C17="","",IF($AR17="",TRUE,IF($X17="",FALSE,$X17&lt;=$AR17)))</x:f>
      </x:c>
      <x:c r="BJ17" s="15">
        <x:f>IF($C17="","",IF($Y17="",0,$Y17)+IF($AS17,10,0)+IF($AT17,8,0)+IF($AU17,5,0)+IF($AV17,8,0)+IF($AW17,15,0)+IF($AX17,4,0)+IF($AY17,5,0)+IF($AZ17,10,0)+IF($BA17,8,0)+IF($BB17,4,0)+IF($BC17,6,0)+IF($BD17,3,0)+IF($BE17,2,0)+IF($BF17,2,0)+IF($BG17,2,0)+IF($BH17,2,0)+IF($BI17,1,0))</x:f>
      </x:c>
      <x:c r="BK17" s="15">
        <x:f>IF($C17="","",IF(NOT($AS17),1,0)+IF(NOT($AW17),1,0)+IF(NOT($AZ17),1,0)+IF(NOT($BA17),1,0)+IF(NOT($BB17),1,0)+IF(NOT($BC17),1,0))</x:f>
      </x:c>
      <x:c r="BL17" s="13">
        <x:f>IF($C17="","",IF($BK17&gt;0,"REJECT",IF(COUNTIF($AS17:$BI17,FALSE)=0,"ACCEPT",IF($BJ17&gt;=85,"ACCEPT WITH SORTING / DISCOUNT","REJECT"))))</x:f>
      </x:c>
    </x:row>
    <x:row r="18" ht="24" customHeight="1">
      <x:c r="A18" s="10" t="n"/>
      <x:c r="B18" s="11" t="n"/>
      <x:c r="C18" s="11" t="n"/>
      <x:c r="D18" s="11" t="n"/>
      <x:c r="E18" s="11" t="n"/>
      <x:c r="F18" s="11" t="n"/>
      <x:c r="G18" s="11" t="n"/>
      <x:c r="H18" s="11" t="n"/>
      <x:c r="I18" s="12" t="n"/>
      <x:c r="J18" s="12" t="n"/>
      <x:c r="K18" s="12" t="n"/>
      <x:c r="L18" s="12" t="n"/>
      <x:c r="M18" s="12" t="n"/>
      <x:c r="N18" s="12" t="n"/>
      <x:c r="O18" s="12" t="n"/>
      <x:c r="P18" s="11" t="n"/>
      <x:c r="Q18" s="11" t="n"/>
      <x:c r="R18" s="11" t="n"/>
      <x:c r="S18" s="11" t="n"/>
      <x:c r="T18" s="11" t="n"/>
      <x:c r="U18" s="12" t="n"/>
      <x:c r="V18" s="12" t="n"/>
      <x:c r="W18" s="12" t="n"/>
      <x:c r="X18" s="12" t="n"/>
      <x:c r="Y18" s="12" t="n"/>
      <x:c r="Z18" s="13">
        <x:f>IF($C18="","",VLOOKUP($C18,Config!$A$2:$Y$4,2,FALSE))</x:f>
      </x:c>
      <x:c r="AA18" s="13">
        <x:f>IF($C18="","",VLOOKUP($C18,Config!$A$2:$Y$4,5,FALSE))</x:f>
      </x:c>
      <x:c r="AB18" s="14">
        <x:f>IF($C18="","",VLOOKUP($C18,Config!$A$2:$Y$4,7,FALSE))</x:f>
      </x:c>
      <x:c r="AC18" s="14">
        <x:f>IF($C18="","",VLOOKUP($C18,Config!$A$2:$Y$4,8,FALSE))</x:f>
      </x:c>
      <x:c r="AD18" s="14">
        <x:f>IF($C18="","",VLOOKUP($C18,Config!$A$2:$Y$4,9,FALSE))</x:f>
      </x:c>
      <x:c r="AE18" s="14">
        <x:f>IF($C18="","",VLOOKUP($C18,Config!$A$2:$Y$4,10,FALSE))</x:f>
      </x:c>
      <x:c r="AF18" s="14">
        <x:f>IF($C18="","",VLOOKUP($C18,Config!$A$2:$Y$4,11,FALSE))</x:f>
      </x:c>
      <x:c r="AG18" s="14">
        <x:f>IF($C18="","",VLOOKUP($C18,Config!$A$2:$Y$4,12,FALSE))</x:f>
      </x:c>
      <x:c r="AH18" s="14">
        <x:f>IF($C18="","",VLOOKUP($C18,Config!$A$2:$Y$4,13,FALSE))</x:f>
      </x:c>
      <x:c r="AI18" s="14">
        <x:f>IF($C18="","",VLOOKUP($C18,Config!$A$2:$Y$4,14,FALSE))</x:f>
      </x:c>
      <x:c r="AJ18" s="14">
        <x:f>IF($C18="","",VLOOKUP($C18,Config!$A$2:$Y$4,15,FALSE))</x:f>
      </x:c>
      <x:c r="AK18" s="14">
        <x:f>IF($C18="","",VLOOKUP($C18,Config!$A$2:$Y$4,16,FALSE))</x:f>
      </x:c>
      <x:c r="AL18" s="14">
        <x:f>IF($C18="","",VLOOKUP($C18,Config!$A$2:$Y$4,17,FALSE))</x:f>
      </x:c>
      <x:c r="AM18" s="14">
        <x:f>IF($C18="","",VLOOKUP($C18,Config!$A$2:$Y$4,18,FALSE))</x:f>
      </x:c>
      <x:c r="AN18" s="14">
        <x:f>IF($C18="","",VLOOKUP($C18,Config!$A$2:$Y$4,19,FALSE))</x:f>
      </x:c>
      <x:c r="AO18" s="14">
        <x:f>IF($C18="","",VLOOKUP($C18,Config!$A$2:$Y$4,20,FALSE))</x:f>
      </x:c>
      <x:c r="AP18" s="14">
        <x:f>IF($C18="","",VLOOKUP($C18,Config!$A$2:$Y$4,21,FALSE))</x:f>
      </x:c>
      <x:c r="AQ18" s="14">
        <x:f>IF($C18="","",VLOOKUP($C18,Config!$A$2:$Y$4,22,FALSE))</x:f>
      </x:c>
      <x:c r="AR18" s="14">
        <x:f>IF($C18="","",VLOOKUP($C18,Config!$A$2:$Y$4,23,FALSE))</x:f>
      </x:c>
      <x:c r="AS18" s="13">
        <x:f>IF($C18="","",IF($H18="Extra",3,IF($H18="I",2,IF($H18="II",1,0)))&gt;=IF($AA18="Extra",3,IF($AA18="I",2,IF($AA18="II",1,0))))</x:f>
      </x:c>
      <x:c r="AT18" s="13">
        <x:f>IF($C18="","",IF($I18="",FALSE,$I18&gt;=$AB18))</x:f>
      </x:c>
      <x:c r="AU18" s="13">
        <x:f>IF($C18="","",IF($AC18="",TRUE,IF($J18="",FALSE,$J18&lt;=$AC18)))</x:f>
      </x:c>
      <x:c r="AV18" s="13">
        <x:f>IF($C18="","",IF($AD18="",TRUE,IF($K18="",FALSE,$K18&lt;=$AD18)))</x:f>
      </x:c>
      <x:c r="AW18" s="13">
        <x:f>IF($C18="","",IF($AE18="",TRUE,IF($L18="",FALSE,$L18&lt;=$AE18)))</x:f>
      </x:c>
      <x:c r="AX18" s="13">
        <x:f>IF($C18="","",IF($AF18="",TRUE,IF($M18="",FALSE,$M18&lt;=$AF18)))</x:f>
      </x:c>
      <x:c r="AY18" s="13">
        <x:f>IF($C18="","",IF($AG18="",TRUE,IF($N18="",FALSE,$N18&gt;=$AG18)))</x:f>
      </x:c>
      <x:c r="AZ18" s="13">
        <x:f>IF($C18="","",IF(OR($AH18="",$AI18=""),TRUE,IF($O18="",FALSE,AND($O18&gt;=$AH18,$O18&lt;=$AI18))))</x:f>
      </x:c>
      <x:c r="BA18" s="13">
        <x:f>IF($C18="","",IF($AJ18="Y",$P18="Y",TRUE))</x:f>
      </x:c>
      <x:c r="BB18" s="13">
        <x:f>IF($C18="","",IF($AK18="Y",$Q18="Y",TRUE))</x:f>
      </x:c>
      <x:c r="BC18" s="13">
        <x:f>IF($C18="","",IF($AL18="Y",$R18="Y",TRUE))</x:f>
      </x:c>
      <x:c r="BD18" s="13">
        <x:f>IF($C18="","",IF($AM18="Y",$S18="Y",TRUE))</x:f>
      </x:c>
      <x:c r="BE18" s="13">
        <x:f>IF($C18="","",IF($AN18="Y",$T18="Y",TRUE))</x:f>
      </x:c>
      <x:c r="BF18" s="13">
        <x:f>IF($C18="","",IF($AO18="",TRUE,IF($U18="",FALSE,$U18&lt;=$AO18)))</x:f>
      </x:c>
      <x:c r="BG18" s="13">
        <x:f>IF($C18="","",IF($AP18="",TRUE,IF($V18="",FALSE,$V18&lt;=$AP18)))</x:f>
      </x:c>
      <x:c r="BH18" s="13">
        <x:f>IF($C18="","",IF($AQ18="",TRUE,IF($W18="",FALSE,$W18&lt;=$AQ18)))</x:f>
      </x:c>
      <x:c r="BI18" s="13">
        <x:f>IF($C18="","",IF($AR18="",TRUE,IF($X18="",FALSE,$X18&lt;=$AR18)))</x:f>
      </x:c>
      <x:c r="BJ18" s="15">
        <x:f>IF($C18="","",IF($Y18="",0,$Y18)+IF($AS18,10,0)+IF($AT18,8,0)+IF($AU18,5,0)+IF($AV18,8,0)+IF($AW18,15,0)+IF($AX18,4,0)+IF($AY18,5,0)+IF($AZ18,10,0)+IF($BA18,8,0)+IF($BB18,4,0)+IF($BC18,6,0)+IF($BD18,3,0)+IF($BE18,2,0)+IF($BF18,2,0)+IF($BG18,2,0)+IF($BH18,2,0)+IF($BI18,1,0))</x:f>
      </x:c>
      <x:c r="BK18" s="15">
        <x:f>IF($C18="","",IF(NOT($AS18),1,0)+IF(NOT($AW18),1,0)+IF(NOT($AZ18),1,0)+IF(NOT($BA18),1,0)+IF(NOT($BB18),1,0)+IF(NOT($BC18),1,0))</x:f>
      </x:c>
      <x:c r="BL18" s="13">
        <x:f>IF($C18="","",IF($BK18&gt;0,"REJECT",IF(COUNTIF($AS18:$BI18,FALSE)=0,"ACCEPT",IF($BJ18&gt;=85,"ACCEPT WITH SORTING / DISCOUNT","REJECT"))))</x:f>
      </x:c>
    </x:row>
    <x:row r="19" ht="24" customHeight="1">
      <x:c r="A19" s="10" t="n"/>
      <x:c r="B19" s="11" t="n"/>
      <x:c r="C19" s="11" t="n"/>
      <x:c r="D19" s="11" t="n"/>
      <x:c r="E19" s="11" t="n"/>
      <x:c r="F19" s="11" t="n"/>
      <x:c r="G19" s="11" t="n"/>
      <x:c r="H19" s="11" t="n"/>
      <x:c r="I19" s="12" t="n"/>
      <x:c r="J19" s="12" t="n"/>
      <x:c r="K19" s="12" t="n"/>
      <x:c r="L19" s="12" t="n"/>
      <x:c r="M19" s="12" t="n"/>
      <x:c r="N19" s="12" t="n"/>
      <x:c r="O19" s="12" t="n"/>
      <x:c r="P19" s="11" t="n"/>
      <x:c r="Q19" s="11" t="n"/>
      <x:c r="R19" s="11" t="n"/>
      <x:c r="S19" s="11" t="n"/>
      <x:c r="T19" s="11" t="n"/>
      <x:c r="U19" s="12" t="n"/>
      <x:c r="V19" s="12" t="n"/>
      <x:c r="W19" s="12" t="n"/>
      <x:c r="X19" s="12" t="n"/>
      <x:c r="Y19" s="12" t="n"/>
      <x:c r="Z19" s="13">
        <x:f>IF($C19="","",VLOOKUP($C19,Config!$A$2:$Y$4,2,FALSE))</x:f>
      </x:c>
      <x:c r="AA19" s="13">
        <x:f>IF($C19="","",VLOOKUP($C19,Config!$A$2:$Y$4,5,FALSE))</x:f>
      </x:c>
      <x:c r="AB19" s="14">
        <x:f>IF($C19="","",VLOOKUP($C19,Config!$A$2:$Y$4,7,FALSE))</x:f>
      </x:c>
      <x:c r="AC19" s="14">
        <x:f>IF($C19="","",VLOOKUP($C19,Config!$A$2:$Y$4,8,FALSE))</x:f>
      </x:c>
      <x:c r="AD19" s="14">
        <x:f>IF($C19="","",VLOOKUP($C19,Config!$A$2:$Y$4,9,FALSE))</x:f>
      </x:c>
      <x:c r="AE19" s="14">
        <x:f>IF($C19="","",VLOOKUP($C19,Config!$A$2:$Y$4,10,FALSE))</x:f>
      </x:c>
      <x:c r="AF19" s="14">
        <x:f>IF($C19="","",VLOOKUP($C19,Config!$A$2:$Y$4,11,FALSE))</x:f>
      </x:c>
      <x:c r="AG19" s="14">
        <x:f>IF($C19="","",VLOOKUP($C19,Config!$A$2:$Y$4,12,FALSE))</x:f>
      </x:c>
      <x:c r="AH19" s="14">
        <x:f>IF($C19="","",VLOOKUP($C19,Config!$A$2:$Y$4,13,FALSE))</x:f>
      </x:c>
      <x:c r="AI19" s="14">
        <x:f>IF($C19="","",VLOOKUP($C19,Config!$A$2:$Y$4,14,FALSE))</x:f>
      </x:c>
      <x:c r="AJ19" s="14">
        <x:f>IF($C19="","",VLOOKUP($C19,Config!$A$2:$Y$4,15,FALSE))</x:f>
      </x:c>
      <x:c r="AK19" s="14">
        <x:f>IF($C19="","",VLOOKUP($C19,Config!$A$2:$Y$4,16,FALSE))</x:f>
      </x:c>
      <x:c r="AL19" s="14">
        <x:f>IF($C19="","",VLOOKUP($C19,Config!$A$2:$Y$4,17,FALSE))</x:f>
      </x:c>
      <x:c r="AM19" s="14">
        <x:f>IF($C19="","",VLOOKUP($C19,Config!$A$2:$Y$4,18,FALSE))</x:f>
      </x:c>
      <x:c r="AN19" s="14">
        <x:f>IF($C19="","",VLOOKUP($C19,Config!$A$2:$Y$4,19,FALSE))</x:f>
      </x:c>
      <x:c r="AO19" s="14">
        <x:f>IF($C19="","",VLOOKUP($C19,Config!$A$2:$Y$4,20,FALSE))</x:f>
      </x:c>
      <x:c r="AP19" s="14">
        <x:f>IF($C19="","",VLOOKUP($C19,Config!$A$2:$Y$4,21,FALSE))</x:f>
      </x:c>
      <x:c r="AQ19" s="14">
        <x:f>IF($C19="","",VLOOKUP($C19,Config!$A$2:$Y$4,22,FALSE))</x:f>
      </x:c>
      <x:c r="AR19" s="14">
        <x:f>IF($C19="","",VLOOKUP($C19,Config!$A$2:$Y$4,23,FALSE))</x:f>
      </x:c>
      <x:c r="AS19" s="13">
        <x:f>IF($C19="","",IF($H19="Extra",3,IF($H19="I",2,IF($H19="II",1,0)))&gt;=IF($AA19="Extra",3,IF($AA19="I",2,IF($AA19="II",1,0))))</x:f>
      </x:c>
      <x:c r="AT19" s="13">
        <x:f>IF($C19="","",IF($I19="",FALSE,$I19&gt;=$AB19))</x:f>
      </x:c>
      <x:c r="AU19" s="13">
        <x:f>IF($C19="","",IF($AC19="",TRUE,IF($J19="",FALSE,$J19&lt;=$AC19)))</x:f>
      </x:c>
      <x:c r="AV19" s="13">
        <x:f>IF($C19="","",IF($AD19="",TRUE,IF($K19="",FALSE,$K19&lt;=$AD19)))</x:f>
      </x:c>
      <x:c r="AW19" s="13">
        <x:f>IF($C19="","",IF($AE19="",TRUE,IF($L19="",FALSE,$L19&lt;=$AE19)))</x:f>
      </x:c>
      <x:c r="AX19" s="13">
        <x:f>IF($C19="","",IF($AF19="",TRUE,IF($M19="",FALSE,$M19&lt;=$AF19)))</x:f>
      </x:c>
      <x:c r="AY19" s="13">
        <x:f>IF($C19="","",IF($AG19="",TRUE,IF($N19="",FALSE,$N19&gt;=$AG19)))</x:f>
      </x:c>
      <x:c r="AZ19" s="13">
        <x:f>IF($C19="","",IF(OR($AH19="",$AI19=""),TRUE,IF($O19="",FALSE,AND($O19&gt;=$AH19,$O19&lt;=$AI19))))</x:f>
      </x:c>
      <x:c r="BA19" s="13">
        <x:f>IF($C19="","",IF($AJ19="Y",$P19="Y",TRUE))</x:f>
      </x:c>
      <x:c r="BB19" s="13">
        <x:f>IF($C19="","",IF($AK19="Y",$Q19="Y",TRUE))</x:f>
      </x:c>
      <x:c r="BC19" s="13">
        <x:f>IF($C19="","",IF($AL19="Y",$R19="Y",TRUE))</x:f>
      </x:c>
      <x:c r="BD19" s="13">
        <x:f>IF($C19="","",IF($AM19="Y",$S19="Y",TRUE))</x:f>
      </x:c>
      <x:c r="BE19" s="13">
        <x:f>IF($C19="","",IF($AN19="Y",$T19="Y",TRUE))</x:f>
      </x:c>
      <x:c r="BF19" s="13">
        <x:f>IF($C19="","",IF($AO19="",TRUE,IF($U19="",FALSE,$U19&lt;=$AO19)))</x:f>
      </x:c>
      <x:c r="BG19" s="13">
        <x:f>IF($C19="","",IF($AP19="",TRUE,IF($V19="",FALSE,$V19&lt;=$AP19)))</x:f>
      </x:c>
      <x:c r="BH19" s="13">
        <x:f>IF($C19="","",IF($AQ19="",TRUE,IF($W19="",FALSE,$W19&lt;=$AQ19)))</x:f>
      </x:c>
      <x:c r="BI19" s="13">
        <x:f>IF($C19="","",IF($AR19="",TRUE,IF($X19="",FALSE,$X19&lt;=$AR19)))</x:f>
      </x:c>
      <x:c r="BJ19" s="15">
        <x:f>IF($C19="","",IF($Y19="",0,$Y19)+IF($AS19,10,0)+IF($AT19,8,0)+IF($AU19,5,0)+IF($AV19,8,0)+IF($AW19,15,0)+IF($AX19,4,0)+IF($AY19,5,0)+IF($AZ19,10,0)+IF($BA19,8,0)+IF($BB19,4,0)+IF($BC19,6,0)+IF($BD19,3,0)+IF($BE19,2,0)+IF($BF19,2,0)+IF($BG19,2,0)+IF($BH19,2,0)+IF($BI19,1,0))</x:f>
      </x:c>
      <x:c r="BK19" s="15">
        <x:f>IF($C19="","",IF(NOT($AS19),1,0)+IF(NOT($AW19),1,0)+IF(NOT($AZ19),1,0)+IF(NOT($BA19),1,0)+IF(NOT($BB19),1,0)+IF(NOT($BC19),1,0))</x:f>
      </x:c>
      <x:c r="BL19" s="13">
        <x:f>IF($C19="","",IF($BK19&gt;0,"REJECT",IF(COUNTIF($AS19:$BI19,FALSE)=0,"ACCEPT",IF($BJ19&gt;=85,"ACCEPT WITH SORTING / DISCOUNT","REJECT"))))</x:f>
      </x:c>
    </x:row>
    <x:row r="20" ht="24" customHeight="1">
      <x:c r="A20" s="10" t="n"/>
      <x:c r="B20" s="11" t="n"/>
      <x:c r="C20" s="11" t="n"/>
      <x:c r="D20" s="11" t="n"/>
      <x:c r="E20" s="11" t="n"/>
      <x:c r="F20" s="11" t="n"/>
      <x:c r="G20" s="11" t="n"/>
      <x:c r="H20" s="11" t="n"/>
      <x:c r="I20" s="12" t="n"/>
      <x:c r="J20" s="12" t="n"/>
      <x:c r="K20" s="12" t="n"/>
      <x:c r="L20" s="12" t="n"/>
      <x:c r="M20" s="12" t="n"/>
      <x:c r="N20" s="12" t="n"/>
      <x:c r="O20" s="12" t="n"/>
      <x:c r="P20" s="11" t="n"/>
      <x:c r="Q20" s="11" t="n"/>
      <x:c r="R20" s="11" t="n"/>
      <x:c r="S20" s="11" t="n"/>
      <x:c r="T20" s="11" t="n"/>
      <x:c r="U20" s="12" t="n"/>
      <x:c r="V20" s="12" t="n"/>
      <x:c r="W20" s="12" t="n"/>
      <x:c r="X20" s="12" t="n"/>
      <x:c r="Y20" s="12" t="n"/>
      <x:c r="Z20" s="13">
        <x:f>IF($C20="","",VLOOKUP($C20,Config!$A$2:$Y$4,2,FALSE))</x:f>
      </x:c>
      <x:c r="AA20" s="13">
        <x:f>IF($C20="","",VLOOKUP($C20,Config!$A$2:$Y$4,5,FALSE))</x:f>
      </x:c>
      <x:c r="AB20" s="14">
        <x:f>IF($C20="","",VLOOKUP($C20,Config!$A$2:$Y$4,7,FALSE))</x:f>
      </x:c>
      <x:c r="AC20" s="14">
        <x:f>IF($C20="","",VLOOKUP($C20,Config!$A$2:$Y$4,8,FALSE))</x:f>
      </x:c>
      <x:c r="AD20" s="14">
        <x:f>IF($C20="","",VLOOKUP($C20,Config!$A$2:$Y$4,9,FALSE))</x:f>
      </x:c>
      <x:c r="AE20" s="14">
        <x:f>IF($C20="","",VLOOKUP($C20,Config!$A$2:$Y$4,10,FALSE))</x:f>
      </x:c>
      <x:c r="AF20" s="14">
        <x:f>IF($C20="","",VLOOKUP($C20,Config!$A$2:$Y$4,11,FALSE))</x:f>
      </x:c>
      <x:c r="AG20" s="14">
        <x:f>IF($C20="","",VLOOKUP($C20,Config!$A$2:$Y$4,12,FALSE))</x:f>
      </x:c>
      <x:c r="AH20" s="14">
        <x:f>IF($C20="","",VLOOKUP($C20,Config!$A$2:$Y$4,13,FALSE))</x:f>
      </x:c>
      <x:c r="AI20" s="14">
        <x:f>IF($C20="","",VLOOKUP($C20,Config!$A$2:$Y$4,14,FALSE))</x:f>
      </x:c>
      <x:c r="AJ20" s="14">
        <x:f>IF($C20="","",VLOOKUP($C20,Config!$A$2:$Y$4,15,FALSE))</x:f>
      </x:c>
      <x:c r="AK20" s="14">
        <x:f>IF($C20="","",VLOOKUP($C20,Config!$A$2:$Y$4,16,FALSE))</x:f>
      </x:c>
      <x:c r="AL20" s="14">
        <x:f>IF($C20="","",VLOOKUP($C20,Config!$A$2:$Y$4,17,FALSE))</x:f>
      </x:c>
      <x:c r="AM20" s="14">
        <x:f>IF($C20="","",VLOOKUP($C20,Config!$A$2:$Y$4,18,FALSE))</x:f>
      </x:c>
      <x:c r="AN20" s="14">
        <x:f>IF($C20="","",VLOOKUP($C20,Config!$A$2:$Y$4,19,FALSE))</x:f>
      </x:c>
      <x:c r="AO20" s="14">
        <x:f>IF($C20="","",VLOOKUP($C20,Config!$A$2:$Y$4,20,FALSE))</x:f>
      </x:c>
      <x:c r="AP20" s="14">
        <x:f>IF($C20="","",VLOOKUP($C20,Config!$A$2:$Y$4,21,FALSE))</x:f>
      </x:c>
      <x:c r="AQ20" s="14">
        <x:f>IF($C20="","",VLOOKUP($C20,Config!$A$2:$Y$4,22,FALSE))</x:f>
      </x:c>
      <x:c r="AR20" s="14">
        <x:f>IF($C20="","",VLOOKUP($C20,Config!$A$2:$Y$4,23,FALSE))</x:f>
      </x:c>
      <x:c r="AS20" s="13">
        <x:f>IF($C20="","",IF($H20="Extra",3,IF($H20="I",2,IF($H20="II",1,0)))&gt;=IF($AA20="Extra",3,IF($AA20="I",2,IF($AA20="II",1,0))))</x:f>
      </x:c>
      <x:c r="AT20" s="13">
        <x:f>IF($C20="","",IF($I20="",FALSE,$I20&gt;=$AB20))</x:f>
      </x:c>
      <x:c r="AU20" s="13">
        <x:f>IF($C20="","",IF($AC20="",TRUE,IF($J20="",FALSE,$J20&lt;=$AC20)))</x:f>
      </x:c>
      <x:c r="AV20" s="13">
        <x:f>IF($C20="","",IF($AD20="",TRUE,IF($K20="",FALSE,$K20&lt;=$AD20)))</x:f>
      </x:c>
      <x:c r="AW20" s="13">
        <x:f>IF($C20="","",IF($AE20="",TRUE,IF($L20="",FALSE,$L20&lt;=$AE20)))</x:f>
      </x:c>
      <x:c r="AX20" s="13">
        <x:f>IF($C20="","",IF($AF20="",TRUE,IF($M20="",FALSE,$M20&lt;=$AF20)))</x:f>
      </x:c>
      <x:c r="AY20" s="13">
        <x:f>IF($C20="","",IF($AG20="",TRUE,IF($N20="",FALSE,$N20&gt;=$AG20)))</x:f>
      </x:c>
      <x:c r="AZ20" s="13">
        <x:f>IF($C20="","",IF(OR($AH20="",$AI20=""),TRUE,IF($O20="",FALSE,AND($O20&gt;=$AH20,$O20&lt;=$AI20))))</x:f>
      </x:c>
      <x:c r="BA20" s="13">
        <x:f>IF($C20="","",IF($AJ20="Y",$P20="Y",TRUE))</x:f>
      </x:c>
      <x:c r="BB20" s="13">
        <x:f>IF($C20="","",IF($AK20="Y",$Q20="Y",TRUE))</x:f>
      </x:c>
      <x:c r="BC20" s="13">
        <x:f>IF($C20="","",IF($AL20="Y",$R20="Y",TRUE))</x:f>
      </x:c>
      <x:c r="BD20" s="13">
        <x:f>IF($C20="","",IF($AM20="Y",$S20="Y",TRUE))</x:f>
      </x:c>
      <x:c r="BE20" s="13">
        <x:f>IF($C20="","",IF($AN20="Y",$T20="Y",TRUE))</x:f>
      </x:c>
      <x:c r="BF20" s="13">
        <x:f>IF($C20="","",IF($AO20="",TRUE,IF($U20="",FALSE,$U20&lt;=$AO20)))</x:f>
      </x:c>
      <x:c r="BG20" s="13">
        <x:f>IF($C20="","",IF($AP20="",TRUE,IF($V20="",FALSE,$V20&lt;=$AP20)))</x:f>
      </x:c>
      <x:c r="BH20" s="13">
        <x:f>IF($C20="","",IF($AQ20="",TRUE,IF($W20="",FALSE,$W20&lt;=$AQ20)))</x:f>
      </x:c>
      <x:c r="BI20" s="13">
        <x:f>IF($C20="","",IF($AR20="",TRUE,IF($X20="",FALSE,$X20&lt;=$AR20)))</x:f>
      </x:c>
      <x:c r="BJ20" s="15">
        <x:f>IF($C20="","",IF($Y20="",0,$Y20)+IF($AS20,10,0)+IF($AT20,8,0)+IF($AU20,5,0)+IF($AV20,8,0)+IF($AW20,15,0)+IF($AX20,4,0)+IF($AY20,5,0)+IF($AZ20,10,0)+IF($BA20,8,0)+IF($BB20,4,0)+IF($BC20,6,0)+IF($BD20,3,0)+IF($BE20,2,0)+IF($BF20,2,0)+IF($BG20,2,0)+IF($BH20,2,0)+IF($BI20,1,0))</x:f>
      </x:c>
      <x:c r="BK20" s="15">
        <x:f>IF($C20="","",IF(NOT($AS20),1,0)+IF(NOT($AW20),1,0)+IF(NOT($AZ20),1,0)+IF(NOT($BA20),1,0)+IF(NOT($BB20),1,0)+IF(NOT($BC20),1,0))</x:f>
      </x:c>
      <x:c r="BL20" s="13">
        <x:f>IF($C20="","",IF($BK20&gt;0,"REJECT",IF(COUNTIF($AS20:$BI20,FALSE)=0,"ACCEPT",IF($BJ20&gt;=85,"ACCEPT WITH SORTING / DISCOUNT","REJECT"))))</x:f>
      </x:c>
    </x:row>
    <x:row r="21" ht="24" customHeight="1">
      <x:c r="A21" s="10" t="n"/>
      <x:c r="B21" s="11" t="n"/>
      <x:c r="C21" s="11" t="n"/>
      <x:c r="D21" s="11" t="n"/>
      <x:c r="E21" s="11" t="n"/>
      <x:c r="F21" s="11" t="n"/>
      <x:c r="G21" s="11" t="n"/>
      <x:c r="H21" s="11" t="n"/>
      <x:c r="I21" s="12" t="n"/>
      <x:c r="J21" s="12" t="n"/>
      <x:c r="K21" s="12" t="n"/>
      <x:c r="L21" s="12" t="n"/>
      <x:c r="M21" s="12" t="n"/>
      <x:c r="N21" s="12" t="n"/>
      <x:c r="O21" s="12" t="n"/>
      <x:c r="P21" s="11" t="n"/>
      <x:c r="Q21" s="11" t="n"/>
      <x:c r="R21" s="11" t="n"/>
      <x:c r="S21" s="11" t="n"/>
      <x:c r="T21" s="11" t="n"/>
      <x:c r="U21" s="12" t="n"/>
      <x:c r="V21" s="12" t="n"/>
      <x:c r="W21" s="12" t="n"/>
      <x:c r="X21" s="12" t="n"/>
      <x:c r="Y21" s="12" t="n"/>
      <x:c r="Z21" s="13">
        <x:f>IF($C21="","",VLOOKUP($C21,Config!$A$2:$Y$4,2,FALSE))</x:f>
      </x:c>
      <x:c r="AA21" s="13">
        <x:f>IF($C21="","",VLOOKUP($C21,Config!$A$2:$Y$4,5,FALSE))</x:f>
      </x:c>
      <x:c r="AB21" s="14">
        <x:f>IF($C21="","",VLOOKUP($C21,Config!$A$2:$Y$4,7,FALSE))</x:f>
      </x:c>
      <x:c r="AC21" s="14">
        <x:f>IF($C21="","",VLOOKUP($C21,Config!$A$2:$Y$4,8,FALSE))</x:f>
      </x:c>
      <x:c r="AD21" s="14">
        <x:f>IF($C21="","",VLOOKUP($C21,Config!$A$2:$Y$4,9,FALSE))</x:f>
      </x:c>
      <x:c r="AE21" s="14">
        <x:f>IF($C21="","",VLOOKUP($C21,Config!$A$2:$Y$4,10,FALSE))</x:f>
      </x:c>
      <x:c r="AF21" s="14">
        <x:f>IF($C21="","",VLOOKUP($C21,Config!$A$2:$Y$4,11,FALSE))</x:f>
      </x:c>
      <x:c r="AG21" s="14">
        <x:f>IF($C21="","",VLOOKUP($C21,Config!$A$2:$Y$4,12,FALSE))</x:f>
      </x:c>
      <x:c r="AH21" s="14">
        <x:f>IF($C21="","",VLOOKUP($C21,Config!$A$2:$Y$4,13,FALSE))</x:f>
      </x:c>
      <x:c r="AI21" s="14">
        <x:f>IF($C21="","",VLOOKUP($C21,Config!$A$2:$Y$4,14,FALSE))</x:f>
      </x:c>
      <x:c r="AJ21" s="14">
        <x:f>IF($C21="","",VLOOKUP($C21,Config!$A$2:$Y$4,15,FALSE))</x:f>
      </x:c>
      <x:c r="AK21" s="14">
        <x:f>IF($C21="","",VLOOKUP($C21,Config!$A$2:$Y$4,16,FALSE))</x:f>
      </x:c>
      <x:c r="AL21" s="14">
        <x:f>IF($C21="","",VLOOKUP($C21,Config!$A$2:$Y$4,17,FALSE))</x:f>
      </x:c>
      <x:c r="AM21" s="14">
        <x:f>IF($C21="","",VLOOKUP($C21,Config!$A$2:$Y$4,18,FALSE))</x:f>
      </x:c>
      <x:c r="AN21" s="14">
        <x:f>IF($C21="","",VLOOKUP($C21,Config!$A$2:$Y$4,19,FALSE))</x:f>
      </x:c>
      <x:c r="AO21" s="14">
        <x:f>IF($C21="","",VLOOKUP($C21,Config!$A$2:$Y$4,20,FALSE))</x:f>
      </x:c>
      <x:c r="AP21" s="14">
        <x:f>IF($C21="","",VLOOKUP($C21,Config!$A$2:$Y$4,21,FALSE))</x:f>
      </x:c>
      <x:c r="AQ21" s="14">
        <x:f>IF($C21="","",VLOOKUP($C21,Config!$A$2:$Y$4,22,FALSE))</x:f>
      </x:c>
      <x:c r="AR21" s="14">
        <x:f>IF($C21="","",VLOOKUP($C21,Config!$A$2:$Y$4,23,FALSE))</x:f>
      </x:c>
      <x:c r="AS21" s="13">
        <x:f>IF($C21="","",IF($H21="Extra",3,IF($H21="I",2,IF($H21="II",1,0)))&gt;=IF($AA21="Extra",3,IF($AA21="I",2,IF($AA21="II",1,0))))</x:f>
      </x:c>
      <x:c r="AT21" s="13">
        <x:f>IF($C21="","",IF($I21="",FALSE,$I21&gt;=$AB21))</x:f>
      </x:c>
      <x:c r="AU21" s="13">
        <x:f>IF($C21="","",IF($AC21="",TRUE,IF($J21="",FALSE,$J21&lt;=$AC21)))</x:f>
      </x:c>
      <x:c r="AV21" s="13">
        <x:f>IF($C21="","",IF($AD21="",TRUE,IF($K21="",FALSE,$K21&lt;=$AD21)))</x:f>
      </x:c>
      <x:c r="AW21" s="13">
        <x:f>IF($C21="","",IF($AE21="",TRUE,IF($L21="",FALSE,$L21&lt;=$AE21)))</x:f>
      </x:c>
      <x:c r="AX21" s="13">
        <x:f>IF($C21="","",IF($AF21="",TRUE,IF($M21="",FALSE,$M21&lt;=$AF21)))</x:f>
      </x:c>
      <x:c r="AY21" s="13">
        <x:f>IF($C21="","",IF($AG21="",TRUE,IF($N21="",FALSE,$N21&gt;=$AG21)))</x:f>
      </x:c>
      <x:c r="AZ21" s="13">
        <x:f>IF($C21="","",IF(OR($AH21="",$AI21=""),TRUE,IF($O21="",FALSE,AND($O21&gt;=$AH21,$O21&lt;=$AI21))))</x:f>
      </x:c>
      <x:c r="BA21" s="13">
        <x:f>IF($C21="","",IF($AJ21="Y",$P21="Y",TRUE))</x:f>
      </x:c>
      <x:c r="BB21" s="13">
        <x:f>IF($C21="","",IF($AK21="Y",$Q21="Y",TRUE))</x:f>
      </x:c>
      <x:c r="BC21" s="13">
        <x:f>IF($C21="","",IF($AL21="Y",$R21="Y",TRUE))</x:f>
      </x:c>
      <x:c r="BD21" s="13">
        <x:f>IF($C21="","",IF($AM21="Y",$S21="Y",TRUE))</x:f>
      </x:c>
      <x:c r="BE21" s="13">
        <x:f>IF($C21="","",IF($AN21="Y",$T21="Y",TRUE))</x:f>
      </x:c>
      <x:c r="BF21" s="13">
        <x:f>IF($C21="","",IF($AO21="",TRUE,IF($U21="",FALSE,$U21&lt;=$AO21)))</x:f>
      </x:c>
      <x:c r="BG21" s="13">
        <x:f>IF($C21="","",IF($AP21="",TRUE,IF($V21="",FALSE,$V21&lt;=$AP21)))</x:f>
      </x:c>
      <x:c r="BH21" s="13">
        <x:f>IF($C21="","",IF($AQ21="",TRUE,IF($W21="",FALSE,$W21&lt;=$AQ21)))</x:f>
      </x:c>
      <x:c r="BI21" s="13">
        <x:f>IF($C21="","",IF($AR21="",TRUE,IF($X21="",FALSE,$X21&lt;=$AR21)))</x:f>
      </x:c>
      <x:c r="BJ21" s="15">
        <x:f>IF($C21="","",IF($Y21="",0,$Y21)+IF($AS21,10,0)+IF($AT21,8,0)+IF($AU21,5,0)+IF($AV21,8,0)+IF($AW21,15,0)+IF($AX21,4,0)+IF($AY21,5,0)+IF($AZ21,10,0)+IF($BA21,8,0)+IF($BB21,4,0)+IF($BC21,6,0)+IF($BD21,3,0)+IF($BE21,2,0)+IF($BF21,2,0)+IF($BG21,2,0)+IF($BH21,2,0)+IF($BI21,1,0))</x:f>
      </x:c>
      <x:c r="BK21" s="15">
        <x:f>IF($C21="","",IF(NOT($AS21),1,0)+IF(NOT($AW21),1,0)+IF(NOT($AZ21),1,0)+IF(NOT($BA21),1,0)+IF(NOT($BB21),1,0)+IF(NOT($BC21),1,0))</x:f>
      </x:c>
      <x:c r="BL21" s="13">
        <x:f>IF($C21="","",IF($BK21&gt;0,"REJECT",IF(COUNTIF($AS21:$BI21,FALSE)=0,"ACCEPT",IF($BJ21&gt;=85,"ACCEPT WITH SORTING / DISCOUNT","REJECT"))))</x:f>
      </x:c>
    </x:row>
    <x:row r="22" ht="24" customHeight="1">
      <x:c r="A22" s="10" t="n"/>
      <x:c r="B22" s="11" t="n"/>
      <x:c r="C22" s="11" t="n"/>
      <x:c r="D22" s="11" t="n"/>
      <x:c r="E22" s="11" t="n"/>
      <x:c r="F22" s="11" t="n"/>
      <x:c r="G22" s="11" t="n"/>
      <x:c r="H22" s="11" t="n"/>
      <x:c r="I22" s="12" t="n"/>
      <x:c r="J22" s="12" t="n"/>
      <x:c r="K22" s="12" t="n"/>
      <x:c r="L22" s="12" t="n"/>
      <x:c r="M22" s="12" t="n"/>
      <x:c r="N22" s="12" t="n"/>
      <x:c r="O22" s="12" t="n"/>
      <x:c r="P22" s="11" t="n"/>
      <x:c r="Q22" s="11" t="n"/>
      <x:c r="R22" s="11" t="n"/>
      <x:c r="S22" s="11" t="n"/>
      <x:c r="T22" s="11" t="n"/>
      <x:c r="U22" s="12" t="n"/>
      <x:c r="V22" s="12" t="n"/>
      <x:c r="W22" s="12" t="n"/>
      <x:c r="X22" s="12" t="n"/>
      <x:c r="Y22" s="12" t="n"/>
      <x:c r="Z22" s="13">
        <x:f>IF($C22="","",VLOOKUP($C22,Config!$A$2:$Y$4,2,FALSE))</x:f>
      </x:c>
      <x:c r="AA22" s="13">
        <x:f>IF($C22="","",VLOOKUP($C22,Config!$A$2:$Y$4,5,FALSE))</x:f>
      </x:c>
      <x:c r="AB22" s="14">
        <x:f>IF($C22="","",VLOOKUP($C22,Config!$A$2:$Y$4,7,FALSE))</x:f>
      </x:c>
      <x:c r="AC22" s="14">
        <x:f>IF($C22="","",VLOOKUP($C22,Config!$A$2:$Y$4,8,FALSE))</x:f>
      </x:c>
      <x:c r="AD22" s="14">
        <x:f>IF($C22="","",VLOOKUP($C22,Config!$A$2:$Y$4,9,FALSE))</x:f>
      </x:c>
      <x:c r="AE22" s="14">
        <x:f>IF($C22="","",VLOOKUP($C22,Config!$A$2:$Y$4,10,FALSE))</x:f>
      </x:c>
      <x:c r="AF22" s="14">
        <x:f>IF($C22="","",VLOOKUP($C22,Config!$A$2:$Y$4,11,FALSE))</x:f>
      </x:c>
      <x:c r="AG22" s="14">
        <x:f>IF($C22="","",VLOOKUP($C22,Config!$A$2:$Y$4,12,FALSE))</x:f>
      </x:c>
      <x:c r="AH22" s="14">
        <x:f>IF($C22="","",VLOOKUP($C22,Config!$A$2:$Y$4,13,FALSE))</x:f>
      </x:c>
      <x:c r="AI22" s="14">
        <x:f>IF($C22="","",VLOOKUP($C22,Config!$A$2:$Y$4,14,FALSE))</x:f>
      </x:c>
      <x:c r="AJ22" s="14">
        <x:f>IF($C22="","",VLOOKUP($C22,Config!$A$2:$Y$4,15,FALSE))</x:f>
      </x:c>
      <x:c r="AK22" s="14">
        <x:f>IF($C22="","",VLOOKUP($C22,Config!$A$2:$Y$4,16,FALSE))</x:f>
      </x:c>
      <x:c r="AL22" s="14">
        <x:f>IF($C22="","",VLOOKUP($C22,Config!$A$2:$Y$4,17,FALSE))</x:f>
      </x:c>
      <x:c r="AM22" s="14">
        <x:f>IF($C22="","",VLOOKUP($C22,Config!$A$2:$Y$4,18,FALSE))</x:f>
      </x:c>
      <x:c r="AN22" s="14">
        <x:f>IF($C22="","",VLOOKUP($C22,Config!$A$2:$Y$4,19,FALSE))</x:f>
      </x:c>
      <x:c r="AO22" s="14">
        <x:f>IF($C22="","",VLOOKUP($C22,Config!$A$2:$Y$4,20,FALSE))</x:f>
      </x:c>
      <x:c r="AP22" s="14">
        <x:f>IF($C22="","",VLOOKUP($C22,Config!$A$2:$Y$4,21,FALSE))</x:f>
      </x:c>
      <x:c r="AQ22" s="14">
        <x:f>IF($C22="","",VLOOKUP($C22,Config!$A$2:$Y$4,22,FALSE))</x:f>
      </x:c>
      <x:c r="AR22" s="14">
        <x:f>IF($C22="","",VLOOKUP($C22,Config!$A$2:$Y$4,23,FALSE))</x:f>
      </x:c>
      <x:c r="AS22" s="13">
        <x:f>IF($C22="","",IF($H22="Extra",3,IF($H22="I",2,IF($H22="II",1,0)))&gt;=IF($AA22="Extra",3,IF($AA22="I",2,IF($AA22="II",1,0))))</x:f>
      </x:c>
      <x:c r="AT22" s="13">
        <x:f>IF($C22="","",IF($I22="",FALSE,$I22&gt;=$AB22))</x:f>
      </x:c>
      <x:c r="AU22" s="13">
        <x:f>IF($C22="","",IF($AC22="",TRUE,IF($J22="",FALSE,$J22&lt;=$AC22)))</x:f>
      </x:c>
      <x:c r="AV22" s="13">
        <x:f>IF($C22="","",IF($AD22="",TRUE,IF($K22="",FALSE,$K22&lt;=$AD22)))</x:f>
      </x:c>
      <x:c r="AW22" s="13">
        <x:f>IF($C22="","",IF($AE22="",TRUE,IF($L22="",FALSE,$L22&lt;=$AE22)))</x:f>
      </x:c>
      <x:c r="AX22" s="13">
        <x:f>IF($C22="","",IF($AF22="",TRUE,IF($M22="",FALSE,$M22&lt;=$AF22)))</x:f>
      </x:c>
      <x:c r="AY22" s="13">
        <x:f>IF($C22="","",IF($AG22="",TRUE,IF($N22="",FALSE,$N22&gt;=$AG22)))</x:f>
      </x:c>
      <x:c r="AZ22" s="13">
        <x:f>IF($C22="","",IF(OR($AH22="",$AI22=""),TRUE,IF($O22="",FALSE,AND($O22&gt;=$AH22,$O22&lt;=$AI22))))</x:f>
      </x:c>
      <x:c r="BA22" s="13">
        <x:f>IF($C22="","",IF($AJ22="Y",$P22="Y",TRUE))</x:f>
      </x:c>
      <x:c r="BB22" s="13">
        <x:f>IF($C22="","",IF($AK22="Y",$Q22="Y",TRUE))</x:f>
      </x:c>
      <x:c r="BC22" s="13">
        <x:f>IF($C22="","",IF($AL22="Y",$R22="Y",TRUE))</x:f>
      </x:c>
      <x:c r="BD22" s="13">
        <x:f>IF($C22="","",IF($AM22="Y",$S22="Y",TRUE))</x:f>
      </x:c>
      <x:c r="BE22" s="13">
        <x:f>IF($C22="","",IF($AN22="Y",$T22="Y",TRUE))</x:f>
      </x:c>
      <x:c r="BF22" s="13">
        <x:f>IF($C22="","",IF($AO22="",TRUE,IF($U22="",FALSE,$U22&lt;=$AO22)))</x:f>
      </x:c>
      <x:c r="BG22" s="13">
        <x:f>IF($C22="","",IF($AP22="",TRUE,IF($V22="",FALSE,$V22&lt;=$AP22)))</x:f>
      </x:c>
      <x:c r="BH22" s="13">
        <x:f>IF($C22="","",IF($AQ22="",TRUE,IF($W22="",FALSE,$W22&lt;=$AQ22)))</x:f>
      </x:c>
      <x:c r="BI22" s="13">
        <x:f>IF($C22="","",IF($AR22="",TRUE,IF($X22="",FALSE,$X22&lt;=$AR22)))</x:f>
      </x:c>
      <x:c r="BJ22" s="15">
        <x:f>IF($C22="","",IF($Y22="",0,$Y22)+IF($AS22,10,0)+IF($AT22,8,0)+IF($AU22,5,0)+IF($AV22,8,0)+IF($AW22,15,0)+IF($AX22,4,0)+IF($AY22,5,0)+IF($AZ22,10,0)+IF($BA22,8,0)+IF($BB22,4,0)+IF($BC22,6,0)+IF($BD22,3,0)+IF($BE22,2,0)+IF($BF22,2,0)+IF($BG22,2,0)+IF($BH22,2,0)+IF($BI22,1,0))</x:f>
      </x:c>
      <x:c r="BK22" s="15">
        <x:f>IF($C22="","",IF(NOT($AS22),1,0)+IF(NOT($AW22),1,0)+IF(NOT($AZ22),1,0)+IF(NOT($BA22),1,0)+IF(NOT($BB22),1,0)+IF(NOT($BC22),1,0))</x:f>
      </x:c>
      <x:c r="BL22" s="13">
        <x:f>IF($C22="","",IF($BK22&gt;0,"REJECT",IF(COUNTIF($AS22:$BI22,FALSE)=0,"ACCEPT",IF($BJ22&gt;=85,"ACCEPT WITH SORTING / DISCOUNT","REJECT"))))</x:f>
      </x:c>
    </x:row>
    <x:row r="23" ht="24" customHeight="1">
      <x:c r="A23" s="10" t="n"/>
      <x:c r="B23" s="11" t="n"/>
      <x:c r="C23" s="11" t="n"/>
      <x:c r="D23" s="11" t="n"/>
      <x:c r="E23" s="11" t="n"/>
      <x:c r="F23" s="11" t="n"/>
      <x:c r="G23" s="11" t="n"/>
      <x:c r="H23" s="11" t="n"/>
      <x:c r="I23" s="12" t="n"/>
      <x:c r="J23" s="12" t="n"/>
      <x:c r="K23" s="12" t="n"/>
      <x:c r="L23" s="12" t="n"/>
      <x:c r="M23" s="12" t="n"/>
      <x:c r="N23" s="12" t="n"/>
      <x:c r="O23" s="12" t="n"/>
      <x:c r="P23" s="11" t="n"/>
      <x:c r="Q23" s="11" t="n"/>
      <x:c r="R23" s="11" t="n"/>
      <x:c r="S23" s="11" t="n"/>
      <x:c r="T23" s="11" t="n"/>
      <x:c r="U23" s="12" t="n"/>
      <x:c r="V23" s="12" t="n"/>
      <x:c r="W23" s="12" t="n"/>
      <x:c r="X23" s="12" t="n"/>
      <x:c r="Y23" s="12" t="n"/>
      <x:c r="Z23" s="13">
        <x:f>IF($C23="","",VLOOKUP($C23,Config!$A$2:$Y$4,2,FALSE))</x:f>
      </x:c>
      <x:c r="AA23" s="13">
        <x:f>IF($C23="","",VLOOKUP($C23,Config!$A$2:$Y$4,5,FALSE))</x:f>
      </x:c>
      <x:c r="AB23" s="14">
        <x:f>IF($C23="","",VLOOKUP($C23,Config!$A$2:$Y$4,7,FALSE))</x:f>
      </x:c>
      <x:c r="AC23" s="14">
        <x:f>IF($C23="","",VLOOKUP($C23,Config!$A$2:$Y$4,8,FALSE))</x:f>
      </x:c>
      <x:c r="AD23" s="14">
        <x:f>IF($C23="","",VLOOKUP($C23,Config!$A$2:$Y$4,9,FALSE))</x:f>
      </x:c>
      <x:c r="AE23" s="14">
        <x:f>IF($C23="","",VLOOKUP($C23,Config!$A$2:$Y$4,10,FALSE))</x:f>
      </x:c>
      <x:c r="AF23" s="14">
        <x:f>IF($C23="","",VLOOKUP($C23,Config!$A$2:$Y$4,11,FALSE))</x:f>
      </x:c>
      <x:c r="AG23" s="14">
        <x:f>IF($C23="","",VLOOKUP($C23,Config!$A$2:$Y$4,12,FALSE))</x:f>
      </x:c>
      <x:c r="AH23" s="14">
        <x:f>IF($C23="","",VLOOKUP($C23,Config!$A$2:$Y$4,13,FALSE))</x:f>
      </x:c>
      <x:c r="AI23" s="14">
        <x:f>IF($C23="","",VLOOKUP($C23,Config!$A$2:$Y$4,14,FALSE))</x:f>
      </x:c>
      <x:c r="AJ23" s="14">
        <x:f>IF($C23="","",VLOOKUP($C23,Config!$A$2:$Y$4,15,FALSE))</x:f>
      </x:c>
      <x:c r="AK23" s="14">
        <x:f>IF($C23="","",VLOOKUP($C23,Config!$A$2:$Y$4,16,FALSE))</x:f>
      </x:c>
      <x:c r="AL23" s="14">
        <x:f>IF($C23="","",VLOOKUP($C23,Config!$A$2:$Y$4,17,FALSE))</x:f>
      </x:c>
      <x:c r="AM23" s="14">
        <x:f>IF($C23="","",VLOOKUP($C23,Config!$A$2:$Y$4,18,FALSE))</x:f>
      </x:c>
      <x:c r="AN23" s="14">
        <x:f>IF($C23="","",VLOOKUP($C23,Config!$A$2:$Y$4,19,FALSE))</x:f>
      </x:c>
      <x:c r="AO23" s="14">
        <x:f>IF($C23="","",VLOOKUP($C23,Config!$A$2:$Y$4,20,FALSE))</x:f>
      </x:c>
      <x:c r="AP23" s="14">
        <x:f>IF($C23="","",VLOOKUP($C23,Config!$A$2:$Y$4,21,FALSE))</x:f>
      </x:c>
      <x:c r="AQ23" s="14">
        <x:f>IF($C23="","",VLOOKUP($C23,Config!$A$2:$Y$4,22,FALSE))</x:f>
      </x:c>
      <x:c r="AR23" s="14">
        <x:f>IF($C23="","",VLOOKUP($C23,Config!$A$2:$Y$4,23,FALSE))</x:f>
      </x:c>
      <x:c r="AS23" s="13">
        <x:f>IF($C23="","",IF($H23="Extra",3,IF($H23="I",2,IF($H23="II",1,0)))&gt;=IF($AA23="Extra",3,IF($AA23="I",2,IF($AA23="II",1,0))))</x:f>
      </x:c>
      <x:c r="AT23" s="13">
        <x:f>IF($C23="","",IF($I23="",FALSE,$I23&gt;=$AB23))</x:f>
      </x:c>
      <x:c r="AU23" s="13">
        <x:f>IF($C23="","",IF($AC23="",TRUE,IF($J23="",FALSE,$J23&lt;=$AC23)))</x:f>
      </x:c>
      <x:c r="AV23" s="13">
        <x:f>IF($C23="","",IF($AD23="",TRUE,IF($K23="",FALSE,$K23&lt;=$AD23)))</x:f>
      </x:c>
      <x:c r="AW23" s="13">
        <x:f>IF($C23="","",IF($AE23="",TRUE,IF($L23="",FALSE,$L23&lt;=$AE23)))</x:f>
      </x:c>
      <x:c r="AX23" s="13">
        <x:f>IF($C23="","",IF($AF23="",TRUE,IF($M23="",FALSE,$M23&lt;=$AF23)))</x:f>
      </x:c>
      <x:c r="AY23" s="13">
        <x:f>IF($C23="","",IF($AG23="",TRUE,IF($N23="",FALSE,$N23&gt;=$AG23)))</x:f>
      </x:c>
      <x:c r="AZ23" s="13">
        <x:f>IF($C23="","",IF(OR($AH23="",$AI23=""),TRUE,IF($O23="",FALSE,AND($O23&gt;=$AH23,$O23&lt;=$AI23))))</x:f>
      </x:c>
      <x:c r="BA23" s="13">
        <x:f>IF($C23="","",IF($AJ23="Y",$P23="Y",TRUE))</x:f>
      </x:c>
      <x:c r="BB23" s="13">
        <x:f>IF($C23="","",IF($AK23="Y",$Q23="Y",TRUE))</x:f>
      </x:c>
      <x:c r="BC23" s="13">
        <x:f>IF($C23="","",IF($AL23="Y",$R23="Y",TRUE))</x:f>
      </x:c>
      <x:c r="BD23" s="13">
        <x:f>IF($C23="","",IF($AM23="Y",$S23="Y",TRUE))</x:f>
      </x:c>
      <x:c r="BE23" s="13">
        <x:f>IF($C23="","",IF($AN23="Y",$T23="Y",TRUE))</x:f>
      </x:c>
      <x:c r="BF23" s="13">
        <x:f>IF($C23="","",IF($AO23="",TRUE,IF($U23="",FALSE,$U23&lt;=$AO23)))</x:f>
      </x:c>
      <x:c r="BG23" s="13">
        <x:f>IF($C23="","",IF($AP23="",TRUE,IF($V23="",FALSE,$V23&lt;=$AP23)))</x:f>
      </x:c>
      <x:c r="BH23" s="13">
        <x:f>IF($C23="","",IF($AQ23="",TRUE,IF($W23="",FALSE,$W23&lt;=$AQ23)))</x:f>
      </x:c>
      <x:c r="BI23" s="13">
        <x:f>IF($C23="","",IF($AR23="",TRUE,IF($X23="",FALSE,$X23&lt;=$AR23)))</x:f>
      </x:c>
      <x:c r="BJ23" s="15">
        <x:f>IF($C23="","",IF($Y23="",0,$Y23)+IF($AS23,10,0)+IF($AT23,8,0)+IF($AU23,5,0)+IF($AV23,8,0)+IF($AW23,15,0)+IF($AX23,4,0)+IF($AY23,5,0)+IF($AZ23,10,0)+IF($BA23,8,0)+IF($BB23,4,0)+IF($BC23,6,0)+IF($BD23,3,0)+IF($BE23,2,0)+IF($BF23,2,0)+IF($BG23,2,0)+IF($BH23,2,0)+IF($BI23,1,0))</x:f>
      </x:c>
      <x:c r="BK23" s="15">
        <x:f>IF($C23="","",IF(NOT($AS23),1,0)+IF(NOT($AW23),1,0)+IF(NOT($AZ23),1,0)+IF(NOT($BA23),1,0)+IF(NOT($BB23),1,0)+IF(NOT($BC23),1,0))</x:f>
      </x:c>
      <x:c r="BL23" s="13">
        <x:f>IF($C23="","",IF($BK23&gt;0,"REJECT",IF(COUNTIF($AS23:$BI23,FALSE)=0,"ACCEPT",IF($BJ23&gt;=85,"ACCEPT WITH SORTING / DISCOUNT","REJECT"))))</x:f>
      </x:c>
    </x:row>
    <x:row r="24" ht="24" customHeight="1">
      <x:c r="A24" s="10" t="n"/>
      <x:c r="B24" s="11" t="n"/>
      <x:c r="C24" s="11" t="n"/>
      <x:c r="D24" s="11" t="n"/>
      <x:c r="E24" s="11" t="n"/>
      <x:c r="F24" s="11" t="n"/>
      <x:c r="G24" s="11" t="n"/>
      <x:c r="H24" s="11" t="n"/>
      <x:c r="I24" s="12" t="n"/>
      <x:c r="J24" s="12" t="n"/>
      <x:c r="K24" s="12" t="n"/>
      <x:c r="L24" s="12" t="n"/>
      <x:c r="M24" s="12" t="n"/>
      <x:c r="N24" s="12" t="n"/>
      <x:c r="O24" s="12" t="n"/>
      <x:c r="P24" s="11" t="n"/>
      <x:c r="Q24" s="11" t="n"/>
      <x:c r="R24" s="11" t="n"/>
      <x:c r="S24" s="11" t="n"/>
      <x:c r="T24" s="11" t="n"/>
      <x:c r="U24" s="12" t="n"/>
      <x:c r="V24" s="12" t="n"/>
      <x:c r="W24" s="12" t="n"/>
      <x:c r="X24" s="12" t="n"/>
      <x:c r="Y24" s="12" t="n"/>
      <x:c r="Z24" s="13">
        <x:f>IF($C24="","",VLOOKUP($C24,Config!$A$2:$Y$4,2,FALSE))</x:f>
      </x:c>
      <x:c r="AA24" s="13">
        <x:f>IF($C24="","",VLOOKUP($C24,Config!$A$2:$Y$4,5,FALSE))</x:f>
      </x:c>
      <x:c r="AB24" s="14">
        <x:f>IF($C24="","",VLOOKUP($C24,Config!$A$2:$Y$4,7,FALSE))</x:f>
      </x:c>
      <x:c r="AC24" s="14">
        <x:f>IF($C24="","",VLOOKUP($C24,Config!$A$2:$Y$4,8,FALSE))</x:f>
      </x:c>
      <x:c r="AD24" s="14">
        <x:f>IF($C24="","",VLOOKUP($C24,Config!$A$2:$Y$4,9,FALSE))</x:f>
      </x:c>
      <x:c r="AE24" s="14">
        <x:f>IF($C24="","",VLOOKUP($C24,Config!$A$2:$Y$4,10,FALSE))</x:f>
      </x:c>
      <x:c r="AF24" s="14">
        <x:f>IF($C24="","",VLOOKUP($C24,Config!$A$2:$Y$4,11,FALSE))</x:f>
      </x:c>
      <x:c r="AG24" s="14">
        <x:f>IF($C24="","",VLOOKUP($C24,Config!$A$2:$Y$4,12,FALSE))</x:f>
      </x:c>
      <x:c r="AH24" s="14">
        <x:f>IF($C24="","",VLOOKUP($C24,Config!$A$2:$Y$4,13,FALSE))</x:f>
      </x:c>
      <x:c r="AI24" s="14">
        <x:f>IF($C24="","",VLOOKUP($C24,Config!$A$2:$Y$4,14,FALSE))</x:f>
      </x:c>
      <x:c r="AJ24" s="14">
        <x:f>IF($C24="","",VLOOKUP($C24,Config!$A$2:$Y$4,15,FALSE))</x:f>
      </x:c>
      <x:c r="AK24" s="14">
        <x:f>IF($C24="","",VLOOKUP($C24,Config!$A$2:$Y$4,16,FALSE))</x:f>
      </x:c>
      <x:c r="AL24" s="14">
        <x:f>IF($C24="","",VLOOKUP($C24,Config!$A$2:$Y$4,17,FALSE))</x:f>
      </x:c>
      <x:c r="AM24" s="14">
        <x:f>IF($C24="","",VLOOKUP($C24,Config!$A$2:$Y$4,18,FALSE))</x:f>
      </x:c>
      <x:c r="AN24" s="14">
        <x:f>IF($C24="","",VLOOKUP($C24,Config!$A$2:$Y$4,19,FALSE))</x:f>
      </x:c>
      <x:c r="AO24" s="14">
        <x:f>IF($C24="","",VLOOKUP($C24,Config!$A$2:$Y$4,20,FALSE))</x:f>
      </x:c>
      <x:c r="AP24" s="14">
        <x:f>IF($C24="","",VLOOKUP($C24,Config!$A$2:$Y$4,21,FALSE))</x:f>
      </x:c>
      <x:c r="AQ24" s="14">
        <x:f>IF($C24="","",VLOOKUP($C24,Config!$A$2:$Y$4,22,FALSE))</x:f>
      </x:c>
      <x:c r="AR24" s="14">
        <x:f>IF($C24="","",VLOOKUP($C24,Config!$A$2:$Y$4,23,FALSE))</x:f>
      </x:c>
      <x:c r="AS24" s="13">
        <x:f>IF($C24="","",IF($H24="Extra",3,IF($H24="I",2,IF($H24="II",1,0)))&gt;=IF($AA24="Extra",3,IF($AA24="I",2,IF($AA24="II",1,0))))</x:f>
      </x:c>
      <x:c r="AT24" s="13">
        <x:f>IF($C24="","",IF($I24="",FALSE,$I24&gt;=$AB24))</x:f>
      </x:c>
      <x:c r="AU24" s="13">
        <x:f>IF($C24="","",IF($AC24="",TRUE,IF($J24="",FALSE,$J24&lt;=$AC24)))</x:f>
      </x:c>
      <x:c r="AV24" s="13">
        <x:f>IF($C24="","",IF($AD24="",TRUE,IF($K24="",FALSE,$K24&lt;=$AD24)))</x:f>
      </x:c>
      <x:c r="AW24" s="13">
        <x:f>IF($C24="","",IF($AE24="",TRUE,IF($L24="",FALSE,$L24&lt;=$AE24)))</x:f>
      </x:c>
      <x:c r="AX24" s="13">
        <x:f>IF($C24="","",IF($AF24="",TRUE,IF($M24="",FALSE,$M24&lt;=$AF24)))</x:f>
      </x:c>
      <x:c r="AY24" s="13">
        <x:f>IF($C24="","",IF($AG24="",TRUE,IF($N24="",FALSE,$N24&gt;=$AG24)))</x:f>
      </x:c>
      <x:c r="AZ24" s="13">
        <x:f>IF($C24="","",IF(OR($AH24="",$AI24=""),TRUE,IF($O24="",FALSE,AND($O24&gt;=$AH24,$O24&lt;=$AI24))))</x:f>
      </x:c>
      <x:c r="BA24" s="13">
        <x:f>IF($C24="","",IF($AJ24="Y",$P24="Y",TRUE))</x:f>
      </x:c>
      <x:c r="BB24" s="13">
        <x:f>IF($C24="","",IF($AK24="Y",$Q24="Y",TRUE))</x:f>
      </x:c>
      <x:c r="BC24" s="13">
        <x:f>IF($C24="","",IF($AL24="Y",$R24="Y",TRUE))</x:f>
      </x:c>
      <x:c r="BD24" s="13">
        <x:f>IF($C24="","",IF($AM24="Y",$S24="Y",TRUE))</x:f>
      </x:c>
      <x:c r="BE24" s="13">
        <x:f>IF($C24="","",IF($AN24="Y",$T24="Y",TRUE))</x:f>
      </x:c>
      <x:c r="BF24" s="13">
        <x:f>IF($C24="","",IF($AO24="",TRUE,IF($U24="",FALSE,$U24&lt;=$AO24)))</x:f>
      </x:c>
      <x:c r="BG24" s="13">
        <x:f>IF($C24="","",IF($AP24="",TRUE,IF($V24="",FALSE,$V24&lt;=$AP24)))</x:f>
      </x:c>
      <x:c r="BH24" s="13">
        <x:f>IF($C24="","",IF($AQ24="",TRUE,IF($W24="",FALSE,$W24&lt;=$AQ24)))</x:f>
      </x:c>
      <x:c r="BI24" s="13">
        <x:f>IF($C24="","",IF($AR24="",TRUE,IF($X24="",FALSE,$X24&lt;=$AR24)))</x:f>
      </x:c>
      <x:c r="BJ24" s="15">
        <x:f>IF($C24="","",IF($Y24="",0,$Y24)+IF($AS24,10,0)+IF($AT24,8,0)+IF($AU24,5,0)+IF($AV24,8,0)+IF($AW24,15,0)+IF($AX24,4,0)+IF($AY24,5,0)+IF($AZ24,10,0)+IF($BA24,8,0)+IF($BB24,4,0)+IF($BC24,6,0)+IF($BD24,3,0)+IF($BE24,2,0)+IF($BF24,2,0)+IF($BG24,2,0)+IF($BH24,2,0)+IF($BI24,1,0))</x:f>
      </x:c>
      <x:c r="BK24" s="15">
        <x:f>IF($C24="","",IF(NOT($AS24),1,0)+IF(NOT($AW24),1,0)+IF(NOT($AZ24),1,0)+IF(NOT($BA24),1,0)+IF(NOT($BB24),1,0)+IF(NOT($BC24),1,0))</x:f>
      </x:c>
      <x:c r="BL24" s="13">
        <x:f>IF($C24="","",IF($BK24&gt;0,"REJECT",IF(COUNTIF($AS24:$BI24,FALSE)=0,"ACCEPT",IF($BJ24&gt;=85,"ACCEPT WITH SORTING / DISCOUNT","REJECT"))))</x:f>
      </x:c>
    </x:row>
    <x:row r="25" ht="24" customHeight="1">
      <x:c r="A25" s="10" t="n"/>
      <x:c r="B25" s="11" t="n"/>
      <x:c r="C25" s="11" t="n"/>
      <x:c r="D25" s="11" t="n"/>
      <x:c r="E25" s="11" t="n"/>
      <x:c r="F25" s="11" t="n"/>
      <x:c r="G25" s="11" t="n"/>
      <x:c r="H25" s="11" t="n"/>
      <x:c r="I25" s="12" t="n"/>
      <x:c r="J25" s="12" t="n"/>
      <x:c r="K25" s="12" t="n"/>
      <x:c r="L25" s="12" t="n"/>
      <x:c r="M25" s="12" t="n"/>
      <x:c r="N25" s="12" t="n"/>
      <x:c r="O25" s="12" t="n"/>
      <x:c r="P25" s="11" t="n"/>
      <x:c r="Q25" s="11" t="n"/>
      <x:c r="R25" s="11" t="n"/>
      <x:c r="S25" s="11" t="n"/>
      <x:c r="T25" s="11" t="n"/>
      <x:c r="U25" s="12" t="n"/>
      <x:c r="V25" s="12" t="n"/>
      <x:c r="W25" s="12" t="n"/>
      <x:c r="X25" s="12" t="n"/>
      <x:c r="Y25" s="12" t="n"/>
      <x:c r="Z25" s="13">
        <x:f>IF($C25="","",VLOOKUP($C25,Config!$A$2:$Y$4,2,FALSE))</x:f>
      </x:c>
      <x:c r="AA25" s="13">
        <x:f>IF($C25="","",VLOOKUP($C25,Config!$A$2:$Y$4,5,FALSE))</x:f>
      </x:c>
      <x:c r="AB25" s="14">
        <x:f>IF($C25="","",VLOOKUP($C25,Config!$A$2:$Y$4,7,FALSE))</x:f>
      </x:c>
      <x:c r="AC25" s="14">
        <x:f>IF($C25="","",VLOOKUP($C25,Config!$A$2:$Y$4,8,FALSE))</x:f>
      </x:c>
      <x:c r="AD25" s="14">
        <x:f>IF($C25="","",VLOOKUP($C25,Config!$A$2:$Y$4,9,FALSE))</x:f>
      </x:c>
      <x:c r="AE25" s="14">
        <x:f>IF($C25="","",VLOOKUP($C25,Config!$A$2:$Y$4,10,FALSE))</x:f>
      </x:c>
      <x:c r="AF25" s="14">
        <x:f>IF($C25="","",VLOOKUP($C25,Config!$A$2:$Y$4,11,FALSE))</x:f>
      </x:c>
      <x:c r="AG25" s="14">
        <x:f>IF($C25="","",VLOOKUP($C25,Config!$A$2:$Y$4,12,FALSE))</x:f>
      </x:c>
      <x:c r="AH25" s="14">
        <x:f>IF($C25="","",VLOOKUP($C25,Config!$A$2:$Y$4,13,FALSE))</x:f>
      </x:c>
      <x:c r="AI25" s="14">
        <x:f>IF($C25="","",VLOOKUP($C25,Config!$A$2:$Y$4,14,FALSE))</x:f>
      </x:c>
      <x:c r="AJ25" s="14">
        <x:f>IF($C25="","",VLOOKUP($C25,Config!$A$2:$Y$4,15,FALSE))</x:f>
      </x:c>
      <x:c r="AK25" s="14">
        <x:f>IF($C25="","",VLOOKUP($C25,Config!$A$2:$Y$4,16,FALSE))</x:f>
      </x:c>
      <x:c r="AL25" s="14">
        <x:f>IF($C25="","",VLOOKUP($C25,Config!$A$2:$Y$4,17,FALSE))</x:f>
      </x:c>
      <x:c r="AM25" s="14">
        <x:f>IF($C25="","",VLOOKUP($C25,Config!$A$2:$Y$4,18,FALSE))</x:f>
      </x:c>
      <x:c r="AN25" s="14">
        <x:f>IF($C25="","",VLOOKUP($C25,Config!$A$2:$Y$4,19,FALSE))</x:f>
      </x:c>
      <x:c r="AO25" s="14">
        <x:f>IF($C25="","",VLOOKUP($C25,Config!$A$2:$Y$4,20,FALSE))</x:f>
      </x:c>
      <x:c r="AP25" s="14">
        <x:f>IF($C25="","",VLOOKUP($C25,Config!$A$2:$Y$4,21,FALSE))</x:f>
      </x:c>
      <x:c r="AQ25" s="14">
        <x:f>IF($C25="","",VLOOKUP($C25,Config!$A$2:$Y$4,22,FALSE))</x:f>
      </x:c>
      <x:c r="AR25" s="14">
        <x:f>IF($C25="","",VLOOKUP($C25,Config!$A$2:$Y$4,23,FALSE))</x:f>
      </x:c>
      <x:c r="AS25" s="13">
        <x:f>IF($C25="","",IF($H25="Extra",3,IF($H25="I",2,IF($H25="II",1,0)))&gt;=IF($AA25="Extra",3,IF($AA25="I",2,IF($AA25="II",1,0))))</x:f>
      </x:c>
      <x:c r="AT25" s="13">
        <x:f>IF($C25="","",IF($I25="",FALSE,$I25&gt;=$AB25))</x:f>
      </x:c>
      <x:c r="AU25" s="13">
        <x:f>IF($C25="","",IF($AC25="",TRUE,IF($J25="",FALSE,$J25&lt;=$AC25)))</x:f>
      </x:c>
      <x:c r="AV25" s="13">
        <x:f>IF($C25="","",IF($AD25="",TRUE,IF($K25="",FALSE,$K25&lt;=$AD25)))</x:f>
      </x:c>
      <x:c r="AW25" s="13">
        <x:f>IF($C25="","",IF($AE25="",TRUE,IF($L25="",FALSE,$L25&lt;=$AE25)))</x:f>
      </x:c>
      <x:c r="AX25" s="13">
        <x:f>IF($C25="","",IF($AF25="",TRUE,IF($M25="",FALSE,$M25&lt;=$AF25)))</x:f>
      </x:c>
      <x:c r="AY25" s="13">
        <x:f>IF($C25="","",IF($AG25="",TRUE,IF($N25="",FALSE,$N25&gt;=$AG25)))</x:f>
      </x:c>
      <x:c r="AZ25" s="13">
        <x:f>IF($C25="","",IF(OR($AH25="",$AI25=""),TRUE,IF($O25="",FALSE,AND($O25&gt;=$AH25,$O25&lt;=$AI25))))</x:f>
      </x:c>
      <x:c r="BA25" s="13">
        <x:f>IF($C25="","",IF($AJ25="Y",$P25="Y",TRUE))</x:f>
      </x:c>
      <x:c r="BB25" s="13">
        <x:f>IF($C25="","",IF($AK25="Y",$Q25="Y",TRUE))</x:f>
      </x:c>
      <x:c r="BC25" s="13">
        <x:f>IF($C25="","",IF($AL25="Y",$R25="Y",TRUE))</x:f>
      </x:c>
      <x:c r="BD25" s="13">
        <x:f>IF($C25="","",IF($AM25="Y",$S25="Y",TRUE))</x:f>
      </x:c>
      <x:c r="BE25" s="13">
        <x:f>IF($C25="","",IF($AN25="Y",$T25="Y",TRUE))</x:f>
      </x:c>
      <x:c r="BF25" s="13">
        <x:f>IF($C25="","",IF($AO25="",TRUE,IF($U25="",FALSE,$U25&lt;=$AO25)))</x:f>
      </x:c>
      <x:c r="BG25" s="13">
        <x:f>IF($C25="","",IF($AP25="",TRUE,IF($V25="",FALSE,$V25&lt;=$AP25)))</x:f>
      </x:c>
      <x:c r="BH25" s="13">
        <x:f>IF($C25="","",IF($AQ25="",TRUE,IF($W25="",FALSE,$W25&lt;=$AQ25)))</x:f>
      </x:c>
      <x:c r="BI25" s="13">
        <x:f>IF($C25="","",IF($AR25="",TRUE,IF($X25="",FALSE,$X25&lt;=$AR25)))</x:f>
      </x:c>
      <x:c r="BJ25" s="15">
        <x:f>IF($C25="","",IF($Y25="",0,$Y25)+IF($AS25,10,0)+IF($AT25,8,0)+IF($AU25,5,0)+IF($AV25,8,0)+IF($AW25,15,0)+IF($AX25,4,0)+IF($AY25,5,0)+IF($AZ25,10,0)+IF($BA25,8,0)+IF($BB25,4,0)+IF($BC25,6,0)+IF($BD25,3,0)+IF($BE25,2,0)+IF($BF25,2,0)+IF($BG25,2,0)+IF($BH25,2,0)+IF($BI25,1,0))</x:f>
      </x:c>
      <x:c r="BK25" s="15">
        <x:f>IF($C25="","",IF(NOT($AS25),1,0)+IF(NOT($AW25),1,0)+IF(NOT($AZ25),1,0)+IF(NOT($BA25),1,0)+IF(NOT($BB25),1,0)+IF(NOT($BC25),1,0))</x:f>
      </x:c>
      <x:c r="BL25" s="13">
        <x:f>IF($C25="","",IF($BK25&gt;0,"REJECT",IF(COUNTIF($AS25:$BI25,FALSE)=0,"ACCEPT",IF($BJ25&gt;=85,"ACCEPT WITH SORTING / DISCOUNT","REJECT"))))</x:f>
      </x:c>
    </x:row>
    <x:row r="26" ht="24" customHeight="1">
      <x:c r="A26" s="10" t="n"/>
      <x:c r="B26" s="11" t="n"/>
      <x:c r="C26" s="11" t="n"/>
      <x:c r="D26" s="11" t="n"/>
      <x:c r="E26" s="11" t="n"/>
      <x:c r="F26" s="11" t="n"/>
      <x:c r="G26" s="11" t="n"/>
      <x:c r="H26" s="11" t="n"/>
      <x:c r="I26" s="12" t="n"/>
      <x:c r="J26" s="12" t="n"/>
      <x:c r="K26" s="12" t="n"/>
      <x:c r="L26" s="12" t="n"/>
      <x:c r="M26" s="12" t="n"/>
      <x:c r="N26" s="12" t="n"/>
      <x:c r="O26" s="12" t="n"/>
      <x:c r="P26" s="11" t="n"/>
      <x:c r="Q26" s="11" t="n"/>
      <x:c r="R26" s="11" t="n"/>
      <x:c r="S26" s="11" t="n"/>
      <x:c r="T26" s="11" t="n"/>
      <x:c r="U26" s="12" t="n"/>
      <x:c r="V26" s="12" t="n"/>
      <x:c r="W26" s="12" t="n"/>
      <x:c r="X26" s="12" t="n"/>
      <x:c r="Y26" s="12" t="n"/>
      <x:c r="Z26" s="13">
        <x:f>IF($C26="","",VLOOKUP($C26,Config!$A$2:$Y$4,2,FALSE))</x:f>
      </x:c>
      <x:c r="AA26" s="13">
        <x:f>IF($C26="","",VLOOKUP($C26,Config!$A$2:$Y$4,5,FALSE))</x:f>
      </x:c>
      <x:c r="AB26" s="14">
        <x:f>IF($C26="","",VLOOKUP($C26,Config!$A$2:$Y$4,7,FALSE))</x:f>
      </x:c>
      <x:c r="AC26" s="14">
        <x:f>IF($C26="","",VLOOKUP($C26,Config!$A$2:$Y$4,8,FALSE))</x:f>
      </x:c>
      <x:c r="AD26" s="14">
        <x:f>IF($C26="","",VLOOKUP($C26,Config!$A$2:$Y$4,9,FALSE))</x:f>
      </x:c>
      <x:c r="AE26" s="14">
        <x:f>IF($C26="","",VLOOKUP($C26,Config!$A$2:$Y$4,10,FALSE))</x:f>
      </x:c>
      <x:c r="AF26" s="14">
        <x:f>IF($C26="","",VLOOKUP($C26,Config!$A$2:$Y$4,11,FALSE))</x:f>
      </x:c>
      <x:c r="AG26" s="14">
        <x:f>IF($C26="","",VLOOKUP($C26,Config!$A$2:$Y$4,12,FALSE))</x:f>
      </x:c>
      <x:c r="AH26" s="14">
        <x:f>IF($C26="","",VLOOKUP($C26,Config!$A$2:$Y$4,13,FALSE))</x:f>
      </x:c>
      <x:c r="AI26" s="14">
        <x:f>IF($C26="","",VLOOKUP($C26,Config!$A$2:$Y$4,14,FALSE))</x:f>
      </x:c>
      <x:c r="AJ26" s="14">
        <x:f>IF($C26="","",VLOOKUP($C26,Config!$A$2:$Y$4,15,FALSE))</x:f>
      </x:c>
      <x:c r="AK26" s="14">
        <x:f>IF($C26="","",VLOOKUP($C26,Config!$A$2:$Y$4,16,FALSE))</x:f>
      </x:c>
      <x:c r="AL26" s="14">
        <x:f>IF($C26="","",VLOOKUP($C26,Config!$A$2:$Y$4,17,FALSE))</x:f>
      </x:c>
      <x:c r="AM26" s="14">
        <x:f>IF($C26="","",VLOOKUP($C26,Config!$A$2:$Y$4,18,FALSE))</x:f>
      </x:c>
      <x:c r="AN26" s="14">
        <x:f>IF($C26="","",VLOOKUP($C26,Config!$A$2:$Y$4,19,FALSE))</x:f>
      </x:c>
      <x:c r="AO26" s="14">
        <x:f>IF($C26="","",VLOOKUP($C26,Config!$A$2:$Y$4,20,FALSE))</x:f>
      </x:c>
      <x:c r="AP26" s="14">
        <x:f>IF($C26="","",VLOOKUP($C26,Config!$A$2:$Y$4,21,FALSE))</x:f>
      </x:c>
      <x:c r="AQ26" s="14">
        <x:f>IF($C26="","",VLOOKUP($C26,Config!$A$2:$Y$4,22,FALSE))</x:f>
      </x:c>
      <x:c r="AR26" s="14">
        <x:f>IF($C26="","",VLOOKUP($C26,Config!$A$2:$Y$4,23,FALSE))</x:f>
      </x:c>
      <x:c r="AS26" s="13">
        <x:f>IF($C26="","",IF($H26="Extra",3,IF($H26="I",2,IF($H26="II",1,0)))&gt;=IF($AA26="Extra",3,IF($AA26="I",2,IF($AA26="II",1,0))))</x:f>
      </x:c>
      <x:c r="AT26" s="13">
        <x:f>IF($C26="","",IF($I26="",FALSE,$I26&gt;=$AB26))</x:f>
      </x:c>
      <x:c r="AU26" s="13">
        <x:f>IF($C26="","",IF($AC26="",TRUE,IF($J26="",FALSE,$J26&lt;=$AC26)))</x:f>
      </x:c>
      <x:c r="AV26" s="13">
        <x:f>IF($C26="","",IF($AD26="",TRUE,IF($K26="",FALSE,$K26&lt;=$AD26)))</x:f>
      </x:c>
      <x:c r="AW26" s="13">
        <x:f>IF($C26="","",IF($AE26="",TRUE,IF($L26="",FALSE,$L26&lt;=$AE26)))</x:f>
      </x:c>
      <x:c r="AX26" s="13">
        <x:f>IF($C26="","",IF($AF26="",TRUE,IF($M26="",FALSE,$M26&lt;=$AF26)))</x:f>
      </x:c>
      <x:c r="AY26" s="13">
        <x:f>IF($C26="","",IF($AG26="",TRUE,IF($N26="",FALSE,$N26&gt;=$AG26)))</x:f>
      </x:c>
      <x:c r="AZ26" s="13">
        <x:f>IF($C26="","",IF(OR($AH26="",$AI26=""),TRUE,IF($O26="",FALSE,AND($O26&gt;=$AH26,$O26&lt;=$AI26))))</x:f>
      </x:c>
      <x:c r="BA26" s="13">
        <x:f>IF($C26="","",IF($AJ26="Y",$P26="Y",TRUE))</x:f>
      </x:c>
      <x:c r="BB26" s="13">
        <x:f>IF($C26="","",IF($AK26="Y",$Q26="Y",TRUE))</x:f>
      </x:c>
      <x:c r="BC26" s="13">
        <x:f>IF($C26="","",IF($AL26="Y",$R26="Y",TRUE))</x:f>
      </x:c>
      <x:c r="BD26" s="13">
        <x:f>IF($C26="","",IF($AM26="Y",$S26="Y",TRUE))</x:f>
      </x:c>
      <x:c r="BE26" s="13">
        <x:f>IF($C26="","",IF($AN26="Y",$T26="Y",TRUE))</x:f>
      </x:c>
      <x:c r="BF26" s="13">
        <x:f>IF($C26="","",IF($AO26="",TRUE,IF($U26="",FALSE,$U26&lt;=$AO26)))</x:f>
      </x:c>
      <x:c r="BG26" s="13">
        <x:f>IF($C26="","",IF($AP26="",TRUE,IF($V26="",FALSE,$V26&lt;=$AP26)))</x:f>
      </x:c>
      <x:c r="BH26" s="13">
        <x:f>IF($C26="","",IF($AQ26="",TRUE,IF($W26="",FALSE,$W26&lt;=$AQ26)))</x:f>
      </x:c>
      <x:c r="BI26" s="13">
        <x:f>IF($C26="","",IF($AR26="",TRUE,IF($X26="",FALSE,$X26&lt;=$AR26)))</x:f>
      </x:c>
      <x:c r="BJ26" s="15">
        <x:f>IF($C26="","",IF($Y26="",0,$Y26)+IF($AS26,10,0)+IF($AT26,8,0)+IF($AU26,5,0)+IF($AV26,8,0)+IF($AW26,15,0)+IF($AX26,4,0)+IF($AY26,5,0)+IF($AZ26,10,0)+IF($BA26,8,0)+IF($BB26,4,0)+IF($BC26,6,0)+IF($BD26,3,0)+IF($BE26,2,0)+IF($BF26,2,0)+IF($BG26,2,0)+IF($BH26,2,0)+IF($BI26,1,0))</x:f>
      </x:c>
      <x:c r="BK26" s="15">
        <x:f>IF($C26="","",IF(NOT($AS26),1,0)+IF(NOT($AW26),1,0)+IF(NOT($AZ26),1,0)+IF(NOT($BA26),1,0)+IF(NOT($BB26),1,0)+IF(NOT($BC26),1,0))</x:f>
      </x:c>
      <x:c r="BL26" s="13">
        <x:f>IF($C26="","",IF($BK26&gt;0,"REJECT",IF(COUNTIF($AS26:$BI26,FALSE)=0,"ACCEPT",IF($BJ26&gt;=85,"ACCEPT WITH SORTING / DISCOUNT","REJECT"))))</x:f>
      </x:c>
    </x:row>
    <x:row r="27" ht="24" customHeight="1">
      <x:c r="A27" s="10" t="n"/>
      <x:c r="B27" s="11" t="n"/>
      <x:c r="C27" s="11" t="n"/>
      <x:c r="D27" s="11" t="n"/>
      <x:c r="E27" s="11" t="n"/>
      <x:c r="F27" s="11" t="n"/>
      <x:c r="G27" s="11" t="n"/>
      <x:c r="H27" s="11" t="n"/>
      <x:c r="I27" s="12" t="n"/>
      <x:c r="J27" s="12" t="n"/>
      <x:c r="K27" s="12" t="n"/>
      <x:c r="L27" s="12" t="n"/>
      <x:c r="M27" s="12" t="n"/>
      <x:c r="N27" s="12" t="n"/>
      <x:c r="O27" s="12" t="n"/>
      <x:c r="P27" s="11" t="n"/>
      <x:c r="Q27" s="11" t="n"/>
      <x:c r="R27" s="11" t="n"/>
      <x:c r="S27" s="11" t="n"/>
      <x:c r="T27" s="11" t="n"/>
      <x:c r="U27" s="12" t="n"/>
      <x:c r="V27" s="12" t="n"/>
      <x:c r="W27" s="12" t="n"/>
      <x:c r="X27" s="12" t="n"/>
      <x:c r="Y27" s="12" t="n"/>
      <x:c r="Z27" s="13">
        <x:f>IF($C27="","",VLOOKUP($C27,Config!$A$2:$Y$4,2,FALSE))</x:f>
      </x:c>
      <x:c r="AA27" s="13">
        <x:f>IF($C27="","",VLOOKUP($C27,Config!$A$2:$Y$4,5,FALSE))</x:f>
      </x:c>
      <x:c r="AB27" s="14">
        <x:f>IF($C27="","",VLOOKUP($C27,Config!$A$2:$Y$4,7,FALSE))</x:f>
      </x:c>
      <x:c r="AC27" s="14">
        <x:f>IF($C27="","",VLOOKUP($C27,Config!$A$2:$Y$4,8,FALSE))</x:f>
      </x:c>
      <x:c r="AD27" s="14">
        <x:f>IF($C27="","",VLOOKUP($C27,Config!$A$2:$Y$4,9,FALSE))</x:f>
      </x:c>
      <x:c r="AE27" s="14">
        <x:f>IF($C27="","",VLOOKUP($C27,Config!$A$2:$Y$4,10,FALSE))</x:f>
      </x:c>
      <x:c r="AF27" s="14">
        <x:f>IF($C27="","",VLOOKUP($C27,Config!$A$2:$Y$4,11,FALSE))</x:f>
      </x:c>
      <x:c r="AG27" s="14">
        <x:f>IF($C27="","",VLOOKUP($C27,Config!$A$2:$Y$4,12,FALSE))</x:f>
      </x:c>
      <x:c r="AH27" s="14">
        <x:f>IF($C27="","",VLOOKUP($C27,Config!$A$2:$Y$4,13,FALSE))</x:f>
      </x:c>
      <x:c r="AI27" s="14">
        <x:f>IF($C27="","",VLOOKUP($C27,Config!$A$2:$Y$4,14,FALSE))</x:f>
      </x:c>
      <x:c r="AJ27" s="14">
        <x:f>IF($C27="","",VLOOKUP($C27,Config!$A$2:$Y$4,15,FALSE))</x:f>
      </x:c>
      <x:c r="AK27" s="14">
        <x:f>IF($C27="","",VLOOKUP($C27,Config!$A$2:$Y$4,16,FALSE))</x:f>
      </x:c>
      <x:c r="AL27" s="14">
        <x:f>IF($C27="","",VLOOKUP($C27,Config!$A$2:$Y$4,17,FALSE))</x:f>
      </x:c>
      <x:c r="AM27" s="14">
        <x:f>IF($C27="","",VLOOKUP($C27,Config!$A$2:$Y$4,18,FALSE))</x:f>
      </x:c>
      <x:c r="AN27" s="14">
        <x:f>IF($C27="","",VLOOKUP($C27,Config!$A$2:$Y$4,19,FALSE))</x:f>
      </x:c>
      <x:c r="AO27" s="14">
        <x:f>IF($C27="","",VLOOKUP($C27,Config!$A$2:$Y$4,20,FALSE))</x:f>
      </x:c>
      <x:c r="AP27" s="14">
        <x:f>IF($C27="","",VLOOKUP($C27,Config!$A$2:$Y$4,21,FALSE))</x:f>
      </x:c>
      <x:c r="AQ27" s="14">
        <x:f>IF($C27="","",VLOOKUP($C27,Config!$A$2:$Y$4,22,FALSE))</x:f>
      </x:c>
      <x:c r="AR27" s="14">
        <x:f>IF($C27="","",VLOOKUP($C27,Config!$A$2:$Y$4,23,FALSE))</x:f>
      </x:c>
      <x:c r="AS27" s="13">
        <x:f>IF($C27="","",IF($H27="Extra",3,IF($H27="I",2,IF($H27="II",1,0)))&gt;=IF($AA27="Extra",3,IF($AA27="I",2,IF($AA27="II",1,0))))</x:f>
      </x:c>
      <x:c r="AT27" s="13">
        <x:f>IF($C27="","",IF($I27="",FALSE,$I27&gt;=$AB27))</x:f>
      </x:c>
      <x:c r="AU27" s="13">
        <x:f>IF($C27="","",IF($AC27="",TRUE,IF($J27="",FALSE,$J27&lt;=$AC27)))</x:f>
      </x:c>
      <x:c r="AV27" s="13">
        <x:f>IF($C27="","",IF($AD27="",TRUE,IF($K27="",FALSE,$K27&lt;=$AD27)))</x:f>
      </x:c>
      <x:c r="AW27" s="13">
        <x:f>IF($C27="","",IF($AE27="",TRUE,IF($L27="",FALSE,$L27&lt;=$AE27)))</x:f>
      </x:c>
      <x:c r="AX27" s="13">
        <x:f>IF($C27="","",IF($AF27="",TRUE,IF($M27="",FALSE,$M27&lt;=$AF27)))</x:f>
      </x:c>
      <x:c r="AY27" s="13">
        <x:f>IF($C27="","",IF($AG27="",TRUE,IF($N27="",FALSE,$N27&gt;=$AG27)))</x:f>
      </x:c>
      <x:c r="AZ27" s="13">
        <x:f>IF($C27="","",IF(OR($AH27="",$AI27=""),TRUE,IF($O27="",FALSE,AND($O27&gt;=$AH27,$O27&lt;=$AI27))))</x:f>
      </x:c>
      <x:c r="BA27" s="13">
        <x:f>IF($C27="","",IF($AJ27="Y",$P27="Y",TRUE))</x:f>
      </x:c>
      <x:c r="BB27" s="13">
        <x:f>IF($C27="","",IF($AK27="Y",$Q27="Y",TRUE))</x:f>
      </x:c>
      <x:c r="BC27" s="13">
        <x:f>IF($C27="","",IF($AL27="Y",$R27="Y",TRUE))</x:f>
      </x:c>
      <x:c r="BD27" s="13">
        <x:f>IF($C27="","",IF($AM27="Y",$S27="Y",TRUE))</x:f>
      </x:c>
      <x:c r="BE27" s="13">
        <x:f>IF($C27="","",IF($AN27="Y",$T27="Y",TRUE))</x:f>
      </x:c>
      <x:c r="BF27" s="13">
        <x:f>IF($C27="","",IF($AO27="",TRUE,IF($U27="",FALSE,$U27&lt;=$AO27)))</x:f>
      </x:c>
      <x:c r="BG27" s="13">
        <x:f>IF($C27="","",IF($AP27="",TRUE,IF($V27="",FALSE,$V27&lt;=$AP27)))</x:f>
      </x:c>
      <x:c r="BH27" s="13">
        <x:f>IF($C27="","",IF($AQ27="",TRUE,IF($W27="",FALSE,$W27&lt;=$AQ27)))</x:f>
      </x:c>
      <x:c r="BI27" s="13">
        <x:f>IF($C27="","",IF($AR27="",TRUE,IF($X27="",FALSE,$X27&lt;=$AR27)))</x:f>
      </x:c>
      <x:c r="BJ27" s="15">
        <x:f>IF($C27="","",IF($Y27="",0,$Y27)+IF($AS27,10,0)+IF($AT27,8,0)+IF($AU27,5,0)+IF($AV27,8,0)+IF($AW27,15,0)+IF($AX27,4,0)+IF($AY27,5,0)+IF($AZ27,10,0)+IF($BA27,8,0)+IF($BB27,4,0)+IF($BC27,6,0)+IF($BD27,3,0)+IF($BE27,2,0)+IF($BF27,2,0)+IF($BG27,2,0)+IF($BH27,2,0)+IF($BI27,1,0))</x:f>
      </x:c>
      <x:c r="BK27" s="15">
        <x:f>IF($C27="","",IF(NOT($AS27),1,0)+IF(NOT($AW27),1,0)+IF(NOT($AZ27),1,0)+IF(NOT($BA27),1,0)+IF(NOT($BB27),1,0)+IF(NOT($BC27),1,0))</x:f>
      </x:c>
      <x:c r="BL27" s="13">
        <x:f>IF($C27="","",IF($BK27&gt;0,"REJECT",IF(COUNTIF($AS27:$BI27,FALSE)=0,"ACCEPT",IF($BJ27&gt;=85,"ACCEPT WITH SORTING / DISCOUNT","REJECT"))))</x:f>
      </x:c>
    </x:row>
    <x:row r="28" ht="24" customHeight="1">
      <x:c r="A28" s="10" t="n"/>
      <x:c r="B28" s="11" t="n"/>
      <x:c r="C28" s="11" t="n"/>
      <x:c r="D28" s="11" t="n"/>
      <x:c r="E28" s="11" t="n"/>
      <x:c r="F28" s="11" t="n"/>
      <x:c r="G28" s="11" t="n"/>
      <x:c r="H28" s="11" t="n"/>
      <x:c r="I28" s="12" t="n"/>
      <x:c r="J28" s="12" t="n"/>
      <x:c r="K28" s="12" t="n"/>
      <x:c r="L28" s="12" t="n"/>
      <x:c r="M28" s="12" t="n"/>
      <x:c r="N28" s="12" t="n"/>
      <x:c r="O28" s="12" t="n"/>
      <x:c r="P28" s="11" t="n"/>
      <x:c r="Q28" s="11" t="n"/>
      <x:c r="R28" s="11" t="n"/>
      <x:c r="S28" s="11" t="n"/>
      <x:c r="T28" s="11" t="n"/>
      <x:c r="U28" s="12" t="n"/>
      <x:c r="V28" s="12" t="n"/>
      <x:c r="W28" s="12" t="n"/>
      <x:c r="X28" s="12" t="n"/>
      <x:c r="Y28" s="12" t="n"/>
      <x:c r="Z28" s="13">
        <x:f>IF($C28="","",VLOOKUP($C28,Config!$A$2:$Y$4,2,FALSE))</x:f>
      </x:c>
      <x:c r="AA28" s="13">
        <x:f>IF($C28="","",VLOOKUP($C28,Config!$A$2:$Y$4,5,FALSE))</x:f>
      </x:c>
      <x:c r="AB28" s="14">
        <x:f>IF($C28="","",VLOOKUP($C28,Config!$A$2:$Y$4,7,FALSE))</x:f>
      </x:c>
      <x:c r="AC28" s="14">
        <x:f>IF($C28="","",VLOOKUP($C28,Config!$A$2:$Y$4,8,FALSE))</x:f>
      </x:c>
      <x:c r="AD28" s="14">
        <x:f>IF($C28="","",VLOOKUP($C28,Config!$A$2:$Y$4,9,FALSE))</x:f>
      </x:c>
      <x:c r="AE28" s="14">
        <x:f>IF($C28="","",VLOOKUP($C28,Config!$A$2:$Y$4,10,FALSE))</x:f>
      </x:c>
      <x:c r="AF28" s="14">
        <x:f>IF($C28="","",VLOOKUP($C28,Config!$A$2:$Y$4,11,FALSE))</x:f>
      </x:c>
      <x:c r="AG28" s="14">
        <x:f>IF($C28="","",VLOOKUP($C28,Config!$A$2:$Y$4,12,FALSE))</x:f>
      </x:c>
      <x:c r="AH28" s="14">
        <x:f>IF($C28="","",VLOOKUP($C28,Config!$A$2:$Y$4,13,FALSE))</x:f>
      </x:c>
      <x:c r="AI28" s="14">
        <x:f>IF($C28="","",VLOOKUP($C28,Config!$A$2:$Y$4,14,FALSE))</x:f>
      </x:c>
      <x:c r="AJ28" s="14">
        <x:f>IF($C28="","",VLOOKUP($C28,Config!$A$2:$Y$4,15,FALSE))</x:f>
      </x:c>
      <x:c r="AK28" s="14">
        <x:f>IF($C28="","",VLOOKUP($C28,Config!$A$2:$Y$4,16,FALSE))</x:f>
      </x:c>
      <x:c r="AL28" s="14">
        <x:f>IF($C28="","",VLOOKUP($C28,Config!$A$2:$Y$4,17,FALSE))</x:f>
      </x:c>
      <x:c r="AM28" s="14">
        <x:f>IF($C28="","",VLOOKUP($C28,Config!$A$2:$Y$4,18,FALSE))</x:f>
      </x:c>
      <x:c r="AN28" s="14">
        <x:f>IF($C28="","",VLOOKUP($C28,Config!$A$2:$Y$4,19,FALSE))</x:f>
      </x:c>
      <x:c r="AO28" s="14">
        <x:f>IF($C28="","",VLOOKUP($C28,Config!$A$2:$Y$4,20,FALSE))</x:f>
      </x:c>
      <x:c r="AP28" s="14">
        <x:f>IF($C28="","",VLOOKUP($C28,Config!$A$2:$Y$4,21,FALSE))</x:f>
      </x:c>
      <x:c r="AQ28" s="14">
        <x:f>IF($C28="","",VLOOKUP($C28,Config!$A$2:$Y$4,22,FALSE))</x:f>
      </x:c>
      <x:c r="AR28" s="14">
        <x:f>IF($C28="","",VLOOKUP($C28,Config!$A$2:$Y$4,23,FALSE))</x:f>
      </x:c>
      <x:c r="AS28" s="13">
        <x:f>IF($C28="","",IF($H28="Extra",3,IF($H28="I",2,IF($H28="II",1,0)))&gt;=IF($AA28="Extra",3,IF($AA28="I",2,IF($AA28="II",1,0))))</x:f>
      </x:c>
      <x:c r="AT28" s="13">
        <x:f>IF($C28="","",IF($I28="",FALSE,$I28&gt;=$AB28))</x:f>
      </x:c>
      <x:c r="AU28" s="13">
        <x:f>IF($C28="","",IF($AC28="",TRUE,IF($J28="",FALSE,$J28&lt;=$AC28)))</x:f>
      </x:c>
      <x:c r="AV28" s="13">
        <x:f>IF($C28="","",IF($AD28="",TRUE,IF($K28="",FALSE,$K28&lt;=$AD28)))</x:f>
      </x:c>
      <x:c r="AW28" s="13">
        <x:f>IF($C28="","",IF($AE28="",TRUE,IF($L28="",FALSE,$L28&lt;=$AE28)))</x:f>
      </x:c>
      <x:c r="AX28" s="13">
        <x:f>IF($C28="","",IF($AF28="",TRUE,IF($M28="",FALSE,$M28&lt;=$AF28)))</x:f>
      </x:c>
      <x:c r="AY28" s="13">
        <x:f>IF($C28="","",IF($AG28="",TRUE,IF($N28="",FALSE,$N28&gt;=$AG28)))</x:f>
      </x:c>
      <x:c r="AZ28" s="13">
        <x:f>IF($C28="","",IF(OR($AH28="",$AI28=""),TRUE,IF($O28="",FALSE,AND($O28&gt;=$AH28,$O28&lt;=$AI28))))</x:f>
      </x:c>
      <x:c r="BA28" s="13">
        <x:f>IF($C28="","",IF($AJ28="Y",$P28="Y",TRUE))</x:f>
      </x:c>
      <x:c r="BB28" s="13">
        <x:f>IF($C28="","",IF($AK28="Y",$Q28="Y",TRUE))</x:f>
      </x:c>
      <x:c r="BC28" s="13">
        <x:f>IF($C28="","",IF($AL28="Y",$R28="Y",TRUE))</x:f>
      </x:c>
      <x:c r="BD28" s="13">
        <x:f>IF($C28="","",IF($AM28="Y",$S28="Y",TRUE))</x:f>
      </x:c>
      <x:c r="BE28" s="13">
        <x:f>IF($C28="","",IF($AN28="Y",$T28="Y",TRUE))</x:f>
      </x:c>
      <x:c r="BF28" s="13">
        <x:f>IF($C28="","",IF($AO28="",TRUE,IF($U28="",FALSE,$U28&lt;=$AO28)))</x:f>
      </x:c>
      <x:c r="BG28" s="13">
        <x:f>IF($C28="","",IF($AP28="",TRUE,IF($V28="",FALSE,$V28&lt;=$AP28)))</x:f>
      </x:c>
      <x:c r="BH28" s="13">
        <x:f>IF($C28="","",IF($AQ28="",TRUE,IF($W28="",FALSE,$W28&lt;=$AQ28)))</x:f>
      </x:c>
      <x:c r="BI28" s="13">
        <x:f>IF($C28="","",IF($AR28="",TRUE,IF($X28="",FALSE,$X28&lt;=$AR28)))</x:f>
      </x:c>
      <x:c r="BJ28" s="15">
        <x:f>IF($C28="","",IF($Y28="",0,$Y28)+IF($AS28,10,0)+IF($AT28,8,0)+IF($AU28,5,0)+IF($AV28,8,0)+IF($AW28,15,0)+IF($AX28,4,0)+IF($AY28,5,0)+IF($AZ28,10,0)+IF($BA28,8,0)+IF($BB28,4,0)+IF($BC28,6,0)+IF($BD28,3,0)+IF($BE28,2,0)+IF($BF28,2,0)+IF($BG28,2,0)+IF($BH28,2,0)+IF($BI28,1,0))</x:f>
      </x:c>
      <x:c r="BK28" s="15">
        <x:f>IF($C28="","",IF(NOT($AS28),1,0)+IF(NOT($AW28),1,0)+IF(NOT($AZ28),1,0)+IF(NOT($BA28),1,0)+IF(NOT($BB28),1,0)+IF(NOT($BC28),1,0))</x:f>
      </x:c>
      <x:c r="BL28" s="13">
        <x:f>IF($C28="","",IF($BK28&gt;0,"REJECT",IF(COUNTIF($AS28:$BI28,FALSE)=0,"ACCEPT",IF($BJ28&gt;=85,"ACCEPT WITH SORTING / DISCOUNT","REJECT"))))</x:f>
      </x:c>
    </x:row>
    <x:row r="29" ht="24" customHeight="1">
      <x:c r="A29" s="10" t="n"/>
      <x:c r="B29" s="11" t="n"/>
      <x:c r="C29" s="11" t="n"/>
      <x:c r="D29" s="11" t="n"/>
      <x:c r="E29" s="11" t="n"/>
      <x:c r="F29" s="11" t="n"/>
      <x:c r="G29" s="11" t="n"/>
      <x:c r="H29" s="11" t="n"/>
      <x:c r="I29" s="12" t="n"/>
      <x:c r="J29" s="12" t="n"/>
      <x:c r="K29" s="12" t="n"/>
      <x:c r="L29" s="12" t="n"/>
      <x:c r="M29" s="12" t="n"/>
      <x:c r="N29" s="12" t="n"/>
      <x:c r="O29" s="12" t="n"/>
      <x:c r="P29" s="11" t="n"/>
      <x:c r="Q29" s="11" t="n"/>
      <x:c r="R29" s="11" t="n"/>
      <x:c r="S29" s="11" t="n"/>
      <x:c r="T29" s="11" t="n"/>
      <x:c r="U29" s="12" t="n"/>
      <x:c r="V29" s="12" t="n"/>
      <x:c r="W29" s="12" t="n"/>
      <x:c r="X29" s="12" t="n"/>
      <x:c r="Y29" s="12" t="n"/>
      <x:c r="Z29" s="13">
        <x:f>IF($C29="","",VLOOKUP($C29,Config!$A$2:$Y$4,2,FALSE))</x:f>
      </x:c>
      <x:c r="AA29" s="13">
        <x:f>IF($C29="","",VLOOKUP($C29,Config!$A$2:$Y$4,5,FALSE))</x:f>
      </x:c>
      <x:c r="AB29" s="14">
        <x:f>IF($C29="","",VLOOKUP($C29,Config!$A$2:$Y$4,7,FALSE))</x:f>
      </x:c>
      <x:c r="AC29" s="14">
        <x:f>IF($C29="","",VLOOKUP($C29,Config!$A$2:$Y$4,8,FALSE))</x:f>
      </x:c>
      <x:c r="AD29" s="14">
        <x:f>IF($C29="","",VLOOKUP($C29,Config!$A$2:$Y$4,9,FALSE))</x:f>
      </x:c>
      <x:c r="AE29" s="14">
        <x:f>IF($C29="","",VLOOKUP($C29,Config!$A$2:$Y$4,10,FALSE))</x:f>
      </x:c>
      <x:c r="AF29" s="14">
        <x:f>IF($C29="","",VLOOKUP($C29,Config!$A$2:$Y$4,11,FALSE))</x:f>
      </x:c>
      <x:c r="AG29" s="14">
        <x:f>IF($C29="","",VLOOKUP($C29,Config!$A$2:$Y$4,12,FALSE))</x:f>
      </x:c>
      <x:c r="AH29" s="14">
        <x:f>IF($C29="","",VLOOKUP($C29,Config!$A$2:$Y$4,13,FALSE))</x:f>
      </x:c>
      <x:c r="AI29" s="14">
        <x:f>IF($C29="","",VLOOKUP($C29,Config!$A$2:$Y$4,14,FALSE))</x:f>
      </x:c>
      <x:c r="AJ29" s="14">
        <x:f>IF($C29="","",VLOOKUP($C29,Config!$A$2:$Y$4,15,FALSE))</x:f>
      </x:c>
      <x:c r="AK29" s="14">
        <x:f>IF($C29="","",VLOOKUP($C29,Config!$A$2:$Y$4,16,FALSE))</x:f>
      </x:c>
      <x:c r="AL29" s="14">
        <x:f>IF($C29="","",VLOOKUP($C29,Config!$A$2:$Y$4,17,FALSE))</x:f>
      </x:c>
      <x:c r="AM29" s="14">
        <x:f>IF($C29="","",VLOOKUP($C29,Config!$A$2:$Y$4,18,FALSE))</x:f>
      </x:c>
      <x:c r="AN29" s="14">
        <x:f>IF($C29="","",VLOOKUP($C29,Config!$A$2:$Y$4,19,FALSE))</x:f>
      </x:c>
      <x:c r="AO29" s="14">
        <x:f>IF($C29="","",VLOOKUP($C29,Config!$A$2:$Y$4,20,FALSE))</x:f>
      </x:c>
      <x:c r="AP29" s="14">
        <x:f>IF($C29="","",VLOOKUP($C29,Config!$A$2:$Y$4,21,FALSE))</x:f>
      </x:c>
      <x:c r="AQ29" s="14">
        <x:f>IF($C29="","",VLOOKUP($C29,Config!$A$2:$Y$4,22,FALSE))</x:f>
      </x:c>
      <x:c r="AR29" s="14">
        <x:f>IF($C29="","",VLOOKUP($C29,Config!$A$2:$Y$4,23,FALSE))</x:f>
      </x:c>
      <x:c r="AS29" s="13">
        <x:f>IF($C29="","",IF($H29="Extra",3,IF($H29="I",2,IF($H29="II",1,0)))&gt;=IF($AA29="Extra",3,IF($AA29="I",2,IF($AA29="II",1,0))))</x:f>
      </x:c>
      <x:c r="AT29" s="13">
        <x:f>IF($C29="","",IF($I29="",FALSE,$I29&gt;=$AB29))</x:f>
      </x:c>
      <x:c r="AU29" s="13">
        <x:f>IF($C29="","",IF($AC29="",TRUE,IF($J29="",FALSE,$J29&lt;=$AC29)))</x:f>
      </x:c>
      <x:c r="AV29" s="13">
        <x:f>IF($C29="","",IF($AD29="",TRUE,IF($K29="",FALSE,$K29&lt;=$AD29)))</x:f>
      </x:c>
      <x:c r="AW29" s="13">
        <x:f>IF($C29="","",IF($AE29="",TRUE,IF($L29="",FALSE,$L29&lt;=$AE29)))</x:f>
      </x:c>
      <x:c r="AX29" s="13">
        <x:f>IF($C29="","",IF($AF29="",TRUE,IF($M29="",FALSE,$M29&lt;=$AF29)))</x:f>
      </x:c>
      <x:c r="AY29" s="13">
        <x:f>IF($C29="","",IF($AG29="",TRUE,IF($N29="",FALSE,$N29&gt;=$AG29)))</x:f>
      </x:c>
      <x:c r="AZ29" s="13">
        <x:f>IF($C29="","",IF(OR($AH29="",$AI29=""),TRUE,IF($O29="",FALSE,AND($O29&gt;=$AH29,$O29&lt;=$AI29))))</x:f>
      </x:c>
      <x:c r="BA29" s="13">
        <x:f>IF($C29="","",IF($AJ29="Y",$P29="Y",TRUE))</x:f>
      </x:c>
      <x:c r="BB29" s="13">
        <x:f>IF($C29="","",IF($AK29="Y",$Q29="Y",TRUE))</x:f>
      </x:c>
      <x:c r="BC29" s="13">
        <x:f>IF($C29="","",IF($AL29="Y",$R29="Y",TRUE))</x:f>
      </x:c>
      <x:c r="BD29" s="13">
        <x:f>IF($C29="","",IF($AM29="Y",$S29="Y",TRUE))</x:f>
      </x:c>
      <x:c r="BE29" s="13">
        <x:f>IF($C29="","",IF($AN29="Y",$T29="Y",TRUE))</x:f>
      </x:c>
      <x:c r="BF29" s="13">
        <x:f>IF($C29="","",IF($AO29="",TRUE,IF($U29="",FALSE,$U29&lt;=$AO29)))</x:f>
      </x:c>
      <x:c r="BG29" s="13">
        <x:f>IF($C29="","",IF($AP29="",TRUE,IF($V29="",FALSE,$V29&lt;=$AP29)))</x:f>
      </x:c>
      <x:c r="BH29" s="13">
        <x:f>IF($C29="","",IF($AQ29="",TRUE,IF($W29="",FALSE,$W29&lt;=$AQ29)))</x:f>
      </x:c>
      <x:c r="BI29" s="13">
        <x:f>IF($C29="","",IF($AR29="",TRUE,IF($X29="",FALSE,$X29&lt;=$AR29)))</x:f>
      </x:c>
      <x:c r="BJ29" s="15">
        <x:f>IF($C29="","",IF($Y29="",0,$Y29)+IF($AS29,10,0)+IF($AT29,8,0)+IF($AU29,5,0)+IF($AV29,8,0)+IF($AW29,15,0)+IF($AX29,4,0)+IF($AY29,5,0)+IF($AZ29,10,0)+IF($BA29,8,0)+IF($BB29,4,0)+IF($BC29,6,0)+IF($BD29,3,0)+IF($BE29,2,0)+IF($BF29,2,0)+IF($BG29,2,0)+IF($BH29,2,0)+IF($BI29,1,0))</x:f>
      </x:c>
      <x:c r="BK29" s="15">
        <x:f>IF($C29="","",IF(NOT($AS29),1,0)+IF(NOT($AW29),1,0)+IF(NOT($AZ29),1,0)+IF(NOT($BA29),1,0)+IF(NOT($BB29),1,0)+IF(NOT($BC29),1,0))</x:f>
      </x:c>
      <x:c r="BL29" s="13">
        <x:f>IF($C29="","",IF($BK29&gt;0,"REJECT",IF(COUNTIF($AS29:$BI29,FALSE)=0,"ACCEPT",IF($BJ29&gt;=85,"ACCEPT WITH SORTING / DISCOUNT","REJECT"))))</x:f>
      </x:c>
    </x:row>
    <x:row r="30" ht="24" customHeight="1">
      <x:c r="A30" s="10" t="n"/>
      <x:c r="B30" s="11" t="n"/>
      <x:c r="C30" s="11" t="n"/>
      <x:c r="D30" s="11" t="n"/>
      <x:c r="E30" s="11" t="n"/>
      <x:c r="F30" s="11" t="n"/>
      <x:c r="G30" s="11" t="n"/>
      <x:c r="H30" s="11" t="n"/>
      <x:c r="I30" s="12" t="n"/>
      <x:c r="J30" s="12" t="n"/>
      <x:c r="K30" s="12" t="n"/>
      <x:c r="L30" s="12" t="n"/>
      <x:c r="M30" s="12" t="n"/>
      <x:c r="N30" s="12" t="n"/>
      <x:c r="O30" s="12" t="n"/>
      <x:c r="P30" s="11" t="n"/>
      <x:c r="Q30" s="11" t="n"/>
      <x:c r="R30" s="11" t="n"/>
      <x:c r="S30" s="11" t="n"/>
      <x:c r="T30" s="11" t="n"/>
      <x:c r="U30" s="12" t="n"/>
      <x:c r="V30" s="12" t="n"/>
      <x:c r="W30" s="12" t="n"/>
      <x:c r="X30" s="12" t="n"/>
      <x:c r="Y30" s="12" t="n"/>
      <x:c r="Z30" s="13">
        <x:f>IF($C30="","",VLOOKUP($C30,Config!$A$2:$Y$4,2,FALSE))</x:f>
      </x:c>
      <x:c r="AA30" s="13">
        <x:f>IF($C30="","",VLOOKUP($C30,Config!$A$2:$Y$4,5,FALSE))</x:f>
      </x:c>
      <x:c r="AB30" s="14">
        <x:f>IF($C30="","",VLOOKUP($C30,Config!$A$2:$Y$4,7,FALSE))</x:f>
      </x:c>
      <x:c r="AC30" s="14">
        <x:f>IF($C30="","",VLOOKUP($C30,Config!$A$2:$Y$4,8,FALSE))</x:f>
      </x:c>
      <x:c r="AD30" s="14">
        <x:f>IF($C30="","",VLOOKUP($C30,Config!$A$2:$Y$4,9,FALSE))</x:f>
      </x:c>
      <x:c r="AE30" s="14">
        <x:f>IF($C30="","",VLOOKUP($C30,Config!$A$2:$Y$4,10,FALSE))</x:f>
      </x:c>
      <x:c r="AF30" s="14">
        <x:f>IF($C30="","",VLOOKUP($C30,Config!$A$2:$Y$4,11,FALSE))</x:f>
      </x:c>
      <x:c r="AG30" s="14">
        <x:f>IF($C30="","",VLOOKUP($C30,Config!$A$2:$Y$4,12,FALSE))</x:f>
      </x:c>
      <x:c r="AH30" s="14">
        <x:f>IF($C30="","",VLOOKUP($C30,Config!$A$2:$Y$4,13,FALSE))</x:f>
      </x:c>
      <x:c r="AI30" s="14">
        <x:f>IF($C30="","",VLOOKUP($C30,Config!$A$2:$Y$4,14,FALSE))</x:f>
      </x:c>
      <x:c r="AJ30" s="14">
        <x:f>IF($C30="","",VLOOKUP($C30,Config!$A$2:$Y$4,15,FALSE))</x:f>
      </x:c>
      <x:c r="AK30" s="14">
        <x:f>IF($C30="","",VLOOKUP($C30,Config!$A$2:$Y$4,16,FALSE))</x:f>
      </x:c>
      <x:c r="AL30" s="14">
        <x:f>IF($C30="","",VLOOKUP($C30,Config!$A$2:$Y$4,17,FALSE))</x:f>
      </x:c>
      <x:c r="AM30" s="14">
        <x:f>IF($C30="","",VLOOKUP($C30,Config!$A$2:$Y$4,18,FALSE))</x:f>
      </x:c>
      <x:c r="AN30" s="14">
        <x:f>IF($C30="","",VLOOKUP($C30,Config!$A$2:$Y$4,19,FALSE))</x:f>
      </x:c>
      <x:c r="AO30" s="14">
        <x:f>IF($C30="","",VLOOKUP($C30,Config!$A$2:$Y$4,20,FALSE))</x:f>
      </x:c>
      <x:c r="AP30" s="14">
        <x:f>IF($C30="","",VLOOKUP($C30,Config!$A$2:$Y$4,21,FALSE))</x:f>
      </x:c>
      <x:c r="AQ30" s="14">
        <x:f>IF($C30="","",VLOOKUP($C30,Config!$A$2:$Y$4,22,FALSE))</x:f>
      </x:c>
      <x:c r="AR30" s="14">
        <x:f>IF($C30="","",VLOOKUP($C30,Config!$A$2:$Y$4,23,FALSE))</x:f>
      </x:c>
      <x:c r="AS30" s="13">
        <x:f>IF($C30="","",IF($H30="Extra",3,IF($H30="I",2,IF($H30="II",1,0)))&gt;=IF($AA30="Extra",3,IF($AA30="I",2,IF($AA30="II",1,0))))</x:f>
      </x:c>
      <x:c r="AT30" s="13">
        <x:f>IF($C30="","",IF($I30="",FALSE,$I30&gt;=$AB30))</x:f>
      </x:c>
      <x:c r="AU30" s="13">
        <x:f>IF($C30="","",IF($AC30="",TRUE,IF($J30="",FALSE,$J30&lt;=$AC30)))</x:f>
      </x:c>
      <x:c r="AV30" s="13">
        <x:f>IF($C30="","",IF($AD30="",TRUE,IF($K30="",FALSE,$K30&lt;=$AD30)))</x:f>
      </x:c>
      <x:c r="AW30" s="13">
        <x:f>IF($C30="","",IF($AE30="",TRUE,IF($L30="",FALSE,$L30&lt;=$AE30)))</x:f>
      </x:c>
      <x:c r="AX30" s="13">
        <x:f>IF($C30="","",IF($AF30="",TRUE,IF($M30="",FALSE,$M30&lt;=$AF30)))</x:f>
      </x:c>
      <x:c r="AY30" s="13">
        <x:f>IF($C30="","",IF($AG30="",TRUE,IF($N30="",FALSE,$N30&gt;=$AG30)))</x:f>
      </x:c>
      <x:c r="AZ30" s="13">
        <x:f>IF($C30="","",IF(OR($AH30="",$AI30=""),TRUE,IF($O30="",FALSE,AND($O30&gt;=$AH30,$O30&lt;=$AI30))))</x:f>
      </x:c>
      <x:c r="BA30" s="13">
        <x:f>IF($C30="","",IF($AJ30="Y",$P30="Y",TRUE))</x:f>
      </x:c>
      <x:c r="BB30" s="13">
        <x:f>IF($C30="","",IF($AK30="Y",$Q30="Y",TRUE))</x:f>
      </x:c>
      <x:c r="BC30" s="13">
        <x:f>IF($C30="","",IF($AL30="Y",$R30="Y",TRUE))</x:f>
      </x:c>
      <x:c r="BD30" s="13">
        <x:f>IF($C30="","",IF($AM30="Y",$S30="Y",TRUE))</x:f>
      </x:c>
      <x:c r="BE30" s="13">
        <x:f>IF($C30="","",IF($AN30="Y",$T30="Y",TRUE))</x:f>
      </x:c>
      <x:c r="BF30" s="13">
        <x:f>IF($C30="","",IF($AO30="",TRUE,IF($U30="",FALSE,$U30&lt;=$AO30)))</x:f>
      </x:c>
      <x:c r="BG30" s="13">
        <x:f>IF($C30="","",IF($AP30="",TRUE,IF($V30="",FALSE,$V30&lt;=$AP30)))</x:f>
      </x:c>
      <x:c r="BH30" s="13">
        <x:f>IF($C30="","",IF($AQ30="",TRUE,IF($W30="",FALSE,$W30&lt;=$AQ30)))</x:f>
      </x:c>
      <x:c r="BI30" s="13">
        <x:f>IF($C30="","",IF($AR30="",TRUE,IF($X30="",FALSE,$X30&lt;=$AR30)))</x:f>
      </x:c>
      <x:c r="BJ30" s="15">
        <x:f>IF($C30="","",IF($Y30="",0,$Y30)+IF($AS30,10,0)+IF($AT30,8,0)+IF($AU30,5,0)+IF($AV30,8,0)+IF($AW30,15,0)+IF($AX30,4,0)+IF($AY30,5,0)+IF($AZ30,10,0)+IF($BA30,8,0)+IF($BB30,4,0)+IF($BC30,6,0)+IF($BD30,3,0)+IF($BE30,2,0)+IF($BF30,2,0)+IF($BG30,2,0)+IF($BH30,2,0)+IF($BI30,1,0))</x:f>
      </x:c>
      <x:c r="BK30" s="15">
        <x:f>IF($C30="","",IF(NOT($AS30),1,0)+IF(NOT($AW30),1,0)+IF(NOT($AZ30),1,0)+IF(NOT($BA30),1,0)+IF(NOT($BB30),1,0)+IF(NOT($BC30),1,0))</x:f>
      </x:c>
      <x:c r="BL30" s="13">
        <x:f>IF($C30="","",IF($BK30&gt;0,"REJECT",IF(COUNTIF($AS30:$BI30,FALSE)=0,"ACCEPT",IF($BJ30&gt;=85,"ACCEPT WITH SORTING / DISCOUNT","REJECT"))))</x:f>
      </x:c>
    </x:row>
    <x:row r="31" ht="24" customHeight="1">
      <x:c r="A31" s="10" t="n"/>
      <x:c r="B31" s="11" t="n"/>
      <x:c r="C31" s="11" t="n"/>
      <x:c r="D31" s="11" t="n"/>
      <x:c r="E31" s="11" t="n"/>
      <x:c r="F31" s="11" t="n"/>
      <x:c r="G31" s="11" t="n"/>
      <x:c r="H31" s="11" t="n"/>
      <x:c r="I31" s="12" t="n"/>
      <x:c r="J31" s="12" t="n"/>
      <x:c r="K31" s="12" t="n"/>
      <x:c r="L31" s="12" t="n"/>
      <x:c r="M31" s="12" t="n"/>
      <x:c r="N31" s="12" t="n"/>
      <x:c r="O31" s="12" t="n"/>
      <x:c r="P31" s="11" t="n"/>
      <x:c r="Q31" s="11" t="n"/>
      <x:c r="R31" s="11" t="n"/>
      <x:c r="S31" s="11" t="n"/>
      <x:c r="T31" s="11" t="n"/>
      <x:c r="U31" s="12" t="n"/>
      <x:c r="V31" s="12" t="n"/>
      <x:c r="W31" s="12" t="n"/>
      <x:c r="X31" s="12" t="n"/>
      <x:c r="Y31" s="12" t="n"/>
      <x:c r="Z31" s="13">
        <x:f>IF($C31="","",VLOOKUP($C31,Config!$A$2:$Y$4,2,FALSE))</x:f>
      </x:c>
      <x:c r="AA31" s="13">
        <x:f>IF($C31="","",VLOOKUP($C31,Config!$A$2:$Y$4,5,FALSE))</x:f>
      </x:c>
      <x:c r="AB31" s="14">
        <x:f>IF($C31="","",VLOOKUP($C31,Config!$A$2:$Y$4,7,FALSE))</x:f>
      </x:c>
      <x:c r="AC31" s="14">
        <x:f>IF($C31="","",VLOOKUP($C31,Config!$A$2:$Y$4,8,FALSE))</x:f>
      </x:c>
      <x:c r="AD31" s="14">
        <x:f>IF($C31="","",VLOOKUP($C31,Config!$A$2:$Y$4,9,FALSE))</x:f>
      </x:c>
      <x:c r="AE31" s="14">
        <x:f>IF($C31="","",VLOOKUP($C31,Config!$A$2:$Y$4,10,FALSE))</x:f>
      </x:c>
      <x:c r="AF31" s="14">
        <x:f>IF($C31="","",VLOOKUP($C31,Config!$A$2:$Y$4,11,FALSE))</x:f>
      </x:c>
      <x:c r="AG31" s="14">
        <x:f>IF($C31="","",VLOOKUP($C31,Config!$A$2:$Y$4,12,FALSE))</x:f>
      </x:c>
      <x:c r="AH31" s="14">
        <x:f>IF($C31="","",VLOOKUP($C31,Config!$A$2:$Y$4,13,FALSE))</x:f>
      </x:c>
      <x:c r="AI31" s="14">
        <x:f>IF($C31="","",VLOOKUP($C31,Config!$A$2:$Y$4,14,FALSE))</x:f>
      </x:c>
      <x:c r="AJ31" s="14">
        <x:f>IF($C31="","",VLOOKUP($C31,Config!$A$2:$Y$4,15,FALSE))</x:f>
      </x:c>
      <x:c r="AK31" s="14">
        <x:f>IF($C31="","",VLOOKUP($C31,Config!$A$2:$Y$4,16,FALSE))</x:f>
      </x:c>
      <x:c r="AL31" s="14">
        <x:f>IF($C31="","",VLOOKUP($C31,Config!$A$2:$Y$4,17,FALSE))</x:f>
      </x:c>
      <x:c r="AM31" s="14">
        <x:f>IF($C31="","",VLOOKUP($C31,Config!$A$2:$Y$4,18,FALSE))</x:f>
      </x:c>
      <x:c r="AN31" s="14">
        <x:f>IF($C31="","",VLOOKUP($C31,Config!$A$2:$Y$4,19,FALSE))</x:f>
      </x:c>
      <x:c r="AO31" s="14">
        <x:f>IF($C31="","",VLOOKUP($C31,Config!$A$2:$Y$4,20,FALSE))</x:f>
      </x:c>
      <x:c r="AP31" s="14">
        <x:f>IF($C31="","",VLOOKUP($C31,Config!$A$2:$Y$4,21,FALSE))</x:f>
      </x:c>
      <x:c r="AQ31" s="14">
        <x:f>IF($C31="","",VLOOKUP($C31,Config!$A$2:$Y$4,22,FALSE))</x:f>
      </x:c>
      <x:c r="AR31" s="14">
        <x:f>IF($C31="","",VLOOKUP($C31,Config!$A$2:$Y$4,23,FALSE))</x:f>
      </x:c>
      <x:c r="AS31" s="13">
        <x:f>IF($C31="","",IF($H31="Extra",3,IF($H31="I",2,IF($H31="II",1,0)))&gt;=IF($AA31="Extra",3,IF($AA31="I",2,IF($AA31="II",1,0))))</x:f>
      </x:c>
      <x:c r="AT31" s="13">
        <x:f>IF($C31="","",IF($I31="",FALSE,$I31&gt;=$AB31))</x:f>
      </x:c>
      <x:c r="AU31" s="13">
        <x:f>IF($C31="","",IF($AC31="",TRUE,IF($J31="",FALSE,$J31&lt;=$AC31)))</x:f>
      </x:c>
      <x:c r="AV31" s="13">
        <x:f>IF($C31="","",IF($AD31="",TRUE,IF($K31="",FALSE,$K31&lt;=$AD31)))</x:f>
      </x:c>
      <x:c r="AW31" s="13">
        <x:f>IF($C31="","",IF($AE31="",TRUE,IF($L31="",FALSE,$L31&lt;=$AE31)))</x:f>
      </x:c>
      <x:c r="AX31" s="13">
        <x:f>IF($C31="","",IF($AF31="",TRUE,IF($M31="",FALSE,$M31&lt;=$AF31)))</x:f>
      </x:c>
      <x:c r="AY31" s="13">
        <x:f>IF($C31="","",IF($AG31="",TRUE,IF($N31="",FALSE,$N31&gt;=$AG31)))</x:f>
      </x:c>
      <x:c r="AZ31" s="13">
        <x:f>IF($C31="","",IF(OR($AH31="",$AI31=""),TRUE,IF($O31="",FALSE,AND($O31&gt;=$AH31,$O31&lt;=$AI31))))</x:f>
      </x:c>
      <x:c r="BA31" s="13">
        <x:f>IF($C31="","",IF($AJ31="Y",$P31="Y",TRUE))</x:f>
      </x:c>
      <x:c r="BB31" s="13">
        <x:f>IF($C31="","",IF($AK31="Y",$Q31="Y",TRUE))</x:f>
      </x:c>
      <x:c r="BC31" s="13">
        <x:f>IF($C31="","",IF($AL31="Y",$R31="Y",TRUE))</x:f>
      </x:c>
      <x:c r="BD31" s="13">
        <x:f>IF($C31="","",IF($AM31="Y",$S31="Y",TRUE))</x:f>
      </x:c>
      <x:c r="BE31" s="13">
        <x:f>IF($C31="","",IF($AN31="Y",$T31="Y",TRUE))</x:f>
      </x:c>
      <x:c r="BF31" s="13">
        <x:f>IF($C31="","",IF($AO31="",TRUE,IF($U31="",FALSE,$U31&lt;=$AO31)))</x:f>
      </x:c>
      <x:c r="BG31" s="13">
        <x:f>IF($C31="","",IF($AP31="",TRUE,IF($V31="",FALSE,$V31&lt;=$AP31)))</x:f>
      </x:c>
      <x:c r="BH31" s="13">
        <x:f>IF($C31="","",IF($AQ31="",TRUE,IF($W31="",FALSE,$W31&lt;=$AQ31)))</x:f>
      </x:c>
      <x:c r="BI31" s="13">
        <x:f>IF($C31="","",IF($AR31="",TRUE,IF($X31="",FALSE,$X31&lt;=$AR31)))</x:f>
      </x:c>
      <x:c r="BJ31" s="15">
        <x:f>IF($C31="","",IF($Y31="",0,$Y31)+IF($AS31,10,0)+IF($AT31,8,0)+IF($AU31,5,0)+IF($AV31,8,0)+IF($AW31,15,0)+IF($AX31,4,0)+IF($AY31,5,0)+IF($AZ31,10,0)+IF($BA31,8,0)+IF($BB31,4,0)+IF($BC31,6,0)+IF($BD31,3,0)+IF($BE31,2,0)+IF($BF31,2,0)+IF($BG31,2,0)+IF($BH31,2,0)+IF($BI31,1,0))</x:f>
      </x:c>
      <x:c r="BK31" s="15">
        <x:f>IF($C31="","",IF(NOT($AS31),1,0)+IF(NOT($AW31),1,0)+IF(NOT($AZ31),1,0)+IF(NOT($BA31),1,0)+IF(NOT($BB31),1,0)+IF(NOT($BC31),1,0))</x:f>
      </x:c>
      <x:c r="BL31" s="13">
        <x:f>IF($C31="","",IF($BK31&gt;0,"REJECT",IF(COUNTIF($AS31:$BI31,FALSE)=0,"ACCEPT",IF($BJ31&gt;=85,"ACCEPT WITH SORTING / DISCOUNT","REJECT"))))</x:f>
      </x:c>
    </x:row>
    <x:row r="32" ht="24" customHeight="1">
      <x:c r="A32" s="10" t="n"/>
      <x:c r="B32" s="11" t="n"/>
      <x:c r="C32" s="11" t="n"/>
      <x:c r="D32" s="11" t="n"/>
      <x:c r="E32" s="11" t="n"/>
      <x:c r="F32" s="11" t="n"/>
      <x:c r="G32" s="11" t="n"/>
      <x:c r="H32" s="11" t="n"/>
      <x:c r="I32" s="12" t="n"/>
      <x:c r="J32" s="12" t="n"/>
      <x:c r="K32" s="12" t="n"/>
      <x:c r="L32" s="12" t="n"/>
      <x:c r="M32" s="12" t="n"/>
      <x:c r="N32" s="12" t="n"/>
      <x:c r="O32" s="12" t="n"/>
      <x:c r="P32" s="11" t="n"/>
      <x:c r="Q32" s="11" t="n"/>
      <x:c r="R32" s="11" t="n"/>
      <x:c r="S32" s="11" t="n"/>
      <x:c r="T32" s="11" t="n"/>
      <x:c r="U32" s="12" t="n"/>
      <x:c r="V32" s="12" t="n"/>
      <x:c r="W32" s="12" t="n"/>
      <x:c r="X32" s="12" t="n"/>
      <x:c r="Y32" s="12" t="n"/>
      <x:c r="Z32" s="13">
        <x:f>IF($C32="","",VLOOKUP($C32,Config!$A$2:$Y$4,2,FALSE))</x:f>
      </x:c>
      <x:c r="AA32" s="13">
        <x:f>IF($C32="","",VLOOKUP($C32,Config!$A$2:$Y$4,5,FALSE))</x:f>
      </x:c>
      <x:c r="AB32" s="14">
        <x:f>IF($C32="","",VLOOKUP($C32,Config!$A$2:$Y$4,7,FALSE))</x:f>
      </x:c>
      <x:c r="AC32" s="14">
        <x:f>IF($C32="","",VLOOKUP($C32,Config!$A$2:$Y$4,8,FALSE))</x:f>
      </x:c>
      <x:c r="AD32" s="14">
        <x:f>IF($C32="","",VLOOKUP($C32,Config!$A$2:$Y$4,9,FALSE))</x:f>
      </x:c>
      <x:c r="AE32" s="14">
        <x:f>IF($C32="","",VLOOKUP($C32,Config!$A$2:$Y$4,10,FALSE))</x:f>
      </x:c>
      <x:c r="AF32" s="14">
        <x:f>IF($C32="","",VLOOKUP($C32,Config!$A$2:$Y$4,11,FALSE))</x:f>
      </x:c>
      <x:c r="AG32" s="14">
        <x:f>IF($C32="","",VLOOKUP($C32,Config!$A$2:$Y$4,12,FALSE))</x:f>
      </x:c>
      <x:c r="AH32" s="14">
        <x:f>IF($C32="","",VLOOKUP($C32,Config!$A$2:$Y$4,13,FALSE))</x:f>
      </x:c>
      <x:c r="AI32" s="14">
        <x:f>IF($C32="","",VLOOKUP($C32,Config!$A$2:$Y$4,14,FALSE))</x:f>
      </x:c>
      <x:c r="AJ32" s="14">
        <x:f>IF($C32="","",VLOOKUP($C32,Config!$A$2:$Y$4,15,FALSE))</x:f>
      </x:c>
      <x:c r="AK32" s="14">
        <x:f>IF($C32="","",VLOOKUP($C32,Config!$A$2:$Y$4,16,FALSE))</x:f>
      </x:c>
      <x:c r="AL32" s="14">
        <x:f>IF($C32="","",VLOOKUP($C32,Config!$A$2:$Y$4,17,FALSE))</x:f>
      </x:c>
      <x:c r="AM32" s="14">
        <x:f>IF($C32="","",VLOOKUP($C32,Config!$A$2:$Y$4,18,FALSE))</x:f>
      </x:c>
      <x:c r="AN32" s="14">
        <x:f>IF($C32="","",VLOOKUP($C32,Config!$A$2:$Y$4,19,FALSE))</x:f>
      </x:c>
      <x:c r="AO32" s="14">
        <x:f>IF($C32="","",VLOOKUP($C32,Config!$A$2:$Y$4,20,FALSE))</x:f>
      </x:c>
      <x:c r="AP32" s="14">
        <x:f>IF($C32="","",VLOOKUP($C32,Config!$A$2:$Y$4,21,FALSE))</x:f>
      </x:c>
      <x:c r="AQ32" s="14">
        <x:f>IF($C32="","",VLOOKUP($C32,Config!$A$2:$Y$4,22,FALSE))</x:f>
      </x:c>
      <x:c r="AR32" s="14">
        <x:f>IF($C32="","",VLOOKUP($C32,Config!$A$2:$Y$4,23,FALSE))</x:f>
      </x:c>
      <x:c r="AS32" s="13">
        <x:f>IF($C32="","",IF($H32="Extra",3,IF($H32="I",2,IF($H32="II",1,0)))&gt;=IF($AA32="Extra",3,IF($AA32="I",2,IF($AA32="II",1,0))))</x:f>
      </x:c>
      <x:c r="AT32" s="13">
        <x:f>IF($C32="","",IF($I32="",FALSE,$I32&gt;=$AB32))</x:f>
      </x:c>
      <x:c r="AU32" s="13">
        <x:f>IF($C32="","",IF($AC32="",TRUE,IF($J32="",FALSE,$J32&lt;=$AC32)))</x:f>
      </x:c>
      <x:c r="AV32" s="13">
        <x:f>IF($C32="","",IF($AD32="",TRUE,IF($K32="",FALSE,$K32&lt;=$AD32)))</x:f>
      </x:c>
      <x:c r="AW32" s="13">
        <x:f>IF($C32="","",IF($AE32="",TRUE,IF($L32="",FALSE,$L32&lt;=$AE32)))</x:f>
      </x:c>
      <x:c r="AX32" s="13">
        <x:f>IF($C32="","",IF($AF32="",TRUE,IF($M32="",FALSE,$M32&lt;=$AF32)))</x:f>
      </x:c>
      <x:c r="AY32" s="13">
        <x:f>IF($C32="","",IF($AG32="",TRUE,IF($N32="",FALSE,$N32&gt;=$AG32)))</x:f>
      </x:c>
      <x:c r="AZ32" s="13">
        <x:f>IF($C32="","",IF(OR($AH32="",$AI32=""),TRUE,IF($O32="",FALSE,AND($O32&gt;=$AH32,$O32&lt;=$AI32))))</x:f>
      </x:c>
      <x:c r="BA32" s="13">
        <x:f>IF($C32="","",IF($AJ32="Y",$P32="Y",TRUE))</x:f>
      </x:c>
      <x:c r="BB32" s="13">
        <x:f>IF($C32="","",IF($AK32="Y",$Q32="Y",TRUE))</x:f>
      </x:c>
      <x:c r="BC32" s="13">
        <x:f>IF($C32="","",IF($AL32="Y",$R32="Y",TRUE))</x:f>
      </x:c>
      <x:c r="BD32" s="13">
        <x:f>IF($C32="","",IF($AM32="Y",$S32="Y",TRUE))</x:f>
      </x:c>
      <x:c r="BE32" s="13">
        <x:f>IF($C32="","",IF($AN32="Y",$T32="Y",TRUE))</x:f>
      </x:c>
      <x:c r="BF32" s="13">
        <x:f>IF($C32="","",IF($AO32="",TRUE,IF($U32="",FALSE,$U32&lt;=$AO32)))</x:f>
      </x:c>
      <x:c r="BG32" s="13">
        <x:f>IF($C32="","",IF($AP32="",TRUE,IF($V32="",FALSE,$V32&lt;=$AP32)))</x:f>
      </x:c>
      <x:c r="BH32" s="13">
        <x:f>IF($C32="","",IF($AQ32="",TRUE,IF($W32="",FALSE,$W32&lt;=$AQ32)))</x:f>
      </x:c>
      <x:c r="BI32" s="13">
        <x:f>IF($C32="","",IF($AR32="",TRUE,IF($X32="",FALSE,$X32&lt;=$AR32)))</x:f>
      </x:c>
      <x:c r="BJ32" s="15">
        <x:f>IF($C32="","",IF($Y32="",0,$Y32)+IF($AS32,10,0)+IF($AT32,8,0)+IF($AU32,5,0)+IF($AV32,8,0)+IF($AW32,15,0)+IF($AX32,4,0)+IF($AY32,5,0)+IF($AZ32,10,0)+IF($BA32,8,0)+IF($BB32,4,0)+IF($BC32,6,0)+IF($BD32,3,0)+IF($BE32,2,0)+IF($BF32,2,0)+IF($BG32,2,0)+IF($BH32,2,0)+IF($BI32,1,0))</x:f>
      </x:c>
      <x:c r="BK32" s="15">
        <x:f>IF($C32="","",IF(NOT($AS32),1,0)+IF(NOT($AW32),1,0)+IF(NOT($AZ32),1,0)+IF(NOT($BA32),1,0)+IF(NOT($BB32),1,0)+IF(NOT($BC32),1,0))</x:f>
      </x:c>
      <x:c r="BL32" s="13">
        <x:f>IF($C32="","",IF($BK32&gt;0,"REJECT",IF(COUNTIF($AS32:$BI32,FALSE)=0,"ACCEPT",IF($BJ32&gt;=85,"ACCEPT WITH SORTING / DISCOUNT","REJECT"))))</x:f>
      </x:c>
    </x:row>
    <x:row r="33" ht="24" customHeight="1">
      <x:c r="A33" s="10" t="n"/>
      <x:c r="B33" s="11" t="n"/>
      <x:c r="C33" s="11" t="n"/>
      <x:c r="D33" s="11" t="n"/>
      <x:c r="E33" s="11" t="n"/>
      <x:c r="F33" s="11" t="n"/>
      <x:c r="G33" s="11" t="n"/>
      <x:c r="H33" s="11" t="n"/>
      <x:c r="I33" s="12" t="n"/>
      <x:c r="J33" s="12" t="n"/>
      <x:c r="K33" s="12" t="n"/>
      <x:c r="L33" s="12" t="n"/>
      <x:c r="M33" s="12" t="n"/>
      <x:c r="N33" s="12" t="n"/>
      <x:c r="O33" s="12" t="n"/>
      <x:c r="P33" s="11" t="n"/>
      <x:c r="Q33" s="11" t="n"/>
      <x:c r="R33" s="11" t="n"/>
      <x:c r="S33" s="11" t="n"/>
      <x:c r="T33" s="11" t="n"/>
      <x:c r="U33" s="12" t="n"/>
      <x:c r="V33" s="12" t="n"/>
      <x:c r="W33" s="12" t="n"/>
      <x:c r="X33" s="12" t="n"/>
      <x:c r="Y33" s="12" t="n"/>
      <x:c r="Z33" s="13">
        <x:f>IF($C33="","",VLOOKUP($C33,Config!$A$2:$Y$4,2,FALSE))</x:f>
      </x:c>
      <x:c r="AA33" s="13">
        <x:f>IF($C33="","",VLOOKUP($C33,Config!$A$2:$Y$4,5,FALSE))</x:f>
      </x:c>
      <x:c r="AB33" s="14">
        <x:f>IF($C33="","",VLOOKUP($C33,Config!$A$2:$Y$4,7,FALSE))</x:f>
      </x:c>
      <x:c r="AC33" s="14">
        <x:f>IF($C33="","",VLOOKUP($C33,Config!$A$2:$Y$4,8,FALSE))</x:f>
      </x:c>
      <x:c r="AD33" s="14">
        <x:f>IF($C33="","",VLOOKUP($C33,Config!$A$2:$Y$4,9,FALSE))</x:f>
      </x:c>
      <x:c r="AE33" s="14">
        <x:f>IF($C33="","",VLOOKUP($C33,Config!$A$2:$Y$4,10,FALSE))</x:f>
      </x:c>
      <x:c r="AF33" s="14">
        <x:f>IF($C33="","",VLOOKUP($C33,Config!$A$2:$Y$4,11,FALSE))</x:f>
      </x:c>
      <x:c r="AG33" s="14">
        <x:f>IF($C33="","",VLOOKUP($C33,Config!$A$2:$Y$4,12,FALSE))</x:f>
      </x:c>
      <x:c r="AH33" s="14">
        <x:f>IF($C33="","",VLOOKUP($C33,Config!$A$2:$Y$4,13,FALSE))</x:f>
      </x:c>
      <x:c r="AI33" s="14">
        <x:f>IF($C33="","",VLOOKUP($C33,Config!$A$2:$Y$4,14,FALSE))</x:f>
      </x:c>
      <x:c r="AJ33" s="14">
        <x:f>IF($C33="","",VLOOKUP($C33,Config!$A$2:$Y$4,15,FALSE))</x:f>
      </x:c>
      <x:c r="AK33" s="14">
        <x:f>IF($C33="","",VLOOKUP($C33,Config!$A$2:$Y$4,16,FALSE))</x:f>
      </x:c>
      <x:c r="AL33" s="14">
        <x:f>IF($C33="","",VLOOKUP($C33,Config!$A$2:$Y$4,17,FALSE))</x:f>
      </x:c>
      <x:c r="AM33" s="14">
        <x:f>IF($C33="","",VLOOKUP($C33,Config!$A$2:$Y$4,18,FALSE))</x:f>
      </x:c>
      <x:c r="AN33" s="14">
        <x:f>IF($C33="","",VLOOKUP($C33,Config!$A$2:$Y$4,19,FALSE))</x:f>
      </x:c>
      <x:c r="AO33" s="14">
        <x:f>IF($C33="","",VLOOKUP($C33,Config!$A$2:$Y$4,20,FALSE))</x:f>
      </x:c>
      <x:c r="AP33" s="14">
        <x:f>IF($C33="","",VLOOKUP($C33,Config!$A$2:$Y$4,21,FALSE))</x:f>
      </x:c>
      <x:c r="AQ33" s="14">
        <x:f>IF($C33="","",VLOOKUP($C33,Config!$A$2:$Y$4,22,FALSE))</x:f>
      </x:c>
      <x:c r="AR33" s="14">
        <x:f>IF($C33="","",VLOOKUP($C33,Config!$A$2:$Y$4,23,FALSE))</x:f>
      </x:c>
      <x:c r="AS33" s="13">
        <x:f>IF($C33="","",IF($H33="Extra",3,IF($H33="I",2,IF($H33="II",1,0)))&gt;=IF($AA33="Extra",3,IF($AA33="I",2,IF($AA33="II",1,0))))</x:f>
      </x:c>
      <x:c r="AT33" s="13">
        <x:f>IF($C33="","",IF($I33="",FALSE,$I33&gt;=$AB33))</x:f>
      </x:c>
      <x:c r="AU33" s="13">
        <x:f>IF($C33="","",IF($AC33="",TRUE,IF($J33="",FALSE,$J33&lt;=$AC33)))</x:f>
      </x:c>
      <x:c r="AV33" s="13">
        <x:f>IF($C33="","",IF($AD33="",TRUE,IF($K33="",FALSE,$K33&lt;=$AD33)))</x:f>
      </x:c>
      <x:c r="AW33" s="13">
        <x:f>IF($C33="","",IF($AE33="",TRUE,IF($L33="",FALSE,$L33&lt;=$AE33)))</x:f>
      </x:c>
      <x:c r="AX33" s="13">
        <x:f>IF($C33="","",IF($AF33="",TRUE,IF($M33="",FALSE,$M33&lt;=$AF33)))</x:f>
      </x:c>
      <x:c r="AY33" s="13">
        <x:f>IF($C33="","",IF($AG33="",TRUE,IF($N33="",FALSE,$N33&gt;=$AG33)))</x:f>
      </x:c>
      <x:c r="AZ33" s="13">
        <x:f>IF($C33="","",IF(OR($AH33="",$AI33=""),TRUE,IF($O33="",FALSE,AND($O33&gt;=$AH33,$O33&lt;=$AI33))))</x:f>
      </x:c>
      <x:c r="BA33" s="13">
        <x:f>IF($C33="","",IF($AJ33="Y",$P33="Y",TRUE))</x:f>
      </x:c>
      <x:c r="BB33" s="13">
        <x:f>IF($C33="","",IF($AK33="Y",$Q33="Y",TRUE))</x:f>
      </x:c>
      <x:c r="BC33" s="13">
        <x:f>IF($C33="","",IF($AL33="Y",$R33="Y",TRUE))</x:f>
      </x:c>
      <x:c r="BD33" s="13">
        <x:f>IF($C33="","",IF($AM33="Y",$S33="Y",TRUE))</x:f>
      </x:c>
      <x:c r="BE33" s="13">
        <x:f>IF($C33="","",IF($AN33="Y",$T33="Y",TRUE))</x:f>
      </x:c>
      <x:c r="BF33" s="13">
        <x:f>IF($C33="","",IF($AO33="",TRUE,IF($U33="",FALSE,$U33&lt;=$AO33)))</x:f>
      </x:c>
      <x:c r="BG33" s="13">
        <x:f>IF($C33="","",IF($AP33="",TRUE,IF($V33="",FALSE,$V33&lt;=$AP33)))</x:f>
      </x:c>
      <x:c r="BH33" s="13">
        <x:f>IF($C33="","",IF($AQ33="",TRUE,IF($W33="",FALSE,$W33&lt;=$AQ33)))</x:f>
      </x:c>
      <x:c r="BI33" s="13">
        <x:f>IF($C33="","",IF($AR33="",TRUE,IF($X33="",FALSE,$X33&lt;=$AR33)))</x:f>
      </x:c>
      <x:c r="BJ33" s="15">
        <x:f>IF($C33="","",IF($Y33="",0,$Y33)+IF($AS33,10,0)+IF($AT33,8,0)+IF($AU33,5,0)+IF($AV33,8,0)+IF($AW33,15,0)+IF($AX33,4,0)+IF($AY33,5,0)+IF($AZ33,10,0)+IF($BA33,8,0)+IF($BB33,4,0)+IF($BC33,6,0)+IF($BD33,3,0)+IF($BE33,2,0)+IF($BF33,2,0)+IF($BG33,2,0)+IF($BH33,2,0)+IF($BI33,1,0))</x:f>
      </x:c>
      <x:c r="BK33" s="15">
        <x:f>IF($C33="","",IF(NOT($AS33),1,0)+IF(NOT($AW33),1,0)+IF(NOT($AZ33),1,0)+IF(NOT($BA33),1,0)+IF(NOT($BB33),1,0)+IF(NOT($BC33),1,0))</x:f>
      </x:c>
      <x:c r="BL33" s="13">
        <x:f>IF($C33="","",IF($BK33&gt;0,"REJECT",IF(COUNTIF($AS33:$BI33,FALSE)=0,"ACCEPT",IF($BJ33&gt;=85,"ACCEPT WITH SORTING / DISCOUNT","REJECT"))))</x:f>
      </x:c>
    </x:row>
    <x:row r="34" ht="24" customHeight="1">
      <x:c r="A34" s="10" t="n"/>
      <x:c r="B34" s="11" t="n"/>
      <x:c r="C34" s="11" t="n"/>
      <x:c r="D34" s="11" t="n"/>
      <x:c r="E34" s="11" t="n"/>
      <x:c r="F34" s="11" t="n"/>
      <x:c r="G34" s="11" t="n"/>
      <x:c r="H34" s="11" t="n"/>
      <x:c r="I34" s="12" t="n"/>
      <x:c r="J34" s="12" t="n"/>
      <x:c r="K34" s="12" t="n"/>
      <x:c r="L34" s="12" t="n"/>
      <x:c r="M34" s="12" t="n"/>
      <x:c r="N34" s="12" t="n"/>
      <x:c r="O34" s="12" t="n"/>
      <x:c r="P34" s="11" t="n"/>
      <x:c r="Q34" s="11" t="n"/>
      <x:c r="R34" s="11" t="n"/>
      <x:c r="S34" s="11" t="n"/>
      <x:c r="T34" s="11" t="n"/>
      <x:c r="U34" s="12" t="n"/>
      <x:c r="V34" s="12" t="n"/>
      <x:c r="W34" s="12" t="n"/>
      <x:c r="X34" s="12" t="n"/>
      <x:c r="Y34" s="12" t="n"/>
      <x:c r="Z34" s="13">
        <x:f>IF($C34="","",VLOOKUP($C34,Config!$A$2:$Y$4,2,FALSE))</x:f>
      </x:c>
      <x:c r="AA34" s="13">
        <x:f>IF($C34="","",VLOOKUP($C34,Config!$A$2:$Y$4,5,FALSE))</x:f>
      </x:c>
      <x:c r="AB34" s="14">
        <x:f>IF($C34="","",VLOOKUP($C34,Config!$A$2:$Y$4,7,FALSE))</x:f>
      </x:c>
      <x:c r="AC34" s="14">
        <x:f>IF($C34="","",VLOOKUP($C34,Config!$A$2:$Y$4,8,FALSE))</x:f>
      </x:c>
      <x:c r="AD34" s="14">
        <x:f>IF($C34="","",VLOOKUP($C34,Config!$A$2:$Y$4,9,FALSE))</x:f>
      </x:c>
      <x:c r="AE34" s="14">
        <x:f>IF($C34="","",VLOOKUP($C34,Config!$A$2:$Y$4,10,FALSE))</x:f>
      </x:c>
      <x:c r="AF34" s="14">
        <x:f>IF($C34="","",VLOOKUP($C34,Config!$A$2:$Y$4,11,FALSE))</x:f>
      </x:c>
      <x:c r="AG34" s="14">
        <x:f>IF($C34="","",VLOOKUP($C34,Config!$A$2:$Y$4,12,FALSE))</x:f>
      </x:c>
      <x:c r="AH34" s="14">
        <x:f>IF($C34="","",VLOOKUP($C34,Config!$A$2:$Y$4,13,FALSE))</x:f>
      </x:c>
      <x:c r="AI34" s="14">
        <x:f>IF($C34="","",VLOOKUP($C34,Config!$A$2:$Y$4,14,FALSE))</x:f>
      </x:c>
      <x:c r="AJ34" s="14">
        <x:f>IF($C34="","",VLOOKUP($C34,Config!$A$2:$Y$4,15,FALSE))</x:f>
      </x:c>
      <x:c r="AK34" s="14">
        <x:f>IF($C34="","",VLOOKUP($C34,Config!$A$2:$Y$4,16,FALSE))</x:f>
      </x:c>
      <x:c r="AL34" s="14">
        <x:f>IF($C34="","",VLOOKUP($C34,Config!$A$2:$Y$4,17,FALSE))</x:f>
      </x:c>
      <x:c r="AM34" s="14">
        <x:f>IF($C34="","",VLOOKUP($C34,Config!$A$2:$Y$4,18,FALSE))</x:f>
      </x:c>
      <x:c r="AN34" s="14">
        <x:f>IF($C34="","",VLOOKUP($C34,Config!$A$2:$Y$4,19,FALSE))</x:f>
      </x:c>
      <x:c r="AO34" s="14">
        <x:f>IF($C34="","",VLOOKUP($C34,Config!$A$2:$Y$4,20,FALSE))</x:f>
      </x:c>
      <x:c r="AP34" s="14">
        <x:f>IF($C34="","",VLOOKUP($C34,Config!$A$2:$Y$4,21,FALSE))</x:f>
      </x:c>
      <x:c r="AQ34" s="14">
        <x:f>IF($C34="","",VLOOKUP($C34,Config!$A$2:$Y$4,22,FALSE))</x:f>
      </x:c>
      <x:c r="AR34" s="14">
        <x:f>IF($C34="","",VLOOKUP($C34,Config!$A$2:$Y$4,23,FALSE))</x:f>
      </x:c>
      <x:c r="AS34" s="13">
        <x:f>IF($C34="","",IF($H34="Extra",3,IF($H34="I",2,IF($H34="II",1,0)))&gt;=IF($AA34="Extra",3,IF($AA34="I",2,IF($AA34="II",1,0))))</x:f>
      </x:c>
      <x:c r="AT34" s="13">
        <x:f>IF($C34="","",IF($I34="",FALSE,$I34&gt;=$AB34))</x:f>
      </x:c>
      <x:c r="AU34" s="13">
        <x:f>IF($C34="","",IF($AC34="",TRUE,IF($J34="",FALSE,$J34&lt;=$AC34)))</x:f>
      </x:c>
      <x:c r="AV34" s="13">
        <x:f>IF($C34="","",IF($AD34="",TRUE,IF($K34="",FALSE,$K34&lt;=$AD34)))</x:f>
      </x:c>
      <x:c r="AW34" s="13">
        <x:f>IF($C34="","",IF($AE34="",TRUE,IF($L34="",FALSE,$L34&lt;=$AE34)))</x:f>
      </x:c>
      <x:c r="AX34" s="13">
        <x:f>IF($C34="","",IF($AF34="",TRUE,IF($M34="",FALSE,$M34&lt;=$AF34)))</x:f>
      </x:c>
      <x:c r="AY34" s="13">
        <x:f>IF($C34="","",IF($AG34="",TRUE,IF($N34="",FALSE,$N34&gt;=$AG34)))</x:f>
      </x:c>
      <x:c r="AZ34" s="13">
        <x:f>IF($C34="","",IF(OR($AH34="",$AI34=""),TRUE,IF($O34="",FALSE,AND($O34&gt;=$AH34,$O34&lt;=$AI34))))</x:f>
      </x:c>
      <x:c r="BA34" s="13">
        <x:f>IF($C34="","",IF($AJ34="Y",$P34="Y",TRUE))</x:f>
      </x:c>
      <x:c r="BB34" s="13">
        <x:f>IF($C34="","",IF($AK34="Y",$Q34="Y",TRUE))</x:f>
      </x:c>
      <x:c r="BC34" s="13">
        <x:f>IF($C34="","",IF($AL34="Y",$R34="Y",TRUE))</x:f>
      </x:c>
      <x:c r="BD34" s="13">
        <x:f>IF($C34="","",IF($AM34="Y",$S34="Y",TRUE))</x:f>
      </x:c>
      <x:c r="BE34" s="13">
        <x:f>IF($C34="","",IF($AN34="Y",$T34="Y",TRUE))</x:f>
      </x:c>
      <x:c r="BF34" s="13">
        <x:f>IF($C34="","",IF($AO34="",TRUE,IF($U34="",FALSE,$U34&lt;=$AO34)))</x:f>
      </x:c>
      <x:c r="BG34" s="13">
        <x:f>IF($C34="","",IF($AP34="",TRUE,IF($V34="",FALSE,$V34&lt;=$AP34)))</x:f>
      </x:c>
      <x:c r="BH34" s="13">
        <x:f>IF($C34="","",IF($AQ34="",TRUE,IF($W34="",FALSE,$W34&lt;=$AQ34)))</x:f>
      </x:c>
      <x:c r="BI34" s="13">
        <x:f>IF($C34="","",IF($AR34="",TRUE,IF($X34="",FALSE,$X34&lt;=$AR34)))</x:f>
      </x:c>
      <x:c r="BJ34" s="15">
        <x:f>IF($C34="","",IF($Y34="",0,$Y34)+IF($AS34,10,0)+IF($AT34,8,0)+IF($AU34,5,0)+IF($AV34,8,0)+IF($AW34,15,0)+IF($AX34,4,0)+IF($AY34,5,0)+IF($AZ34,10,0)+IF($BA34,8,0)+IF($BB34,4,0)+IF($BC34,6,0)+IF($BD34,3,0)+IF($BE34,2,0)+IF($BF34,2,0)+IF($BG34,2,0)+IF($BH34,2,0)+IF($BI34,1,0))</x:f>
      </x:c>
      <x:c r="BK34" s="15">
        <x:f>IF($C34="","",IF(NOT($AS34),1,0)+IF(NOT($AW34),1,0)+IF(NOT($AZ34),1,0)+IF(NOT($BA34),1,0)+IF(NOT($BB34),1,0)+IF(NOT($BC34),1,0))</x:f>
      </x:c>
      <x:c r="BL34" s="13">
        <x:f>IF($C34="","",IF($BK34&gt;0,"REJECT",IF(COUNTIF($AS34:$BI34,FALSE)=0,"ACCEPT",IF($BJ34&gt;=85,"ACCEPT WITH SORTING / DISCOUNT","REJECT"))))</x:f>
      </x:c>
    </x:row>
    <x:row r="35" ht="24" customHeight="1">
      <x:c r="A35" s="10" t="n"/>
      <x:c r="B35" s="11" t="n"/>
      <x:c r="C35" s="11" t="n"/>
      <x:c r="D35" s="11" t="n"/>
      <x:c r="E35" s="11" t="n"/>
      <x:c r="F35" s="11" t="n"/>
      <x:c r="G35" s="11" t="n"/>
      <x:c r="H35" s="11" t="n"/>
      <x:c r="I35" s="12" t="n"/>
      <x:c r="J35" s="12" t="n"/>
      <x:c r="K35" s="12" t="n"/>
      <x:c r="L35" s="12" t="n"/>
      <x:c r="M35" s="12" t="n"/>
      <x:c r="N35" s="12" t="n"/>
      <x:c r="O35" s="12" t="n"/>
      <x:c r="P35" s="11" t="n"/>
      <x:c r="Q35" s="11" t="n"/>
      <x:c r="R35" s="11" t="n"/>
      <x:c r="S35" s="11" t="n"/>
      <x:c r="T35" s="11" t="n"/>
      <x:c r="U35" s="12" t="n"/>
      <x:c r="V35" s="12" t="n"/>
      <x:c r="W35" s="12" t="n"/>
      <x:c r="X35" s="12" t="n"/>
      <x:c r="Y35" s="12" t="n"/>
      <x:c r="Z35" s="13">
        <x:f>IF($C35="","",VLOOKUP($C35,Config!$A$2:$Y$4,2,FALSE))</x:f>
      </x:c>
      <x:c r="AA35" s="13">
        <x:f>IF($C35="","",VLOOKUP($C35,Config!$A$2:$Y$4,5,FALSE))</x:f>
      </x:c>
      <x:c r="AB35" s="14">
        <x:f>IF($C35="","",VLOOKUP($C35,Config!$A$2:$Y$4,7,FALSE))</x:f>
      </x:c>
      <x:c r="AC35" s="14">
        <x:f>IF($C35="","",VLOOKUP($C35,Config!$A$2:$Y$4,8,FALSE))</x:f>
      </x:c>
      <x:c r="AD35" s="14">
        <x:f>IF($C35="","",VLOOKUP($C35,Config!$A$2:$Y$4,9,FALSE))</x:f>
      </x:c>
      <x:c r="AE35" s="14">
        <x:f>IF($C35="","",VLOOKUP($C35,Config!$A$2:$Y$4,10,FALSE))</x:f>
      </x:c>
      <x:c r="AF35" s="14">
        <x:f>IF($C35="","",VLOOKUP($C35,Config!$A$2:$Y$4,11,FALSE))</x:f>
      </x:c>
      <x:c r="AG35" s="14">
        <x:f>IF($C35="","",VLOOKUP($C35,Config!$A$2:$Y$4,12,FALSE))</x:f>
      </x:c>
      <x:c r="AH35" s="14">
        <x:f>IF($C35="","",VLOOKUP($C35,Config!$A$2:$Y$4,13,FALSE))</x:f>
      </x:c>
      <x:c r="AI35" s="14">
        <x:f>IF($C35="","",VLOOKUP($C35,Config!$A$2:$Y$4,14,FALSE))</x:f>
      </x:c>
      <x:c r="AJ35" s="14">
        <x:f>IF($C35="","",VLOOKUP($C35,Config!$A$2:$Y$4,15,FALSE))</x:f>
      </x:c>
      <x:c r="AK35" s="14">
        <x:f>IF($C35="","",VLOOKUP($C35,Config!$A$2:$Y$4,16,FALSE))</x:f>
      </x:c>
      <x:c r="AL35" s="14">
        <x:f>IF($C35="","",VLOOKUP($C35,Config!$A$2:$Y$4,17,FALSE))</x:f>
      </x:c>
      <x:c r="AM35" s="14">
        <x:f>IF($C35="","",VLOOKUP($C35,Config!$A$2:$Y$4,18,FALSE))</x:f>
      </x:c>
      <x:c r="AN35" s="14">
        <x:f>IF($C35="","",VLOOKUP($C35,Config!$A$2:$Y$4,19,FALSE))</x:f>
      </x:c>
      <x:c r="AO35" s="14">
        <x:f>IF($C35="","",VLOOKUP($C35,Config!$A$2:$Y$4,20,FALSE))</x:f>
      </x:c>
      <x:c r="AP35" s="14">
        <x:f>IF($C35="","",VLOOKUP($C35,Config!$A$2:$Y$4,21,FALSE))</x:f>
      </x:c>
      <x:c r="AQ35" s="14">
        <x:f>IF($C35="","",VLOOKUP($C35,Config!$A$2:$Y$4,22,FALSE))</x:f>
      </x:c>
      <x:c r="AR35" s="14">
        <x:f>IF($C35="","",VLOOKUP($C35,Config!$A$2:$Y$4,23,FALSE))</x:f>
      </x:c>
      <x:c r="AS35" s="13">
        <x:f>IF($C35="","",IF($H35="Extra",3,IF($H35="I",2,IF($H35="II",1,0)))&gt;=IF($AA35="Extra",3,IF($AA35="I",2,IF($AA35="II",1,0))))</x:f>
      </x:c>
      <x:c r="AT35" s="13">
        <x:f>IF($C35="","",IF($I35="",FALSE,$I35&gt;=$AB35))</x:f>
      </x:c>
      <x:c r="AU35" s="13">
        <x:f>IF($C35="","",IF($AC35="",TRUE,IF($J35="",FALSE,$J35&lt;=$AC35)))</x:f>
      </x:c>
      <x:c r="AV35" s="13">
        <x:f>IF($C35="","",IF($AD35="",TRUE,IF($K35="",FALSE,$K35&lt;=$AD35)))</x:f>
      </x:c>
      <x:c r="AW35" s="13">
        <x:f>IF($C35="","",IF($AE35="",TRUE,IF($L35="",FALSE,$L35&lt;=$AE35)))</x:f>
      </x:c>
      <x:c r="AX35" s="13">
        <x:f>IF($C35="","",IF($AF35="",TRUE,IF($M35="",FALSE,$M35&lt;=$AF35)))</x:f>
      </x:c>
      <x:c r="AY35" s="13">
        <x:f>IF($C35="","",IF($AG35="",TRUE,IF($N35="",FALSE,$N35&gt;=$AG35)))</x:f>
      </x:c>
      <x:c r="AZ35" s="13">
        <x:f>IF($C35="","",IF(OR($AH35="",$AI35=""),TRUE,IF($O35="",FALSE,AND($O35&gt;=$AH35,$O35&lt;=$AI35))))</x:f>
      </x:c>
      <x:c r="BA35" s="13">
        <x:f>IF($C35="","",IF($AJ35="Y",$P35="Y",TRUE))</x:f>
      </x:c>
      <x:c r="BB35" s="13">
        <x:f>IF($C35="","",IF($AK35="Y",$Q35="Y",TRUE))</x:f>
      </x:c>
      <x:c r="BC35" s="13">
        <x:f>IF($C35="","",IF($AL35="Y",$R35="Y",TRUE))</x:f>
      </x:c>
      <x:c r="BD35" s="13">
        <x:f>IF($C35="","",IF($AM35="Y",$S35="Y",TRUE))</x:f>
      </x:c>
      <x:c r="BE35" s="13">
        <x:f>IF($C35="","",IF($AN35="Y",$T35="Y",TRUE))</x:f>
      </x:c>
      <x:c r="BF35" s="13">
        <x:f>IF($C35="","",IF($AO35="",TRUE,IF($U35="",FALSE,$U35&lt;=$AO35)))</x:f>
      </x:c>
      <x:c r="BG35" s="13">
        <x:f>IF($C35="","",IF($AP35="",TRUE,IF($V35="",FALSE,$V35&lt;=$AP35)))</x:f>
      </x:c>
      <x:c r="BH35" s="13">
        <x:f>IF($C35="","",IF($AQ35="",TRUE,IF($W35="",FALSE,$W35&lt;=$AQ35)))</x:f>
      </x:c>
      <x:c r="BI35" s="13">
        <x:f>IF($C35="","",IF($AR35="",TRUE,IF($X35="",FALSE,$X35&lt;=$AR35)))</x:f>
      </x:c>
      <x:c r="BJ35" s="15">
        <x:f>IF($C35="","",IF($Y35="",0,$Y35)+IF($AS35,10,0)+IF($AT35,8,0)+IF($AU35,5,0)+IF($AV35,8,0)+IF($AW35,15,0)+IF($AX35,4,0)+IF($AY35,5,0)+IF($AZ35,10,0)+IF($BA35,8,0)+IF($BB35,4,0)+IF($BC35,6,0)+IF($BD35,3,0)+IF($BE35,2,0)+IF($BF35,2,0)+IF($BG35,2,0)+IF($BH35,2,0)+IF($BI35,1,0))</x:f>
      </x:c>
      <x:c r="BK35" s="15">
        <x:f>IF($C35="","",IF(NOT($AS35),1,0)+IF(NOT($AW35),1,0)+IF(NOT($AZ35),1,0)+IF(NOT($BA35),1,0)+IF(NOT($BB35),1,0)+IF(NOT($BC35),1,0))</x:f>
      </x:c>
      <x:c r="BL35" s="13">
        <x:f>IF($C35="","",IF($BK35&gt;0,"REJECT",IF(COUNTIF($AS35:$BI35,FALSE)=0,"ACCEPT",IF($BJ35&gt;=85,"ACCEPT WITH SORTING / DISCOUNT","REJECT"))))</x:f>
      </x:c>
    </x:row>
    <x:row r="36" ht="24" customHeight="1">
      <x:c r="A36" s="10" t="n"/>
      <x:c r="B36" s="11" t="n"/>
      <x:c r="C36" s="11" t="n"/>
      <x:c r="D36" s="11" t="n"/>
      <x:c r="E36" s="11" t="n"/>
      <x:c r="F36" s="11" t="n"/>
      <x:c r="G36" s="11" t="n"/>
      <x:c r="H36" s="11" t="n"/>
      <x:c r="I36" s="12" t="n"/>
      <x:c r="J36" s="12" t="n"/>
      <x:c r="K36" s="12" t="n"/>
      <x:c r="L36" s="12" t="n"/>
      <x:c r="M36" s="12" t="n"/>
      <x:c r="N36" s="12" t="n"/>
      <x:c r="O36" s="12" t="n"/>
      <x:c r="P36" s="11" t="n"/>
      <x:c r="Q36" s="11" t="n"/>
      <x:c r="R36" s="11" t="n"/>
      <x:c r="S36" s="11" t="n"/>
      <x:c r="T36" s="11" t="n"/>
      <x:c r="U36" s="12" t="n"/>
      <x:c r="V36" s="12" t="n"/>
      <x:c r="W36" s="12" t="n"/>
      <x:c r="X36" s="12" t="n"/>
      <x:c r="Y36" s="12" t="n"/>
      <x:c r="Z36" s="13">
        <x:f>IF($C36="","",VLOOKUP($C36,Config!$A$2:$Y$4,2,FALSE))</x:f>
      </x:c>
      <x:c r="AA36" s="13">
        <x:f>IF($C36="","",VLOOKUP($C36,Config!$A$2:$Y$4,5,FALSE))</x:f>
      </x:c>
      <x:c r="AB36" s="14">
        <x:f>IF($C36="","",VLOOKUP($C36,Config!$A$2:$Y$4,7,FALSE))</x:f>
      </x:c>
      <x:c r="AC36" s="14">
        <x:f>IF($C36="","",VLOOKUP($C36,Config!$A$2:$Y$4,8,FALSE))</x:f>
      </x:c>
      <x:c r="AD36" s="14">
        <x:f>IF($C36="","",VLOOKUP($C36,Config!$A$2:$Y$4,9,FALSE))</x:f>
      </x:c>
      <x:c r="AE36" s="14">
        <x:f>IF($C36="","",VLOOKUP($C36,Config!$A$2:$Y$4,10,FALSE))</x:f>
      </x:c>
      <x:c r="AF36" s="14">
        <x:f>IF($C36="","",VLOOKUP($C36,Config!$A$2:$Y$4,11,FALSE))</x:f>
      </x:c>
      <x:c r="AG36" s="14">
        <x:f>IF($C36="","",VLOOKUP($C36,Config!$A$2:$Y$4,12,FALSE))</x:f>
      </x:c>
      <x:c r="AH36" s="14">
        <x:f>IF($C36="","",VLOOKUP($C36,Config!$A$2:$Y$4,13,FALSE))</x:f>
      </x:c>
      <x:c r="AI36" s="14">
        <x:f>IF($C36="","",VLOOKUP($C36,Config!$A$2:$Y$4,14,FALSE))</x:f>
      </x:c>
      <x:c r="AJ36" s="14">
        <x:f>IF($C36="","",VLOOKUP($C36,Config!$A$2:$Y$4,15,FALSE))</x:f>
      </x:c>
      <x:c r="AK36" s="14">
        <x:f>IF($C36="","",VLOOKUP($C36,Config!$A$2:$Y$4,16,FALSE))</x:f>
      </x:c>
      <x:c r="AL36" s="14">
        <x:f>IF($C36="","",VLOOKUP($C36,Config!$A$2:$Y$4,17,FALSE))</x:f>
      </x:c>
      <x:c r="AM36" s="14">
        <x:f>IF($C36="","",VLOOKUP($C36,Config!$A$2:$Y$4,18,FALSE))</x:f>
      </x:c>
      <x:c r="AN36" s="14">
        <x:f>IF($C36="","",VLOOKUP($C36,Config!$A$2:$Y$4,19,FALSE))</x:f>
      </x:c>
      <x:c r="AO36" s="14">
        <x:f>IF($C36="","",VLOOKUP($C36,Config!$A$2:$Y$4,20,FALSE))</x:f>
      </x:c>
      <x:c r="AP36" s="14">
        <x:f>IF($C36="","",VLOOKUP($C36,Config!$A$2:$Y$4,21,FALSE))</x:f>
      </x:c>
      <x:c r="AQ36" s="14">
        <x:f>IF($C36="","",VLOOKUP($C36,Config!$A$2:$Y$4,22,FALSE))</x:f>
      </x:c>
      <x:c r="AR36" s="14">
        <x:f>IF($C36="","",VLOOKUP($C36,Config!$A$2:$Y$4,23,FALSE))</x:f>
      </x:c>
      <x:c r="AS36" s="13">
        <x:f>IF($C36="","",IF($H36="Extra",3,IF($H36="I",2,IF($H36="II",1,0)))&gt;=IF($AA36="Extra",3,IF($AA36="I",2,IF($AA36="II",1,0))))</x:f>
      </x:c>
      <x:c r="AT36" s="13">
        <x:f>IF($C36="","",IF($I36="",FALSE,$I36&gt;=$AB36))</x:f>
      </x:c>
      <x:c r="AU36" s="13">
        <x:f>IF($C36="","",IF($AC36="",TRUE,IF($J36="",FALSE,$J36&lt;=$AC36)))</x:f>
      </x:c>
      <x:c r="AV36" s="13">
        <x:f>IF($C36="","",IF($AD36="",TRUE,IF($K36="",FALSE,$K36&lt;=$AD36)))</x:f>
      </x:c>
      <x:c r="AW36" s="13">
        <x:f>IF($C36="","",IF($AE36="",TRUE,IF($L36="",FALSE,$L36&lt;=$AE36)))</x:f>
      </x:c>
      <x:c r="AX36" s="13">
        <x:f>IF($C36="","",IF($AF36="",TRUE,IF($M36="",FALSE,$M36&lt;=$AF36)))</x:f>
      </x:c>
      <x:c r="AY36" s="13">
        <x:f>IF($C36="","",IF($AG36="",TRUE,IF($N36="",FALSE,$N36&gt;=$AG36)))</x:f>
      </x:c>
      <x:c r="AZ36" s="13">
        <x:f>IF($C36="","",IF(OR($AH36="",$AI36=""),TRUE,IF($O36="",FALSE,AND($O36&gt;=$AH36,$O36&lt;=$AI36))))</x:f>
      </x:c>
      <x:c r="BA36" s="13">
        <x:f>IF($C36="","",IF($AJ36="Y",$P36="Y",TRUE))</x:f>
      </x:c>
      <x:c r="BB36" s="13">
        <x:f>IF($C36="","",IF($AK36="Y",$Q36="Y",TRUE))</x:f>
      </x:c>
      <x:c r="BC36" s="13">
        <x:f>IF($C36="","",IF($AL36="Y",$R36="Y",TRUE))</x:f>
      </x:c>
      <x:c r="BD36" s="13">
        <x:f>IF($C36="","",IF($AM36="Y",$S36="Y",TRUE))</x:f>
      </x:c>
      <x:c r="BE36" s="13">
        <x:f>IF($C36="","",IF($AN36="Y",$T36="Y",TRUE))</x:f>
      </x:c>
      <x:c r="BF36" s="13">
        <x:f>IF($C36="","",IF($AO36="",TRUE,IF($U36="",FALSE,$U36&lt;=$AO36)))</x:f>
      </x:c>
      <x:c r="BG36" s="13">
        <x:f>IF($C36="","",IF($AP36="",TRUE,IF($V36="",FALSE,$V36&lt;=$AP36)))</x:f>
      </x:c>
      <x:c r="BH36" s="13">
        <x:f>IF($C36="","",IF($AQ36="",TRUE,IF($W36="",FALSE,$W36&lt;=$AQ36)))</x:f>
      </x:c>
      <x:c r="BI36" s="13">
        <x:f>IF($C36="","",IF($AR36="",TRUE,IF($X36="",FALSE,$X36&lt;=$AR36)))</x:f>
      </x:c>
      <x:c r="BJ36" s="15">
        <x:f>IF($C36="","",IF($Y36="",0,$Y36)+IF($AS36,10,0)+IF($AT36,8,0)+IF($AU36,5,0)+IF($AV36,8,0)+IF($AW36,15,0)+IF($AX36,4,0)+IF($AY36,5,0)+IF($AZ36,10,0)+IF($BA36,8,0)+IF($BB36,4,0)+IF($BC36,6,0)+IF($BD36,3,0)+IF($BE36,2,0)+IF($BF36,2,0)+IF($BG36,2,0)+IF($BH36,2,0)+IF($BI36,1,0))</x:f>
      </x:c>
      <x:c r="BK36" s="15">
        <x:f>IF($C36="","",IF(NOT($AS36),1,0)+IF(NOT($AW36),1,0)+IF(NOT($AZ36),1,0)+IF(NOT($BA36),1,0)+IF(NOT($BB36),1,0)+IF(NOT($BC36),1,0))</x:f>
      </x:c>
      <x:c r="BL36" s="13">
        <x:f>IF($C36="","",IF($BK36&gt;0,"REJECT",IF(COUNTIF($AS36:$BI36,FALSE)=0,"ACCEPT",IF($BJ36&gt;=85,"ACCEPT WITH SORTING / DISCOUNT","REJECT"))))</x:f>
      </x:c>
    </x:row>
    <x:row r="37" ht="24" customHeight="1">
      <x:c r="A37" s="10" t="n"/>
      <x:c r="B37" s="11" t="n"/>
      <x:c r="C37" s="11" t="n"/>
      <x:c r="D37" s="11" t="n"/>
      <x:c r="E37" s="11" t="n"/>
      <x:c r="F37" s="11" t="n"/>
      <x:c r="G37" s="11" t="n"/>
      <x:c r="H37" s="11" t="n"/>
      <x:c r="I37" s="12" t="n"/>
      <x:c r="J37" s="12" t="n"/>
      <x:c r="K37" s="12" t="n"/>
      <x:c r="L37" s="12" t="n"/>
      <x:c r="M37" s="12" t="n"/>
      <x:c r="N37" s="12" t="n"/>
      <x:c r="O37" s="12" t="n"/>
      <x:c r="P37" s="11" t="n"/>
      <x:c r="Q37" s="11" t="n"/>
      <x:c r="R37" s="11" t="n"/>
      <x:c r="S37" s="11" t="n"/>
      <x:c r="T37" s="11" t="n"/>
      <x:c r="U37" s="12" t="n"/>
      <x:c r="V37" s="12" t="n"/>
      <x:c r="W37" s="12" t="n"/>
      <x:c r="X37" s="12" t="n"/>
      <x:c r="Y37" s="12" t="n"/>
      <x:c r="Z37" s="13">
        <x:f>IF($C37="","",VLOOKUP($C37,Config!$A$2:$Y$4,2,FALSE))</x:f>
      </x:c>
      <x:c r="AA37" s="13">
        <x:f>IF($C37="","",VLOOKUP($C37,Config!$A$2:$Y$4,5,FALSE))</x:f>
      </x:c>
      <x:c r="AB37" s="14">
        <x:f>IF($C37="","",VLOOKUP($C37,Config!$A$2:$Y$4,7,FALSE))</x:f>
      </x:c>
      <x:c r="AC37" s="14">
        <x:f>IF($C37="","",VLOOKUP($C37,Config!$A$2:$Y$4,8,FALSE))</x:f>
      </x:c>
      <x:c r="AD37" s="14">
        <x:f>IF($C37="","",VLOOKUP($C37,Config!$A$2:$Y$4,9,FALSE))</x:f>
      </x:c>
      <x:c r="AE37" s="14">
        <x:f>IF($C37="","",VLOOKUP($C37,Config!$A$2:$Y$4,10,FALSE))</x:f>
      </x:c>
      <x:c r="AF37" s="14">
        <x:f>IF($C37="","",VLOOKUP($C37,Config!$A$2:$Y$4,11,FALSE))</x:f>
      </x:c>
      <x:c r="AG37" s="14">
        <x:f>IF($C37="","",VLOOKUP($C37,Config!$A$2:$Y$4,12,FALSE))</x:f>
      </x:c>
      <x:c r="AH37" s="14">
        <x:f>IF($C37="","",VLOOKUP($C37,Config!$A$2:$Y$4,13,FALSE))</x:f>
      </x:c>
      <x:c r="AI37" s="14">
        <x:f>IF($C37="","",VLOOKUP($C37,Config!$A$2:$Y$4,14,FALSE))</x:f>
      </x:c>
      <x:c r="AJ37" s="14">
        <x:f>IF($C37="","",VLOOKUP($C37,Config!$A$2:$Y$4,15,FALSE))</x:f>
      </x:c>
      <x:c r="AK37" s="14">
        <x:f>IF($C37="","",VLOOKUP($C37,Config!$A$2:$Y$4,16,FALSE))</x:f>
      </x:c>
      <x:c r="AL37" s="14">
        <x:f>IF($C37="","",VLOOKUP($C37,Config!$A$2:$Y$4,17,FALSE))</x:f>
      </x:c>
      <x:c r="AM37" s="14">
        <x:f>IF($C37="","",VLOOKUP($C37,Config!$A$2:$Y$4,18,FALSE))</x:f>
      </x:c>
      <x:c r="AN37" s="14">
        <x:f>IF($C37="","",VLOOKUP($C37,Config!$A$2:$Y$4,19,FALSE))</x:f>
      </x:c>
      <x:c r="AO37" s="14">
        <x:f>IF($C37="","",VLOOKUP($C37,Config!$A$2:$Y$4,20,FALSE))</x:f>
      </x:c>
      <x:c r="AP37" s="14">
        <x:f>IF($C37="","",VLOOKUP($C37,Config!$A$2:$Y$4,21,FALSE))</x:f>
      </x:c>
      <x:c r="AQ37" s="14">
        <x:f>IF($C37="","",VLOOKUP($C37,Config!$A$2:$Y$4,22,FALSE))</x:f>
      </x:c>
      <x:c r="AR37" s="14">
        <x:f>IF($C37="","",VLOOKUP($C37,Config!$A$2:$Y$4,23,FALSE))</x:f>
      </x:c>
      <x:c r="AS37" s="13">
        <x:f>IF($C37="","",IF($H37="Extra",3,IF($H37="I",2,IF($H37="II",1,0)))&gt;=IF($AA37="Extra",3,IF($AA37="I",2,IF($AA37="II",1,0))))</x:f>
      </x:c>
      <x:c r="AT37" s="13">
        <x:f>IF($C37="","",IF($I37="",FALSE,$I37&gt;=$AB37))</x:f>
      </x:c>
      <x:c r="AU37" s="13">
        <x:f>IF($C37="","",IF($AC37="",TRUE,IF($J37="",FALSE,$J37&lt;=$AC37)))</x:f>
      </x:c>
      <x:c r="AV37" s="13">
        <x:f>IF($C37="","",IF($AD37="",TRUE,IF($K37="",FALSE,$K37&lt;=$AD37)))</x:f>
      </x:c>
      <x:c r="AW37" s="13">
        <x:f>IF($C37="","",IF($AE37="",TRUE,IF($L37="",FALSE,$L37&lt;=$AE37)))</x:f>
      </x:c>
      <x:c r="AX37" s="13">
        <x:f>IF($C37="","",IF($AF37="",TRUE,IF($M37="",FALSE,$M37&lt;=$AF37)))</x:f>
      </x:c>
      <x:c r="AY37" s="13">
        <x:f>IF($C37="","",IF($AG37="",TRUE,IF($N37="",FALSE,$N37&gt;=$AG37)))</x:f>
      </x:c>
      <x:c r="AZ37" s="13">
        <x:f>IF($C37="","",IF(OR($AH37="",$AI37=""),TRUE,IF($O37="",FALSE,AND($O37&gt;=$AH37,$O37&lt;=$AI37))))</x:f>
      </x:c>
      <x:c r="BA37" s="13">
        <x:f>IF($C37="","",IF($AJ37="Y",$P37="Y",TRUE))</x:f>
      </x:c>
      <x:c r="BB37" s="13">
        <x:f>IF($C37="","",IF($AK37="Y",$Q37="Y",TRUE))</x:f>
      </x:c>
      <x:c r="BC37" s="13">
        <x:f>IF($C37="","",IF($AL37="Y",$R37="Y",TRUE))</x:f>
      </x:c>
      <x:c r="BD37" s="13">
        <x:f>IF($C37="","",IF($AM37="Y",$S37="Y",TRUE))</x:f>
      </x:c>
      <x:c r="BE37" s="13">
        <x:f>IF($C37="","",IF($AN37="Y",$T37="Y",TRUE))</x:f>
      </x:c>
      <x:c r="BF37" s="13">
        <x:f>IF($C37="","",IF($AO37="",TRUE,IF($U37="",FALSE,$U37&lt;=$AO37)))</x:f>
      </x:c>
      <x:c r="BG37" s="13">
        <x:f>IF($C37="","",IF($AP37="",TRUE,IF($V37="",FALSE,$V37&lt;=$AP37)))</x:f>
      </x:c>
      <x:c r="BH37" s="13">
        <x:f>IF($C37="","",IF($AQ37="",TRUE,IF($W37="",FALSE,$W37&lt;=$AQ37)))</x:f>
      </x:c>
      <x:c r="BI37" s="13">
        <x:f>IF($C37="","",IF($AR37="",TRUE,IF($X37="",FALSE,$X37&lt;=$AR37)))</x:f>
      </x:c>
      <x:c r="BJ37" s="15">
        <x:f>IF($C37="","",IF($Y37="",0,$Y37)+IF($AS37,10,0)+IF($AT37,8,0)+IF($AU37,5,0)+IF($AV37,8,0)+IF($AW37,15,0)+IF($AX37,4,0)+IF($AY37,5,0)+IF($AZ37,10,0)+IF($BA37,8,0)+IF($BB37,4,0)+IF($BC37,6,0)+IF($BD37,3,0)+IF($BE37,2,0)+IF($BF37,2,0)+IF($BG37,2,0)+IF($BH37,2,0)+IF($BI37,1,0))</x:f>
      </x:c>
      <x:c r="BK37" s="15">
        <x:f>IF($C37="","",IF(NOT($AS37),1,0)+IF(NOT($AW37),1,0)+IF(NOT($AZ37),1,0)+IF(NOT($BA37),1,0)+IF(NOT($BB37),1,0)+IF(NOT($BC37),1,0))</x:f>
      </x:c>
      <x:c r="BL37" s="13">
        <x:f>IF($C37="","",IF($BK37&gt;0,"REJECT",IF(COUNTIF($AS37:$BI37,FALSE)=0,"ACCEPT",IF($BJ37&gt;=85,"ACCEPT WITH SORTING / DISCOUNT","REJECT"))))</x:f>
      </x:c>
    </x:row>
    <x:row r="38" ht="24" customHeight="1">
      <x:c r="A38" s="10" t="n"/>
      <x:c r="B38" s="11" t="n"/>
      <x:c r="C38" s="11" t="n"/>
      <x:c r="D38" s="11" t="n"/>
      <x:c r="E38" s="11" t="n"/>
      <x:c r="F38" s="11" t="n"/>
      <x:c r="G38" s="11" t="n"/>
      <x:c r="H38" s="11" t="n"/>
      <x:c r="I38" s="12" t="n"/>
      <x:c r="J38" s="12" t="n"/>
      <x:c r="K38" s="12" t="n"/>
      <x:c r="L38" s="12" t="n"/>
      <x:c r="M38" s="12" t="n"/>
      <x:c r="N38" s="12" t="n"/>
      <x:c r="O38" s="12" t="n"/>
      <x:c r="P38" s="11" t="n"/>
      <x:c r="Q38" s="11" t="n"/>
      <x:c r="R38" s="11" t="n"/>
      <x:c r="S38" s="11" t="n"/>
      <x:c r="T38" s="11" t="n"/>
      <x:c r="U38" s="12" t="n"/>
      <x:c r="V38" s="12" t="n"/>
      <x:c r="W38" s="12" t="n"/>
      <x:c r="X38" s="12" t="n"/>
      <x:c r="Y38" s="12" t="n"/>
      <x:c r="Z38" s="13">
        <x:f>IF($C38="","",VLOOKUP($C38,Config!$A$2:$Y$4,2,FALSE))</x:f>
      </x:c>
      <x:c r="AA38" s="13">
        <x:f>IF($C38="","",VLOOKUP($C38,Config!$A$2:$Y$4,5,FALSE))</x:f>
      </x:c>
      <x:c r="AB38" s="14">
        <x:f>IF($C38="","",VLOOKUP($C38,Config!$A$2:$Y$4,7,FALSE))</x:f>
      </x:c>
      <x:c r="AC38" s="14">
        <x:f>IF($C38="","",VLOOKUP($C38,Config!$A$2:$Y$4,8,FALSE))</x:f>
      </x:c>
      <x:c r="AD38" s="14">
        <x:f>IF($C38="","",VLOOKUP($C38,Config!$A$2:$Y$4,9,FALSE))</x:f>
      </x:c>
      <x:c r="AE38" s="14">
        <x:f>IF($C38="","",VLOOKUP($C38,Config!$A$2:$Y$4,10,FALSE))</x:f>
      </x:c>
      <x:c r="AF38" s="14">
        <x:f>IF($C38="","",VLOOKUP($C38,Config!$A$2:$Y$4,11,FALSE))</x:f>
      </x:c>
      <x:c r="AG38" s="14">
        <x:f>IF($C38="","",VLOOKUP($C38,Config!$A$2:$Y$4,12,FALSE))</x:f>
      </x:c>
      <x:c r="AH38" s="14">
        <x:f>IF($C38="","",VLOOKUP($C38,Config!$A$2:$Y$4,13,FALSE))</x:f>
      </x:c>
      <x:c r="AI38" s="14">
        <x:f>IF($C38="","",VLOOKUP($C38,Config!$A$2:$Y$4,14,FALSE))</x:f>
      </x:c>
      <x:c r="AJ38" s="14">
        <x:f>IF($C38="","",VLOOKUP($C38,Config!$A$2:$Y$4,15,FALSE))</x:f>
      </x:c>
      <x:c r="AK38" s="14">
        <x:f>IF($C38="","",VLOOKUP($C38,Config!$A$2:$Y$4,16,FALSE))</x:f>
      </x:c>
      <x:c r="AL38" s="14">
        <x:f>IF($C38="","",VLOOKUP($C38,Config!$A$2:$Y$4,17,FALSE))</x:f>
      </x:c>
      <x:c r="AM38" s="14">
        <x:f>IF($C38="","",VLOOKUP($C38,Config!$A$2:$Y$4,18,FALSE))</x:f>
      </x:c>
      <x:c r="AN38" s="14">
        <x:f>IF($C38="","",VLOOKUP($C38,Config!$A$2:$Y$4,19,FALSE))</x:f>
      </x:c>
      <x:c r="AO38" s="14">
        <x:f>IF($C38="","",VLOOKUP($C38,Config!$A$2:$Y$4,20,FALSE))</x:f>
      </x:c>
      <x:c r="AP38" s="14">
        <x:f>IF($C38="","",VLOOKUP($C38,Config!$A$2:$Y$4,21,FALSE))</x:f>
      </x:c>
      <x:c r="AQ38" s="14">
        <x:f>IF($C38="","",VLOOKUP($C38,Config!$A$2:$Y$4,22,FALSE))</x:f>
      </x:c>
      <x:c r="AR38" s="14">
        <x:f>IF($C38="","",VLOOKUP($C38,Config!$A$2:$Y$4,23,FALSE))</x:f>
      </x:c>
      <x:c r="AS38" s="13">
        <x:f>IF($C38="","",IF($H38="Extra",3,IF($H38="I",2,IF($H38="II",1,0)))&gt;=IF($AA38="Extra",3,IF($AA38="I",2,IF($AA38="II",1,0))))</x:f>
      </x:c>
      <x:c r="AT38" s="13">
        <x:f>IF($C38="","",IF($I38="",FALSE,$I38&gt;=$AB38))</x:f>
      </x:c>
      <x:c r="AU38" s="13">
        <x:f>IF($C38="","",IF($AC38="",TRUE,IF($J38="",FALSE,$J38&lt;=$AC38)))</x:f>
      </x:c>
      <x:c r="AV38" s="13">
        <x:f>IF($C38="","",IF($AD38="",TRUE,IF($K38="",FALSE,$K38&lt;=$AD38)))</x:f>
      </x:c>
      <x:c r="AW38" s="13">
        <x:f>IF($C38="","",IF($AE38="",TRUE,IF($L38="",FALSE,$L38&lt;=$AE38)))</x:f>
      </x:c>
      <x:c r="AX38" s="13">
        <x:f>IF($C38="","",IF($AF38="",TRUE,IF($M38="",FALSE,$M38&lt;=$AF38)))</x:f>
      </x:c>
      <x:c r="AY38" s="13">
        <x:f>IF($C38="","",IF($AG38="",TRUE,IF($N38="",FALSE,$N38&gt;=$AG38)))</x:f>
      </x:c>
      <x:c r="AZ38" s="13">
        <x:f>IF($C38="","",IF(OR($AH38="",$AI38=""),TRUE,IF($O38="",FALSE,AND($O38&gt;=$AH38,$O38&lt;=$AI38))))</x:f>
      </x:c>
      <x:c r="BA38" s="13">
        <x:f>IF($C38="","",IF($AJ38="Y",$P38="Y",TRUE))</x:f>
      </x:c>
      <x:c r="BB38" s="13">
        <x:f>IF($C38="","",IF($AK38="Y",$Q38="Y",TRUE))</x:f>
      </x:c>
      <x:c r="BC38" s="13">
        <x:f>IF($C38="","",IF($AL38="Y",$R38="Y",TRUE))</x:f>
      </x:c>
      <x:c r="BD38" s="13">
        <x:f>IF($C38="","",IF($AM38="Y",$S38="Y",TRUE))</x:f>
      </x:c>
      <x:c r="BE38" s="13">
        <x:f>IF($C38="","",IF($AN38="Y",$T38="Y",TRUE))</x:f>
      </x:c>
      <x:c r="BF38" s="13">
        <x:f>IF($C38="","",IF($AO38="",TRUE,IF($U38="",FALSE,$U38&lt;=$AO38)))</x:f>
      </x:c>
      <x:c r="BG38" s="13">
        <x:f>IF($C38="","",IF($AP38="",TRUE,IF($V38="",FALSE,$V38&lt;=$AP38)))</x:f>
      </x:c>
      <x:c r="BH38" s="13">
        <x:f>IF($C38="","",IF($AQ38="",TRUE,IF($W38="",FALSE,$W38&lt;=$AQ38)))</x:f>
      </x:c>
      <x:c r="BI38" s="13">
        <x:f>IF($C38="","",IF($AR38="",TRUE,IF($X38="",FALSE,$X38&lt;=$AR38)))</x:f>
      </x:c>
      <x:c r="BJ38" s="15">
        <x:f>IF($C38="","",IF($Y38="",0,$Y38)+IF($AS38,10,0)+IF($AT38,8,0)+IF($AU38,5,0)+IF($AV38,8,0)+IF($AW38,15,0)+IF($AX38,4,0)+IF($AY38,5,0)+IF($AZ38,10,0)+IF($BA38,8,0)+IF($BB38,4,0)+IF($BC38,6,0)+IF($BD38,3,0)+IF($BE38,2,0)+IF($BF38,2,0)+IF($BG38,2,0)+IF($BH38,2,0)+IF($BI38,1,0))</x:f>
      </x:c>
      <x:c r="BK38" s="15">
        <x:f>IF($C38="","",IF(NOT($AS38),1,0)+IF(NOT($AW38),1,0)+IF(NOT($AZ38),1,0)+IF(NOT($BA38),1,0)+IF(NOT($BB38),1,0)+IF(NOT($BC38),1,0))</x:f>
      </x:c>
      <x:c r="BL38" s="13">
        <x:f>IF($C38="","",IF($BK38&gt;0,"REJECT",IF(COUNTIF($AS38:$BI38,FALSE)=0,"ACCEPT",IF($BJ38&gt;=85,"ACCEPT WITH SORTING / DISCOUNT","REJECT"))))</x:f>
      </x:c>
    </x:row>
    <x:row r="39" ht="24" customHeight="1">
      <x:c r="A39" s="10" t="n"/>
      <x:c r="B39" s="11" t="n"/>
      <x:c r="C39" s="11" t="n"/>
      <x:c r="D39" s="11" t="n"/>
      <x:c r="E39" s="11" t="n"/>
      <x:c r="F39" s="11" t="n"/>
      <x:c r="G39" s="11" t="n"/>
      <x:c r="H39" s="11" t="n"/>
      <x:c r="I39" s="12" t="n"/>
      <x:c r="J39" s="12" t="n"/>
      <x:c r="K39" s="12" t="n"/>
      <x:c r="L39" s="12" t="n"/>
      <x:c r="M39" s="12" t="n"/>
      <x:c r="N39" s="12" t="n"/>
      <x:c r="O39" s="12" t="n"/>
      <x:c r="P39" s="11" t="n"/>
      <x:c r="Q39" s="11" t="n"/>
      <x:c r="R39" s="11" t="n"/>
      <x:c r="S39" s="11" t="n"/>
      <x:c r="T39" s="11" t="n"/>
      <x:c r="U39" s="12" t="n"/>
      <x:c r="V39" s="12" t="n"/>
      <x:c r="W39" s="12" t="n"/>
      <x:c r="X39" s="12" t="n"/>
      <x:c r="Y39" s="12" t="n"/>
      <x:c r="Z39" s="13">
        <x:f>IF($C39="","",VLOOKUP($C39,Config!$A$2:$Y$4,2,FALSE))</x:f>
      </x:c>
      <x:c r="AA39" s="13">
        <x:f>IF($C39="","",VLOOKUP($C39,Config!$A$2:$Y$4,5,FALSE))</x:f>
      </x:c>
      <x:c r="AB39" s="14">
        <x:f>IF($C39="","",VLOOKUP($C39,Config!$A$2:$Y$4,7,FALSE))</x:f>
      </x:c>
      <x:c r="AC39" s="14">
        <x:f>IF($C39="","",VLOOKUP($C39,Config!$A$2:$Y$4,8,FALSE))</x:f>
      </x:c>
      <x:c r="AD39" s="14">
        <x:f>IF($C39="","",VLOOKUP($C39,Config!$A$2:$Y$4,9,FALSE))</x:f>
      </x:c>
      <x:c r="AE39" s="14">
        <x:f>IF($C39="","",VLOOKUP($C39,Config!$A$2:$Y$4,10,FALSE))</x:f>
      </x:c>
      <x:c r="AF39" s="14">
        <x:f>IF($C39="","",VLOOKUP($C39,Config!$A$2:$Y$4,11,FALSE))</x:f>
      </x:c>
      <x:c r="AG39" s="14">
        <x:f>IF($C39="","",VLOOKUP($C39,Config!$A$2:$Y$4,12,FALSE))</x:f>
      </x:c>
      <x:c r="AH39" s="14">
        <x:f>IF($C39="","",VLOOKUP($C39,Config!$A$2:$Y$4,13,FALSE))</x:f>
      </x:c>
      <x:c r="AI39" s="14">
        <x:f>IF($C39="","",VLOOKUP($C39,Config!$A$2:$Y$4,14,FALSE))</x:f>
      </x:c>
      <x:c r="AJ39" s="14">
        <x:f>IF($C39="","",VLOOKUP($C39,Config!$A$2:$Y$4,15,FALSE))</x:f>
      </x:c>
      <x:c r="AK39" s="14">
        <x:f>IF($C39="","",VLOOKUP($C39,Config!$A$2:$Y$4,16,FALSE))</x:f>
      </x:c>
      <x:c r="AL39" s="14">
        <x:f>IF($C39="","",VLOOKUP($C39,Config!$A$2:$Y$4,17,FALSE))</x:f>
      </x:c>
      <x:c r="AM39" s="14">
        <x:f>IF($C39="","",VLOOKUP($C39,Config!$A$2:$Y$4,18,FALSE))</x:f>
      </x:c>
      <x:c r="AN39" s="14">
        <x:f>IF($C39="","",VLOOKUP($C39,Config!$A$2:$Y$4,19,FALSE))</x:f>
      </x:c>
      <x:c r="AO39" s="14">
        <x:f>IF($C39="","",VLOOKUP($C39,Config!$A$2:$Y$4,20,FALSE))</x:f>
      </x:c>
      <x:c r="AP39" s="14">
        <x:f>IF($C39="","",VLOOKUP($C39,Config!$A$2:$Y$4,21,FALSE))</x:f>
      </x:c>
      <x:c r="AQ39" s="14">
        <x:f>IF($C39="","",VLOOKUP($C39,Config!$A$2:$Y$4,22,FALSE))</x:f>
      </x:c>
      <x:c r="AR39" s="14">
        <x:f>IF($C39="","",VLOOKUP($C39,Config!$A$2:$Y$4,23,FALSE))</x:f>
      </x:c>
      <x:c r="AS39" s="13">
        <x:f>IF($C39="","",IF($H39="Extra",3,IF($H39="I",2,IF($H39="II",1,0)))&gt;=IF($AA39="Extra",3,IF($AA39="I",2,IF($AA39="II",1,0))))</x:f>
      </x:c>
      <x:c r="AT39" s="13">
        <x:f>IF($C39="","",IF($I39="",FALSE,$I39&gt;=$AB39))</x:f>
      </x:c>
      <x:c r="AU39" s="13">
        <x:f>IF($C39="","",IF($AC39="",TRUE,IF($J39="",FALSE,$J39&lt;=$AC39)))</x:f>
      </x:c>
      <x:c r="AV39" s="13">
        <x:f>IF($C39="","",IF($AD39="",TRUE,IF($K39="",FALSE,$K39&lt;=$AD39)))</x:f>
      </x:c>
      <x:c r="AW39" s="13">
        <x:f>IF($C39="","",IF($AE39="",TRUE,IF($L39="",FALSE,$L39&lt;=$AE39)))</x:f>
      </x:c>
      <x:c r="AX39" s="13">
        <x:f>IF($C39="","",IF($AF39="",TRUE,IF($M39="",FALSE,$M39&lt;=$AF39)))</x:f>
      </x:c>
      <x:c r="AY39" s="13">
        <x:f>IF($C39="","",IF($AG39="",TRUE,IF($N39="",FALSE,$N39&gt;=$AG39)))</x:f>
      </x:c>
      <x:c r="AZ39" s="13">
        <x:f>IF($C39="","",IF(OR($AH39="",$AI39=""),TRUE,IF($O39="",FALSE,AND($O39&gt;=$AH39,$O39&lt;=$AI39))))</x:f>
      </x:c>
      <x:c r="BA39" s="13">
        <x:f>IF($C39="","",IF($AJ39="Y",$P39="Y",TRUE))</x:f>
      </x:c>
      <x:c r="BB39" s="13">
        <x:f>IF($C39="","",IF($AK39="Y",$Q39="Y",TRUE))</x:f>
      </x:c>
      <x:c r="BC39" s="13">
        <x:f>IF($C39="","",IF($AL39="Y",$R39="Y",TRUE))</x:f>
      </x:c>
      <x:c r="BD39" s="13">
        <x:f>IF($C39="","",IF($AM39="Y",$S39="Y",TRUE))</x:f>
      </x:c>
      <x:c r="BE39" s="13">
        <x:f>IF($C39="","",IF($AN39="Y",$T39="Y",TRUE))</x:f>
      </x:c>
      <x:c r="BF39" s="13">
        <x:f>IF($C39="","",IF($AO39="",TRUE,IF($U39="",FALSE,$U39&lt;=$AO39)))</x:f>
      </x:c>
      <x:c r="BG39" s="13">
        <x:f>IF($C39="","",IF($AP39="",TRUE,IF($V39="",FALSE,$V39&lt;=$AP39)))</x:f>
      </x:c>
      <x:c r="BH39" s="13">
        <x:f>IF($C39="","",IF($AQ39="",TRUE,IF($W39="",FALSE,$W39&lt;=$AQ39)))</x:f>
      </x:c>
      <x:c r="BI39" s="13">
        <x:f>IF($C39="","",IF($AR39="",TRUE,IF($X39="",FALSE,$X39&lt;=$AR39)))</x:f>
      </x:c>
      <x:c r="BJ39" s="15">
        <x:f>IF($C39="","",IF($Y39="",0,$Y39)+IF($AS39,10,0)+IF($AT39,8,0)+IF($AU39,5,0)+IF($AV39,8,0)+IF($AW39,15,0)+IF($AX39,4,0)+IF($AY39,5,0)+IF($AZ39,10,0)+IF($BA39,8,0)+IF($BB39,4,0)+IF($BC39,6,0)+IF($BD39,3,0)+IF($BE39,2,0)+IF($BF39,2,0)+IF($BG39,2,0)+IF($BH39,2,0)+IF($BI39,1,0))</x:f>
      </x:c>
      <x:c r="BK39" s="15">
        <x:f>IF($C39="","",IF(NOT($AS39),1,0)+IF(NOT($AW39),1,0)+IF(NOT($AZ39),1,0)+IF(NOT($BA39),1,0)+IF(NOT($BB39),1,0)+IF(NOT($BC39),1,0))</x:f>
      </x:c>
      <x:c r="BL39" s="13">
        <x:f>IF($C39="","",IF($BK39&gt;0,"REJECT",IF(COUNTIF($AS39:$BI39,FALSE)=0,"ACCEPT",IF($BJ39&gt;=85,"ACCEPT WITH SORTING / DISCOUNT","REJECT"))))</x:f>
      </x:c>
    </x:row>
    <x:row r="40" ht="24" customHeight="1">
      <x:c r="A40" s="10" t="n"/>
      <x:c r="B40" s="11" t="n"/>
      <x:c r="C40" s="11" t="n"/>
      <x:c r="D40" s="11" t="n"/>
      <x:c r="E40" s="11" t="n"/>
      <x:c r="F40" s="11" t="n"/>
      <x:c r="G40" s="11" t="n"/>
      <x:c r="H40" s="11" t="n"/>
      <x:c r="I40" s="12" t="n"/>
      <x:c r="J40" s="12" t="n"/>
      <x:c r="K40" s="12" t="n"/>
      <x:c r="L40" s="12" t="n"/>
      <x:c r="M40" s="12" t="n"/>
      <x:c r="N40" s="12" t="n"/>
      <x:c r="O40" s="12" t="n"/>
      <x:c r="P40" s="11" t="n"/>
      <x:c r="Q40" s="11" t="n"/>
      <x:c r="R40" s="11" t="n"/>
      <x:c r="S40" s="11" t="n"/>
      <x:c r="T40" s="11" t="n"/>
      <x:c r="U40" s="12" t="n"/>
      <x:c r="V40" s="12" t="n"/>
      <x:c r="W40" s="12" t="n"/>
      <x:c r="X40" s="12" t="n"/>
      <x:c r="Y40" s="12" t="n"/>
      <x:c r="Z40" s="13">
        <x:f>IF($C40="","",VLOOKUP($C40,Config!$A$2:$Y$4,2,FALSE))</x:f>
      </x:c>
      <x:c r="AA40" s="13">
        <x:f>IF($C40="","",VLOOKUP($C40,Config!$A$2:$Y$4,5,FALSE))</x:f>
      </x:c>
      <x:c r="AB40" s="14">
        <x:f>IF($C40="","",VLOOKUP($C40,Config!$A$2:$Y$4,7,FALSE))</x:f>
      </x:c>
      <x:c r="AC40" s="14">
        <x:f>IF($C40="","",VLOOKUP($C40,Config!$A$2:$Y$4,8,FALSE))</x:f>
      </x:c>
      <x:c r="AD40" s="14">
        <x:f>IF($C40="","",VLOOKUP($C40,Config!$A$2:$Y$4,9,FALSE))</x:f>
      </x:c>
      <x:c r="AE40" s="14">
        <x:f>IF($C40="","",VLOOKUP($C40,Config!$A$2:$Y$4,10,FALSE))</x:f>
      </x:c>
      <x:c r="AF40" s="14">
        <x:f>IF($C40="","",VLOOKUP($C40,Config!$A$2:$Y$4,11,FALSE))</x:f>
      </x:c>
      <x:c r="AG40" s="14">
        <x:f>IF($C40="","",VLOOKUP($C40,Config!$A$2:$Y$4,12,FALSE))</x:f>
      </x:c>
      <x:c r="AH40" s="14">
        <x:f>IF($C40="","",VLOOKUP($C40,Config!$A$2:$Y$4,13,FALSE))</x:f>
      </x:c>
      <x:c r="AI40" s="14">
        <x:f>IF($C40="","",VLOOKUP($C40,Config!$A$2:$Y$4,14,FALSE))</x:f>
      </x:c>
      <x:c r="AJ40" s="14">
        <x:f>IF($C40="","",VLOOKUP($C40,Config!$A$2:$Y$4,15,FALSE))</x:f>
      </x:c>
      <x:c r="AK40" s="14">
        <x:f>IF($C40="","",VLOOKUP($C40,Config!$A$2:$Y$4,16,FALSE))</x:f>
      </x:c>
      <x:c r="AL40" s="14">
        <x:f>IF($C40="","",VLOOKUP($C40,Config!$A$2:$Y$4,17,FALSE))</x:f>
      </x:c>
      <x:c r="AM40" s="14">
        <x:f>IF($C40="","",VLOOKUP($C40,Config!$A$2:$Y$4,18,FALSE))</x:f>
      </x:c>
      <x:c r="AN40" s="14">
        <x:f>IF($C40="","",VLOOKUP($C40,Config!$A$2:$Y$4,19,FALSE))</x:f>
      </x:c>
      <x:c r="AO40" s="14">
        <x:f>IF($C40="","",VLOOKUP($C40,Config!$A$2:$Y$4,20,FALSE))</x:f>
      </x:c>
      <x:c r="AP40" s="14">
        <x:f>IF($C40="","",VLOOKUP($C40,Config!$A$2:$Y$4,21,FALSE))</x:f>
      </x:c>
      <x:c r="AQ40" s="14">
        <x:f>IF($C40="","",VLOOKUP($C40,Config!$A$2:$Y$4,22,FALSE))</x:f>
      </x:c>
      <x:c r="AR40" s="14">
        <x:f>IF($C40="","",VLOOKUP($C40,Config!$A$2:$Y$4,23,FALSE))</x:f>
      </x:c>
      <x:c r="AS40" s="13">
        <x:f>IF($C40="","",IF($H40="Extra",3,IF($H40="I",2,IF($H40="II",1,0)))&gt;=IF($AA40="Extra",3,IF($AA40="I",2,IF($AA40="II",1,0))))</x:f>
      </x:c>
      <x:c r="AT40" s="13">
        <x:f>IF($C40="","",IF($I40="",FALSE,$I40&gt;=$AB40))</x:f>
      </x:c>
      <x:c r="AU40" s="13">
        <x:f>IF($C40="","",IF($AC40="",TRUE,IF($J40="",FALSE,$J40&lt;=$AC40)))</x:f>
      </x:c>
      <x:c r="AV40" s="13">
        <x:f>IF($C40="","",IF($AD40="",TRUE,IF($K40="",FALSE,$K40&lt;=$AD40)))</x:f>
      </x:c>
      <x:c r="AW40" s="13">
        <x:f>IF($C40="","",IF($AE40="",TRUE,IF($L40="",FALSE,$L40&lt;=$AE40)))</x:f>
      </x:c>
      <x:c r="AX40" s="13">
        <x:f>IF($C40="","",IF($AF40="",TRUE,IF($M40="",FALSE,$M40&lt;=$AF40)))</x:f>
      </x:c>
      <x:c r="AY40" s="13">
        <x:f>IF($C40="","",IF($AG40="",TRUE,IF($N40="",FALSE,$N40&gt;=$AG40)))</x:f>
      </x:c>
      <x:c r="AZ40" s="13">
        <x:f>IF($C40="","",IF(OR($AH40="",$AI40=""),TRUE,IF($O40="",FALSE,AND($O40&gt;=$AH40,$O40&lt;=$AI40))))</x:f>
      </x:c>
      <x:c r="BA40" s="13">
        <x:f>IF($C40="","",IF($AJ40="Y",$P40="Y",TRUE))</x:f>
      </x:c>
      <x:c r="BB40" s="13">
        <x:f>IF($C40="","",IF($AK40="Y",$Q40="Y",TRUE))</x:f>
      </x:c>
      <x:c r="BC40" s="13">
        <x:f>IF($C40="","",IF($AL40="Y",$R40="Y",TRUE))</x:f>
      </x:c>
      <x:c r="BD40" s="13">
        <x:f>IF($C40="","",IF($AM40="Y",$S40="Y",TRUE))</x:f>
      </x:c>
      <x:c r="BE40" s="13">
        <x:f>IF($C40="","",IF($AN40="Y",$T40="Y",TRUE))</x:f>
      </x:c>
      <x:c r="BF40" s="13">
        <x:f>IF($C40="","",IF($AO40="",TRUE,IF($U40="",FALSE,$U40&lt;=$AO40)))</x:f>
      </x:c>
      <x:c r="BG40" s="13">
        <x:f>IF($C40="","",IF($AP40="",TRUE,IF($V40="",FALSE,$V40&lt;=$AP40)))</x:f>
      </x:c>
      <x:c r="BH40" s="13">
        <x:f>IF($C40="","",IF($AQ40="",TRUE,IF($W40="",FALSE,$W40&lt;=$AQ40)))</x:f>
      </x:c>
      <x:c r="BI40" s="13">
        <x:f>IF($C40="","",IF($AR40="",TRUE,IF($X40="",FALSE,$X40&lt;=$AR40)))</x:f>
      </x:c>
      <x:c r="BJ40" s="15">
        <x:f>IF($C40="","",IF($Y40="",0,$Y40)+IF($AS40,10,0)+IF($AT40,8,0)+IF($AU40,5,0)+IF($AV40,8,0)+IF($AW40,15,0)+IF($AX40,4,0)+IF($AY40,5,0)+IF($AZ40,10,0)+IF($BA40,8,0)+IF($BB40,4,0)+IF($BC40,6,0)+IF($BD40,3,0)+IF($BE40,2,0)+IF($BF40,2,0)+IF($BG40,2,0)+IF($BH40,2,0)+IF($BI40,1,0))</x:f>
      </x:c>
      <x:c r="BK40" s="15">
        <x:f>IF($C40="","",IF(NOT($AS40),1,0)+IF(NOT($AW40),1,0)+IF(NOT($AZ40),1,0)+IF(NOT($BA40),1,0)+IF(NOT($BB40),1,0)+IF(NOT($BC40),1,0))</x:f>
      </x:c>
      <x:c r="BL40" s="13">
        <x:f>IF($C40="","",IF($BK40&gt;0,"REJECT",IF(COUNTIF($AS40:$BI40,FALSE)=0,"ACCEPT",IF($BJ40&gt;=85,"ACCEPT WITH SORTING / DISCOUNT","REJECT"))))</x:f>
      </x:c>
    </x:row>
    <x:row r="41" ht="24" customHeight="1">
      <x:c r="A41" s="10" t="n"/>
      <x:c r="B41" s="11" t="n"/>
      <x:c r="C41" s="11" t="n"/>
      <x:c r="D41" s="11" t="n"/>
      <x:c r="E41" s="11" t="n"/>
      <x:c r="F41" s="11" t="n"/>
      <x:c r="G41" s="11" t="n"/>
      <x:c r="H41" s="11" t="n"/>
      <x:c r="I41" s="12" t="n"/>
      <x:c r="J41" s="12" t="n"/>
      <x:c r="K41" s="12" t="n"/>
      <x:c r="L41" s="12" t="n"/>
      <x:c r="M41" s="12" t="n"/>
      <x:c r="N41" s="12" t="n"/>
      <x:c r="O41" s="12" t="n"/>
      <x:c r="P41" s="11" t="n"/>
      <x:c r="Q41" s="11" t="n"/>
      <x:c r="R41" s="11" t="n"/>
      <x:c r="S41" s="11" t="n"/>
      <x:c r="T41" s="11" t="n"/>
      <x:c r="U41" s="12" t="n"/>
      <x:c r="V41" s="12" t="n"/>
      <x:c r="W41" s="12" t="n"/>
      <x:c r="X41" s="12" t="n"/>
      <x:c r="Y41" s="12" t="n"/>
      <x:c r="Z41" s="13">
        <x:f>IF($C41="","",VLOOKUP($C41,Config!$A$2:$Y$4,2,FALSE))</x:f>
      </x:c>
      <x:c r="AA41" s="13">
        <x:f>IF($C41="","",VLOOKUP($C41,Config!$A$2:$Y$4,5,FALSE))</x:f>
      </x:c>
      <x:c r="AB41" s="14">
        <x:f>IF($C41="","",VLOOKUP($C41,Config!$A$2:$Y$4,7,FALSE))</x:f>
      </x:c>
      <x:c r="AC41" s="14">
        <x:f>IF($C41="","",VLOOKUP($C41,Config!$A$2:$Y$4,8,FALSE))</x:f>
      </x:c>
      <x:c r="AD41" s="14">
        <x:f>IF($C41="","",VLOOKUP($C41,Config!$A$2:$Y$4,9,FALSE))</x:f>
      </x:c>
      <x:c r="AE41" s="14">
        <x:f>IF($C41="","",VLOOKUP($C41,Config!$A$2:$Y$4,10,FALSE))</x:f>
      </x:c>
      <x:c r="AF41" s="14">
        <x:f>IF($C41="","",VLOOKUP($C41,Config!$A$2:$Y$4,11,FALSE))</x:f>
      </x:c>
      <x:c r="AG41" s="14">
        <x:f>IF($C41="","",VLOOKUP($C41,Config!$A$2:$Y$4,12,FALSE))</x:f>
      </x:c>
      <x:c r="AH41" s="14">
        <x:f>IF($C41="","",VLOOKUP($C41,Config!$A$2:$Y$4,13,FALSE))</x:f>
      </x:c>
      <x:c r="AI41" s="14">
        <x:f>IF($C41="","",VLOOKUP($C41,Config!$A$2:$Y$4,14,FALSE))</x:f>
      </x:c>
      <x:c r="AJ41" s="14">
        <x:f>IF($C41="","",VLOOKUP($C41,Config!$A$2:$Y$4,15,FALSE))</x:f>
      </x:c>
      <x:c r="AK41" s="14">
        <x:f>IF($C41="","",VLOOKUP($C41,Config!$A$2:$Y$4,16,FALSE))</x:f>
      </x:c>
      <x:c r="AL41" s="14">
        <x:f>IF($C41="","",VLOOKUP($C41,Config!$A$2:$Y$4,17,FALSE))</x:f>
      </x:c>
      <x:c r="AM41" s="14">
        <x:f>IF($C41="","",VLOOKUP($C41,Config!$A$2:$Y$4,18,FALSE))</x:f>
      </x:c>
      <x:c r="AN41" s="14">
        <x:f>IF($C41="","",VLOOKUP($C41,Config!$A$2:$Y$4,19,FALSE))</x:f>
      </x:c>
      <x:c r="AO41" s="14">
        <x:f>IF($C41="","",VLOOKUP($C41,Config!$A$2:$Y$4,20,FALSE))</x:f>
      </x:c>
      <x:c r="AP41" s="14">
        <x:f>IF($C41="","",VLOOKUP($C41,Config!$A$2:$Y$4,21,FALSE))</x:f>
      </x:c>
      <x:c r="AQ41" s="14">
        <x:f>IF($C41="","",VLOOKUP($C41,Config!$A$2:$Y$4,22,FALSE))</x:f>
      </x:c>
      <x:c r="AR41" s="14">
        <x:f>IF($C41="","",VLOOKUP($C41,Config!$A$2:$Y$4,23,FALSE))</x:f>
      </x:c>
      <x:c r="AS41" s="13">
        <x:f>IF($C41="","",IF($H41="Extra",3,IF($H41="I",2,IF($H41="II",1,0)))&gt;=IF($AA41="Extra",3,IF($AA41="I",2,IF($AA41="II",1,0))))</x:f>
      </x:c>
      <x:c r="AT41" s="13">
        <x:f>IF($C41="","",IF($I41="",FALSE,$I41&gt;=$AB41))</x:f>
      </x:c>
      <x:c r="AU41" s="13">
        <x:f>IF($C41="","",IF($AC41="",TRUE,IF($J41="",FALSE,$J41&lt;=$AC41)))</x:f>
      </x:c>
      <x:c r="AV41" s="13">
        <x:f>IF($C41="","",IF($AD41="",TRUE,IF($K41="",FALSE,$K41&lt;=$AD41)))</x:f>
      </x:c>
      <x:c r="AW41" s="13">
        <x:f>IF($C41="","",IF($AE41="",TRUE,IF($L41="",FALSE,$L41&lt;=$AE41)))</x:f>
      </x:c>
      <x:c r="AX41" s="13">
        <x:f>IF($C41="","",IF($AF41="",TRUE,IF($M41="",FALSE,$M41&lt;=$AF41)))</x:f>
      </x:c>
      <x:c r="AY41" s="13">
        <x:f>IF($C41="","",IF($AG41="",TRUE,IF($N41="",FALSE,$N41&gt;=$AG41)))</x:f>
      </x:c>
      <x:c r="AZ41" s="13">
        <x:f>IF($C41="","",IF(OR($AH41="",$AI41=""),TRUE,IF($O41="",FALSE,AND($O41&gt;=$AH41,$O41&lt;=$AI41))))</x:f>
      </x:c>
      <x:c r="BA41" s="13">
        <x:f>IF($C41="","",IF($AJ41="Y",$P41="Y",TRUE))</x:f>
      </x:c>
      <x:c r="BB41" s="13">
        <x:f>IF($C41="","",IF($AK41="Y",$Q41="Y",TRUE))</x:f>
      </x:c>
      <x:c r="BC41" s="13">
        <x:f>IF($C41="","",IF($AL41="Y",$R41="Y",TRUE))</x:f>
      </x:c>
      <x:c r="BD41" s="13">
        <x:f>IF($C41="","",IF($AM41="Y",$S41="Y",TRUE))</x:f>
      </x:c>
      <x:c r="BE41" s="13">
        <x:f>IF($C41="","",IF($AN41="Y",$T41="Y",TRUE))</x:f>
      </x:c>
      <x:c r="BF41" s="13">
        <x:f>IF($C41="","",IF($AO41="",TRUE,IF($U41="",FALSE,$U41&lt;=$AO41)))</x:f>
      </x:c>
      <x:c r="BG41" s="13">
        <x:f>IF($C41="","",IF($AP41="",TRUE,IF($V41="",FALSE,$V41&lt;=$AP41)))</x:f>
      </x:c>
      <x:c r="BH41" s="13">
        <x:f>IF($C41="","",IF($AQ41="",TRUE,IF($W41="",FALSE,$W41&lt;=$AQ41)))</x:f>
      </x:c>
      <x:c r="BI41" s="13">
        <x:f>IF($C41="","",IF($AR41="",TRUE,IF($X41="",FALSE,$X41&lt;=$AR41)))</x:f>
      </x:c>
      <x:c r="BJ41" s="15">
        <x:f>IF($C41="","",IF($Y41="",0,$Y41)+IF($AS41,10,0)+IF($AT41,8,0)+IF($AU41,5,0)+IF($AV41,8,0)+IF($AW41,15,0)+IF($AX41,4,0)+IF($AY41,5,0)+IF($AZ41,10,0)+IF($BA41,8,0)+IF($BB41,4,0)+IF($BC41,6,0)+IF($BD41,3,0)+IF($BE41,2,0)+IF($BF41,2,0)+IF($BG41,2,0)+IF($BH41,2,0)+IF($BI41,1,0))</x:f>
      </x:c>
      <x:c r="BK41" s="15">
        <x:f>IF($C41="","",IF(NOT($AS41),1,0)+IF(NOT($AW41),1,0)+IF(NOT($AZ41),1,0)+IF(NOT($BA41),1,0)+IF(NOT($BB41),1,0)+IF(NOT($BC41),1,0))</x:f>
      </x:c>
      <x:c r="BL41" s="13">
        <x:f>IF($C41="","",IF($BK41&gt;0,"REJECT",IF(COUNTIF($AS41:$BI41,FALSE)=0,"ACCEPT",IF($BJ41&gt;=85,"ACCEPT WITH SORTING / DISCOUNT","REJECT"))))</x:f>
      </x:c>
    </x:row>
    <x:row r="42" ht="24" customHeight="1">
      <x:c r="A42" s="10" t="n"/>
      <x:c r="B42" s="11" t="n"/>
      <x:c r="C42" s="11" t="n"/>
      <x:c r="D42" s="11" t="n"/>
      <x:c r="E42" s="11" t="n"/>
      <x:c r="F42" s="11" t="n"/>
      <x:c r="G42" s="11" t="n"/>
      <x:c r="H42" s="11" t="n"/>
      <x:c r="I42" s="12" t="n"/>
      <x:c r="J42" s="12" t="n"/>
      <x:c r="K42" s="12" t="n"/>
      <x:c r="L42" s="12" t="n"/>
      <x:c r="M42" s="12" t="n"/>
      <x:c r="N42" s="12" t="n"/>
      <x:c r="O42" s="12" t="n"/>
      <x:c r="P42" s="11" t="n"/>
      <x:c r="Q42" s="11" t="n"/>
      <x:c r="R42" s="11" t="n"/>
      <x:c r="S42" s="11" t="n"/>
      <x:c r="T42" s="11" t="n"/>
      <x:c r="U42" s="12" t="n"/>
      <x:c r="V42" s="12" t="n"/>
      <x:c r="W42" s="12" t="n"/>
      <x:c r="X42" s="12" t="n"/>
      <x:c r="Y42" s="12" t="n"/>
      <x:c r="Z42" s="13">
        <x:f>IF($C42="","",VLOOKUP($C42,Config!$A$2:$Y$4,2,FALSE))</x:f>
      </x:c>
      <x:c r="AA42" s="13">
        <x:f>IF($C42="","",VLOOKUP($C42,Config!$A$2:$Y$4,5,FALSE))</x:f>
      </x:c>
      <x:c r="AB42" s="14">
        <x:f>IF($C42="","",VLOOKUP($C42,Config!$A$2:$Y$4,7,FALSE))</x:f>
      </x:c>
      <x:c r="AC42" s="14">
        <x:f>IF($C42="","",VLOOKUP($C42,Config!$A$2:$Y$4,8,FALSE))</x:f>
      </x:c>
      <x:c r="AD42" s="14">
        <x:f>IF($C42="","",VLOOKUP($C42,Config!$A$2:$Y$4,9,FALSE))</x:f>
      </x:c>
      <x:c r="AE42" s="14">
        <x:f>IF($C42="","",VLOOKUP($C42,Config!$A$2:$Y$4,10,FALSE))</x:f>
      </x:c>
      <x:c r="AF42" s="14">
        <x:f>IF($C42="","",VLOOKUP($C42,Config!$A$2:$Y$4,11,FALSE))</x:f>
      </x:c>
      <x:c r="AG42" s="14">
        <x:f>IF($C42="","",VLOOKUP($C42,Config!$A$2:$Y$4,12,FALSE))</x:f>
      </x:c>
      <x:c r="AH42" s="14">
        <x:f>IF($C42="","",VLOOKUP($C42,Config!$A$2:$Y$4,13,FALSE))</x:f>
      </x:c>
      <x:c r="AI42" s="14">
        <x:f>IF($C42="","",VLOOKUP($C42,Config!$A$2:$Y$4,14,FALSE))</x:f>
      </x:c>
      <x:c r="AJ42" s="14">
        <x:f>IF($C42="","",VLOOKUP($C42,Config!$A$2:$Y$4,15,FALSE))</x:f>
      </x:c>
      <x:c r="AK42" s="14">
        <x:f>IF($C42="","",VLOOKUP($C42,Config!$A$2:$Y$4,16,FALSE))</x:f>
      </x:c>
      <x:c r="AL42" s="14">
        <x:f>IF($C42="","",VLOOKUP($C42,Config!$A$2:$Y$4,17,FALSE))</x:f>
      </x:c>
      <x:c r="AM42" s="14">
        <x:f>IF($C42="","",VLOOKUP($C42,Config!$A$2:$Y$4,18,FALSE))</x:f>
      </x:c>
      <x:c r="AN42" s="14">
        <x:f>IF($C42="","",VLOOKUP($C42,Config!$A$2:$Y$4,19,FALSE))</x:f>
      </x:c>
      <x:c r="AO42" s="14">
        <x:f>IF($C42="","",VLOOKUP($C42,Config!$A$2:$Y$4,20,FALSE))</x:f>
      </x:c>
      <x:c r="AP42" s="14">
        <x:f>IF($C42="","",VLOOKUP($C42,Config!$A$2:$Y$4,21,FALSE))</x:f>
      </x:c>
      <x:c r="AQ42" s="14">
        <x:f>IF($C42="","",VLOOKUP($C42,Config!$A$2:$Y$4,22,FALSE))</x:f>
      </x:c>
      <x:c r="AR42" s="14">
        <x:f>IF($C42="","",VLOOKUP($C42,Config!$A$2:$Y$4,23,FALSE))</x:f>
      </x:c>
      <x:c r="AS42" s="13">
        <x:f>IF($C42="","",IF($H42="Extra",3,IF($H42="I",2,IF($H42="II",1,0)))&gt;=IF($AA42="Extra",3,IF($AA42="I",2,IF($AA42="II",1,0))))</x:f>
      </x:c>
      <x:c r="AT42" s="13">
        <x:f>IF($C42="","",IF($I42="",FALSE,$I42&gt;=$AB42))</x:f>
      </x:c>
      <x:c r="AU42" s="13">
        <x:f>IF($C42="","",IF($AC42="",TRUE,IF($J42="",FALSE,$J42&lt;=$AC42)))</x:f>
      </x:c>
      <x:c r="AV42" s="13">
        <x:f>IF($C42="","",IF($AD42="",TRUE,IF($K42="",FALSE,$K42&lt;=$AD42)))</x:f>
      </x:c>
      <x:c r="AW42" s="13">
        <x:f>IF($C42="","",IF($AE42="",TRUE,IF($L42="",FALSE,$L42&lt;=$AE42)))</x:f>
      </x:c>
      <x:c r="AX42" s="13">
        <x:f>IF($C42="","",IF($AF42="",TRUE,IF($M42="",FALSE,$M42&lt;=$AF42)))</x:f>
      </x:c>
      <x:c r="AY42" s="13">
        <x:f>IF($C42="","",IF($AG42="",TRUE,IF($N42="",FALSE,$N42&gt;=$AG42)))</x:f>
      </x:c>
      <x:c r="AZ42" s="13">
        <x:f>IF($C42="","",IF(OR($AH42="",$AI42=""),TRUE,IF($O42="",FALSE,AND($O42&gt;=$AH42,$O42&lt;=$AI42))))</x:f>
      </x:c>
      <x:c r="BA42" s="13">
        <x:f>IF($C42="","",IF($AJ42="Y",$P42="Y",TRUE))</x:f>
      </x:c>
      <x:c r="BB42" s="13">
        <x:f>IF($C42="","",IF($AK42="Y",$Q42="Y",TRUE))</x:f>
      </x:c>
      <x:c r="BC42" s="13">
        <x:f>IF($C42="","",IF($AL42="Y",$R42="Y",TRUE))</x:f>
      </x:c>
      <x:c r="BD42" s="13">
        <x:f>IF($C42="","",IF($AM42="Y",$S42="Y",TRUE))</x:f>
      </x:c>
      <x:c r="BE42" s="13">
        <x:f>IF($C42="","",IF($AN42="Y",$T42="Y",TRUE))</x:f>
      </x:c>
      <x:c r="BF42" s="13">
        <x:f>IF($C42="","",IF($AO42="",TRUE,IF($U42="",FALSE,$U42&lt;=$AO42)))</x:f>
      </x:c>
      <x:c r="BG42" s="13">
        <x:f>IF($C42="","",IF($AP42="",TRUE,IF($V42="",FALSE,$V42&lt;=$AP42)))</x:f>
      </x:c>
      <x:c r="BH42" s="13">
        <x:f>IF($C42="","",IF($AQ42="",TRUE,IF($W42="",FALSE,$W42&lt;=$AQ42)))</x:f>
      </x:c>
      <x:c r="BI42" s="13">
        <x:f>IF($C42="","",IF($AR42="",TRUE,IF($X42="",FALSE,$X42&lt;=$AR42)))</x:f>
      </x:c>
      <x:c r="BJ42" s="15">
        <x:f>IF($C42="","",IF($Y42="",0,$Y42)+IF($AS42,10,0)+IF($AT42,8,0)+IF($AU42,5,0)+IF($AV42,8,0)+IF($AW42,15,0)+IF($AX42,4,0)+IF($AY42,5,0)+IF($AZ42,10,0)+IF($BA42,8,0)+IF($BB42,4,0)+IF($BC42,6,0)+IF($BD42,3,0)+IF($BE42,2,0)+IF($BF42,2,0)+IF($BG42,2,0)+IF($BH42,2,0)+IF($BI42,1,0))</x:f>
      </x:c>
      <x:c r="BK42" s="15">
        <x:f>IF($C42="","",IF(NOT($AS42),1,0)+IF(NOT($AW42),1,0)+IF(NOT($AZ42),1,0)+IF(NOT($BA42),1,0)+IF(NOT($BB42),1,0)+IF(NOT($BC42),1,0))</x:f>
      </x:c>
      <x:c r="BL42" s="13">
        <x:f>IF($C42="","",IF($BK42&gt;0,"REJECT",IF(COUNTIF($AS42:$BI42,FALSE)=0,"ACCEPT",IF($BJ42&gt;=85,"ACCEPT WITH SORTING / DISCOUNT","REJECT"))))</x:f>
      </x:c>
    </x:row>
    <x:row r="43" ht="24" customHeight="1">
      <x:c r="A43" s="10" t="n"/>
      <x:c r="B43" s="11" t="n"/>
      <x:c r="C43" s="11" t="n"/>
      <x:c r="D43" s="11" t="n"/>
      <x:c r="E43" s="11" t="n"/>
      <x:c r="F43" s="11" t="n"/>
      <x:c r="G43" s="11" t="n"/>
      <x:c r="H43" s="11" t="n"/>
      <x:c r="I43" s="12" t="n"/>
      <x:c r="J43" s="12" t="n"/>
      <x:c r="K43" s="12" t="n"/>
      <x:c r="L43" s="12" t="n"/>
      <x:c r="M43" s="12" t="n"/>
      <x:c r="N43" s="12" t="n"/>
      <x:c r="O43" s="12" t="n"/>
      <x:c r="P43" s="11" t="n"/>
      <x:c r="Q43" s="11" t="n"/>
      <x:c r="R43" s="11" t="n"/>
      <x:c r="S43" s="11" t="n"/>
      <x:c r="T43" s="11" t="n"/>
      <x:c r="U43" s="12" t="n"/>
      <x:c r="V43" s="12" t="n"/>
      <x:c r="W43" s="12" t="n"/>
      <x:c r="X43" s="12" t="n"/>
      <x:c r="Y43" s="12" t="n"/>
      <x:c r="Z43" s="13">
        <x:f>IF($C43="","",VLOOKUP($C43,Config!$A$2:$Y$4,2,FALSE))</x:f>
      </x:c>
      <x:c r="AA43" s="13">
        <x:f>IF($C43="","",VLOOKUP($C43,Config!$A$2:$Y$4,5,FALSE))</x:f>
      </x:c>
      <x:c r="AB43" s="14">
        <x:f>IF($C43="","",VLOOKUP($C43,Config!$A$2:$Y$4,7,FALSE))</x:f>
      </x:c>
      <x:c r="AC43" s="14">
        <x:f>IF($C43="","",VLOOKUP($C43,Config!$A$2:$Y$4,8,FALSE))</x:f>
      </x:c>
      <x:c r="AD43" s="14">
        <x:f>IF($C43="","",VLOOKUP($C43,Config!$A$2:$Y$4,9,FALSE))</x:f>
      </x:c>
      <x:c r="AE43" s="14">
        <x:f>IF($C43="","",VLOOKUP($C43,Config!$A$2:$Y$4,10,FALSE))</x:f>
      </x:c>
      <x:c r="AF43" s="14">
        <x:f>IF($C43="","",VLOOKUP($C43,Config!$A$2:$Y$4,11,FALSE))</x:f>
      </x:c>
      <x:c r="AG43" s="14">
        <x:f>IF($C43="","",VLOOKUP($C43,Config!$A$2:$Y$4,12,FALSE))</x:f>
      </x:c>
      <x:c r="AH43" s="14">
        <x:f>IF($C43="","",VLOOKUP($C43,Config!$A$2:$Y$4,13,FALSE))</x:f>
      </x:c>
      <x:c r="AI43" s="14">
        <x:f>IF($C43="","",VLOOKUP($C43,Config!$A$2:$Y$4,14,FALSE))</x:f>
      </x:c>
      <x:c r="AJ43" s="14">
        <x:f>IF($C43="","",VLOOKUP($C43,Config!$A$2:$Y$4,15,FALSE))</x:f>
      </x:c>
      <x:c r="AK43" s="14">
        <x:f>IF($C43="","",VLOOKUP($C43,Config!$A$2:$Y$4,16,FALSE))</x:f>
      </x:c>
      <x:c r="AL43" s="14">
        <x:f>IF($C43="","",VLOOKUP($C43,Config!$A$2:$Y$4,17,FALSE))</x:f>
      </x:c>
      <x:c r="AM43" s="14">
        <x:f>IF($C43="","",VLOOKUP($C43,Config!$A$2:$Y$4,18,FALSE))</x:f>
      </x:c>
      <x:c r="AN43" s="14">
        <x:f>IF($C43="","",VLOOKUP($C43,Config!$A$2:$Y$4,19,FALSE))</x:f>
      </x:c>
      <x:c r="AO43" s="14">
        <x:f>IF($C43="","",VLOOKUP($C43,Config!$A$2:$Y$4,20,FALSE))</x:f>
      </x:c>
      <x:c r="AP43" s="14">
        <x:f>IF($C43="","",VLOOKUP($C43,Config!$A$2:$Y$4,21,FALSE))</x:f>
      </x:c>
      <x:c r="AQ43" s="14">
        <x:f>IF($C43="","",VLOOKUP($C43,Config!$A$2:$Y$4,22,FALSE))</x:f>
      </x:c>
      <x:c r="AR43" s="14">
        <x:f>IF($C43="","",VLOOKUP($C43,Config!$A$2:$Y$4,23,FALSE))</x:f>
      </x:c>
      <x:c r="AS43" s="13">
        <x:f>IF($C43="","",IF($H43="Extra",3,IF($H43="I",2,IF($H43="II",1,0)))&gt;=IF($AA43="Extra",3,IF($AA43="I",2,IF($AA43="II",1,0))))</x:f>
      </x:c>
      <x:c r="AT43" s="13">
        <x:f>IF($C43="","",IF($I43="",FALSE,$I43&gt;=$AB43))</x:f>
      </x:c>
      <x:c r="AU43" s="13">
        <x:f>IF($C43="","",IF($AC43="",TRUE,IF($J43="",FALSE,$J43&lt;=$AC43)))</x:f>
      </x:c>
      <x:c r="AV43" s="13">
        <x:f>IF($C43="","",IF($AD43="",TRUE,IF($K43="",FALSE,$K43&lt;=$AD43)))</x:f>
      </x:c>
      <x:c r="AW43" s="13">
        <x:f>IF($C43="","",IF($AE43="",TRUE,IF($L43="",FALSE,$L43&lt;=$AE43)))</x:f>
      </x:c>
      <x:c r="AX43" s="13">
        <x:f>IF($C43="","",IF($AF43="",TRUE,IF($M43="",FALSE,$M43&lt;=$AF43)))</x:f>
      </x:c>
      <x:c r="AY43" s="13">
        <x:f>IF($C43="","",IF($AG43="",TRUE,IF($N43="",FALSE,$N43&gt;=$AG43)))</x:f>
      </x:c>
      <x:c r="AZ43" s="13">
        <x:f>IF($C43="","",IF(OR($AH43="",$AI43=""),TRUE,IF($O43="",FALSE,AND($O43&gt;=$AH43,$O43&lt;=$AI43))))</x:f>
      </x:c>
      <x:c r="BA43" s="13">
        <x:f>IF($C43="","",IF($AJ43="Y",$P43="Y",TRUE))</x:f>
      </x:c>
      <x:c r="BB43" s="13">
        <x:f>IF($C43="","",IF($AK43="Y",$Q43="Y",TRUE))</x:f>
      </x:c>
      <x:c r="BC43" s="13">
        <x:f>IF($C43="","",IF($AL43="Y",$R43="Y",TRUE))</x:f>
      </x:c>
      <x:c r="BD43" s="13">
        <x:f>IF($C43="","",IF($AM43="Y",$S43="Y",TRUE))</x:f>
      </x:c>
      <x:c r="BE43" s="13">
        <x:f>IF($C43="","",IF($AN43="Y",$T43="Y",TRUE))</x:f>
      </x:c>
      <x:c r="BF43" s="13">
        <x:f>IF($C43="","",IF($AO43="",TRUE,IF($U43="",FALSE,$U43&lt;=$AO43)))</x:f>
      </x:c>
      <x:c r="BG43" s="13">
        <x:f>IF($C43="","",IF($AP43="",TRUE,IF($V43="",FALSE,$V43&lt;=$AP43)))</x:f>
      </x:c>
      <x:c r="BH43" s="13">
        <x:f>IF($C43="","",IF($AQ43="",TRUE,IF($W43="",FALSE,$W43&lt;=$AQ43)))</x:f>
      </x:c>
      <x:c r="BI43" s="13">
        <x:f>IF($C43="","",IF($AR43="",TRUE,IF($X43="",FALSE,$X43&lt;=$AR43)))</x:f>
      </x:c>
      <x:c r="BJ43" s="15">
        <x:f>IF($C43="","",IF($Y43="",0,$Y43)+IF($AS43,10,0)+IF($AT43,8,0)+IF($AU43,5,0)+IF($AV43,8,0)+IF($AW43,15,0)+IF($AX43,4,0)+IF($AY43,5,0)+IF($AZ43,10,0)+IF($BA43,8,0)+IF($BB43,4,0)+IF($BC43,6,0)+IF($BD43,3,0)+IF($BE43,2,0)+IF($BF43,2,0)+IF($BG43,2,0)+IF($BH43,2,0)+IF($BI43,1,0))</x:f>
      </x:c>
      <x:c r="BK43" s="15">
        <x:f>IF($C43="","",IF(NOT($AS43),1,0)+IF(NOT($AW43),1,0)+IF(NOT($AZ43),1,0)+IF(NOT($BA43),1,0)+IF(NOT($BB43),1,0)+IF(NOT($BC43),1,0))</x:f>
      </x:c>
      <x:c r="BL43" s="13">
        <x:f>IF($C43="","",IF($BK43&gt;0,"REJECT",IF(COUNTIF($AS43:$BI43,FALSE)=0,"ACCEPT",IF($BJ43&gt;=85,"ACCEPT WITH SORTING / DISCOUNT","REJECT"))))</x:f>
      </x:c>
    </x:row>
    <x:row r="44" ht="24" customHeight="1">
      <x:c r="A44" s="10" t="n"/>
      <x:c r="B44" s="11" t="n"/>
      <x:c r="C44" s="11" t="n"/>
      <x:c r="D44" s="11" t="n"/>
      <x:c r="E44" s="11" t="n"/>
      <x:c r="F44" s="11" t="n"/>
      <x:c r="G44" s="11" t="n"/>
      <x:c r="H44" s="11" t="n"/>
      <x:c r="I44" s="12" t="n"/>
      <x:c r="J44" s="12" t="n"/>
      <x:c r="K44" s="12" t="n"/>
      <x:c r="L44" s="12" t="n"/>
      <x:c r="M44" s="12" t="n"/>
      <x:c r="N44" s="12" t="n"/>
      <x:c r="O44" s="12" t="n"/>
      <x:c r="P44" s="11" t="n"/>
      <x:c r="Q44" s="11" t="n"/>
      <x:c r="R44" s="11" t="n"/>
      <x:c r="S44" s="11" t="n"/>
      <x:c r="T44" s="11" t="n"/>
      <x:c r="U44" s="12" t="n"/>
      <x:c r="V44" s="12" t="n"/>
      <x:c r="W44" s="12" t="n"/>
      <x:c r="X44" s="12" t="n"/>
      <x:c r="Y44" s="12" t="n"/>
      <x:c r="Z44" s="13">
        <x:f>IF($C44="","",VLOOKUP($C44,Config!$A$2:$Y$4,2,FALSE))</x:f>
      </x:c>
      <x:c r="AA44" s="13">
        <x:f>IF($C44="","",VLOOKUP($C44,Config!$A$2:$Y$4,5,FALSE))</x:f>
      </x:c>
      <x:c r="AB44" s="14">
        <x:f>IF($C44="","",VLOOKUP($C44,Config!$A$2:$Y$4,7,FALSE))</x:f>
      </x:c>
      <x:c r="AC44" s="14">
        <x:f>IF($C44="","",VLOOKUP($C44,Config!$A$2:$Y$4,8,FALSE))</x:f>
      </x:c>
      <x:c r="AD44" s="14">
        <x:f>IF($C44="","",VLOOKUP($C44,Config!$A$2:$Y$4,9,FALSE))</x:f>
      </x:c>
      <x:c r="AE44" s="14">
        <x:f>IF($C44="","",VLOOKUP($C44,Config!$A$2:$Y$4,10,FALSE))</x:f>
      </x:c>
      <x:c r="AF44" s="14">
        <x:f>IF($C44="","",VLOOKUP($C44,Config!$A$2:$Y$4,11,FALSE))</x:f>
      </x:c>
      <x:c r="AG44" s="14">
        <x:f>IF($C44="","",VLOOKUP($C44,Config!$A$2:$Y$4,12,FALSE))</x:f>
      </x:c>
      <x:c r="AH44" s="14">
        <x:f>IF($C44="","",VLOOKUP($C44,Config!$A$2:$Y$4,13,FALSE))</x:f>
      </x:c>
      <x:c r="AI44" s="14">
        <x:f>IF($C44="","",VLOOKUP($C44,Config!$A$2:$Y$4,14,FALSE))</x:f>
      </x:c>
      <x:c r="AJ44" s="14">
        <x:f>IF($C44="","",VLOOKUP($C44,Config!$A$2:$Y$4,15,FALSE))</x:f>
      </x:c>
      <x:c r="AK44" s="14">
        <x:f>IF($C44="","",VLOOKUP($C44,Config!$A$2:$Y$4,16,FALSE))</x:f>
      </x:c>
      <x:c r="AL44" s="14">
        <x:f>IF($C44="","",VLOOKUP($C44,Config!$A$2:$Y$4,17,FALSE))</x:f>
      </x:c>
      <x:c r="AM44" s="14">
        <x:f>IF($C44="","",VLOOKUP($C44,Config!$A$2:$Y$4,18,FALSE))</x:f>
      </x:c>
      <x:c r="AN44" s="14">
        <x:f>IF($C44="","",VLOOKUP($C44,Config!$A$2:$Y$4,19,FALSE))</x:f>
      </x:c>
      <x:c r="AO44" s="14">
        <x:f>IF($C44="","",VLOOKUP($C44,Config!$A$2:$Y$4,20,FALSE))</x:f>
      </x:c>
      <x:c r="AP44" s="14">
        <x:f>IF($C44="","",VLOOKUP($C44,Config!$A$2:$Y$4,21,FALSE))</x:f>
      </x:c>
      <x:c r="AQ44" s="14">
        <x:f>IF($C44="","",VLOOKUP($C44,Config!$A$2:$Y$4,22,FALSE))</x:f>
      </x:c>
      <x:c r="AR44" s="14">
        <x:f>IF($C44="","",VLOOKUP($C44,Config!$A$2:$Y$4,23,FALSE))</x:f>
      </x:c>
      <x:c r="AS44" s="13">
        <x:f>IF($C44="","",IF($H44="Extra",3,IF($H44="I",2,IF($H44="II",1,0)))&gt;=IF($AA44="Extra",3,IF($AA44="I",2,IF($AA44="II",1,0))))</x:f>
      </x:c>
      <x:c r="AT44" s="13">
        <x:f>IF($C44="","",IF($I44="",FALSE,$I44&gt;=$AB44))</x:f>
      </x:c>
      <x:c r="AU44" s="13">
        <x:f>IF($C44="","",IF($AC44="",TRUE,IF($J44="",FALSE,$J44&lt;=$AC44)))</x:f>
      </x:c>
      <x:c r="AV44" s="13">
        <x:f>IF($C44="","",IF($AD44="",TRUE,IF($K44="",FALSE,$K44&lt;=$AD44)))</x:f>
      </x:c>
      <x:c r="AW44" s="13">
        <x:f>IF($C44="","",IF($AE44="",TRUE,IF($L44="",FALSE,$L44&lt;=$AE44)))</x:f>
      </x:c>
      <x:c r="AX44" s="13">
        <x:f>IF($C44="","",IF($AF44="",TRUE,IF($M44="",FALSE,$M44&lt;=$AF44)))</x:f>
      </x:c>
      <x:c r="AY44" s="13">
        <x:f>IF($C44="","",IF($AG44="",TRUE,IF($N44="",FALSE,$N44&gt;=$AG44)))</x:f>
      </x:c>
      <x:c r="AZ44" s="13">
        <x:f>IF($C44="","",IF(OR($AH44="",$AI44=""),TRUE,IF($O44="",FALSE,AND($O44&gt;=$AH44,$O44&lt;=$AI44))))</x:f>
      </x:c>
      <x:c r="BA44" s="13">
        <x:f>IF($C44="","",IF($AJ44="Y",$P44="Y",TRUE))</x:f>
      </x:c>
      <x:c r="BB44" s="13">
        <x:f>IF($C44="","",IF($AK44="Y",$Q44="Y",TRUE))</x:f>
      </x:c>
      <x:c r="BC44" s="13">
        <x:f>IF($C44="","",IF($AL44="Y",$R44="Y",TRUE))</x:f>
      </x:c>
      <x:c r="BD44" s="13">
        <x:f>IF($C44="","",IF($AM44="Y",$S44="Y",TRUE))</x:f>
      </x:c>
      <x:c r="BE44" s="13">
        <x:f>IF($C44="","",IF($AN44="Y",$T44="Y",TRUE))</x:f>
      </x:c>
      <x:c r="BF44" s="13">
        <x:f>IF($C44="","",IF($AO44="",TRUE,IF($U44="",FALSE,$U44&lt;=$AO44)))</x:f>
      </x:c>
      <x:c r="BG44" s="13">
        <x:f>IF($C44="","",IF($AP44="",TRUE,IF($V44="",FALSE,$V44&lt;=$AP44)))</x:f>
      </x:c>
      <x:c r="BH44" s="13">
        <x:f>IF($C44="","",IF($AQ44="",TRUE,IF($W44="",FALSE,$W44&lt;=$AQ44)))</x:f>
      </x:c>
      <x:c r="BI44" s="13">
        <x:f>IF($C44="","",IF($AR44="",TRUE,IF($X44="",FALSE,$X44&lt;=$AR44)))</x:f>
      </x:c>
      <x:c r="BJ44" s="15">
        <x:f>IF($C44="","",IF($Y44="",0,$Y44)+IF($AS44,10,0)+IF($AT44,8,0)+IF($AU44,5,0)+IF($AV44,8,0)+IF($AW44,15,0)+IF($AX44,4,0)+IF($AY44,5,0)+IF($AZ44,10,0)+IF($BA44,8,0)+IF($BB44,4,0)+IF($BC44,6,0)+IF($BD44,3,0)+IF($BE44,2,0)+IF($BF44,2,0)+IF($BG44,2,0)+IF($BH44,2,0)+IF($BI44,1,0))</x:f>
      </x:c>
      <x:c r="BK44" s="15">
        <x:f>IF($C44="","",IF(NOT($AS44),1,0)+IF(NOT($AW44),1,0)+IF(NOT($AZ44),1,0)+IF(NOT($BA44),1,0)+IF(NOT($BB44),1,0)+IF(NOT($BC44),1,0))</x:f>
      </x:c>
      <x:c r="BL44" s="13">
        <x:f>IF($C44="","",IF($BK44&gt;0,"REJECT",IF(COUNTIF($AS44:$BI44,FALSE)=0,"ACCEPT",IF($BJ44&gt;=85,"ACCEPT WITH SORTING / DISCOUNT","REJECT"))))</x:f>
      </x:c>
    </x:row>
    <x:row r="45" ht="24" customHeight="1">
      <x:c r="A45" s="10" t="n"/>
      <x:c r="B45" s="11" t="n"/>
      <x:c r="C45" s="11" t="n"/>
      <x:c r="D45" s="11" t="n"/>
      <x:c r="E45" s="11" t="n"/>
      <x:c r="F45" s="11" t="n"/>
      <x:c r="G45" s="11" t="n"/>
      <x:c r="H45" s="11" t="n"/>
      <x:c r="I45" s="12" t="n"/>
      <x:c r="J45" s="12" t="n"/>
      <x:c r="K45" s="12" t="n"/>
      <x:c r="L45" s="12" t="n"/>
      <x:c r="M45" s="12" t="n"/>
      <x:c r="N45" s="12" t="n"/>
      <x:c r="O45" s="12" t="n"/>
      <x:c r="P45" s="11" t="n"/>
      <x:c r="Q45" s="11" t="n"/>
      <x:c r="R45" s="11" t="n"/>
      <x:c r="S45" s="11" t="n"/>
      <x:c r="T45" s="11" t="n"/>
      <x:c r="U45" s="12" t="n"/>
      <x:c r="V45" s="12" t="n"/>
      <x:c r="W45" s="12" t="n"/>
      <x:c r="X45" s="12" t="n"/>
      <x:c r="Y45" s="12" t="n"/>
      <x:c r="Z45" s="13">
        <x:f>IF($C45="","",VLOOKUP($C45,Config!$A$2:$Y$4,2,FALSE))</x:f>
      </x:c>
      <x:c r="AA45" s="13">
        <x:f>IF($C45="","",VLOOKUP($C45,Config!$A$2:$Y$4,5,FALSE))</x:f>
      </x:c>
      <x:c r="AB45" s="14">
        <x:f>IF($C45="","",VLOOKUP($C45,Config!$A$2:$Y$4,7,FALSE))</x:f>
      </x:c>
      <x:c r="AC45" s="14">
        <x:f>IF($C45="","",VLOOKUP($C45,Config!$A$2:$Y$4,8,FALSE))</x:f>
      </x:c>
      <x:c r="AD45" s="14">
        <x:f>IF($C45="","",VLOOKUP($C45,Config!$A$2:$Y$4,9,FALSE))</x:f>
      </x:c>
      <x:c r="AE45" s="14">
        <x:f>IF($C45="","",VLOOKUP($C45,Config!$A$2:$Y$4,10,FALSE))</x:f>
      </x:c>
      <x:c r="AF45" s="14">
        <x:f>IF($C45="","",VLOOKUP($C45,Config!$A$2:$Y$4,11,FALSE))</x:f>
      </x:c>
      <x:c r="AG45" s="14">
        <x:f>IF($C45="","",VLOOKUP($C45,Config!$A$2:$Y$4,12,FALSE))</x:f>
      </x:c>
      <x:c r="AH45" s="14">
        <x:f>IF($C45="","",VLOOKUP($C45,Config!$A$2:$Y$4,13,FALSE))</x:f>
      </x:c>
      <x:c r="AI45" s="14">
        <x:f>IF($C45="","",VLOOKUP($C45,Config!$A$2:$Y$4,14,FALSE))</x:f>
      </x:c>
      <x:c r="AJ45" s="14">
        <x:f>IF($C45="","",VLOOKUP($C45,Config!$A$2:$Y$4,15,FALSE))</x:f>
      </x:c>
      <x:c r="AK45" s="14">
        <x:f>IF($C45="","",VLOOKUP($C45,Config!$A$2:$Y$4,16,FALSE))</x:f>
      </x:c>
      <x:c r="AL45" s="14">
        <x:f>IF($C45="","",VLOOKUP($C45,Config!$A$2:$Y$4,17,FALSE))</x:f>
      </x:c>
      <x:c r="AM45" s="14">
        <x:f>IF($C45="","",VLOOKUP($C45,Config!$A$2:$Y$4,18,FALSE))</x:f>
      </x:c>
      <x:c r="AN45" s="14">
        <x:f>IF($C45="","",VLOOKUP($C45,Config!$A$2:$Y$4,19,FALSE))</x:f>
      </x:c>
      <x:c r="AO45" s="14">
        <x:f>IF($C45="","",VLOOKUP($C45,Config!$A$2:$Y$4,20,FALSE))</x:f>
      </x:c>
      <x:c r="AP45" s="14">
        <x:f>IF($C45="","",VLOOKUP($C45,Config!$A$2:$Y$4,21,FALSE))</x:f>
      </x:c>
      <x:c r="AQ45" s="14">
        <x:f>IF($C45="","",VLOOKUP($C45,Config!$A$2:$Y$4,22,FALSE))</x:f>
      </x:c>
      <x:c r="AR45" s="14">
        <x:f>IF($C45="","",VLOOKUP($C45,Config!$A$2:$Y$4,23,FALSE))</x:f>
      </x:c>
      <x:c r="AS45" s="13">
        <x:f>IF($C45="","",IF($H45="Extra",3,IF($H45="I",2,IF($H45="II",1,0)))&gt;=IF($AA45="Extra",3,IF($AA45="I",2,IF($AA45="II",1,0))))</x:f>
      </x:c>
      <x:c r="AT45" s="13">
        <x:f>IF($C45="","",IF($I45="",FALSE,$I45&gt;=$AB45))</x:f>
      </x:c>
      <x:c r="AU45" s="13">
        <x:f>IF($C45="","",IF($AC45="",TRUE,IF($J45="",FALSE,$J45&lt;=$AC45)))</x:f>
      </x:c>
      <x:c r="AV45" s="13">
        <x:f>IF($C45="","",IF($AD45="",TRUE,IF($K45="",FALSE,$K45&lt;=$AD45)))</x:f>
      </x:c>
      <x:c r="AW45" s="13">
        <x:f>IF($C45="","",IF($AE45="",TRUE,IF($L45="",FALSE,$L45&lt;=$AE45)))</x:f>
      </x:c>
      <x:c r="AX45" s="13">
        <x:f>IF($C45="","",IF($AF45="",TRUE,IF($M45="",FALSE,$M45&lt;=$AF45)))</x:f>
      </x:c>
      <x:c r="AY45" s="13">
        <x:f>IF($C45="","",IF($AG45="",TRUE,IF($N45="",FALSE,$N45&gt;=$AG45)))</x:f>
      </x:c>
      <x:c r="AZ45" s="13">
        <x:f>IF($C45="","",IF(OR($AH45="",$AI45=""),TRUE,IF($O45="",FALSE,AND($O45&gt;=$AH45,$O45&lt;=$AI45))))</x:f>
      </x:c>
      <x:c r="BA45" s="13">
        <x:f>IF($C45="","",IF($AJ45="Y",$P45="Y",TRUE))</x:f>
      </x:c>
      <x:c r="BB45" s="13">
        <x:f>IF($C45="","",IF($AK45="Y",$Q45="Y",TRUE))</x:f>
      </x:c>
      <x:c r="BC45" s="13">
        <x:f>IF($C45="","",IF($AL45="Y",$R45="Y",TRUE))</x:f>
      </x:c>
      <x:c r="BD45" s="13">
        <x:f>IF($C45="","",IF($AM45="Y",$S45="Y",TRUE))</x:f>
      </x:c>
      <x:c r="BE45" s="13">
        <x:f>IF($C45="","",IF($AN45="Y",$T45="Y",TRUE))</x:f>
      </x:c>
      <x:c r="BF45" s="13">
        <x:f>IF($C45="","",IF($AO45="",TRUE,IF($U45="",FALSE,$U45&lt;=$AO45)))</x:f>
      </x:c>
      <x:c r="BG45" s="13">
        <x:f>IF($C45="","",IF($AP45="",TRUE,IF($V45="",FALSE,$V45&lt;=$AP45)))</x:f>
      </x:c>
      <x:c r="BH45" s="13">
        <x:f>IF($C45="","",IF($AQ45="",TRUE,IF($W45="",FALSE,$W45&lt;=$AQ45)))</x:f>
      </x:c>
      <x:c r="BI45" s="13">
        <x:f>IF($C45="","",IF($AR45="",TRUE,IF($X45="",FALSE,$X45&lt;=$AR45)))</x:f>
      </x:c>
      <x:c r="BJ45" s="15">
        <x:f>IF($C45="","",IF($Y45="",0,$Y45)+IF($AS45,10,0)+IF($AT45,8,0)+IF($AU45,5,0)+IF($AV45,8,0)+IF($AW45,15,0)+IF($AX45,4,0)+IF($AY45,5,0)+IF($AZ45,10,0)+IF($BA45,8,0)+IF($BB45,4,0)+IF($BC45,6,0)+IF($BD45,3,0)+IF($BE45,2,0)+IF($BF45,2,0)+IF($BG45,2,0)+IF($BH45,2,0)+IF($BI45,1,0))</x:f>
      </x:c>
      <x:c r="BK45" s="15">
        <x:f>IF($C45="","",IF(NOT($AS45),1,0)+IF(NOT($AW45),1,0)+IF(NOT($AZ45),1,0)+IF(NOT($BA45),1,0)+IF(NOT($BB45),1,0)+IF(NOT($BC45),1,0))</x:f>
      </x:c>
      <x:c r="BL45" s="13">
        <x:f>IF($C45="","",IF($BK45&gt;0,"REJECT",IF(COUNTIF($AS45:$BI45,FALSE)=0,"ACCEPT",IF($BJ45&gt;=85,"ACCEPT WITH SORTING / DISCOUNT","REJECT"))))</x:f>
      </x:c>
    </x:row>
    <x:row r="46" ht="24" customHeight="1">
      <x:c r="A46" s="10" t="n"/>
      <x:c r="B46" s="11" t="n"/>
      <x:c r="C46" s="11" t="n"/>
      <x:c r="D46" s="11" t="n"/>
      <x:c r="E46" s="11" t="n"/>
      <x:c r="F46" s="11" t="n"/>
      <x:c r="G46" s="11" t="n"/>
      <x:c r="H46" s="11" t="n"/>
      <x:c r="I46" s="12" t="n"/>
      <x:c r="J46" s="12" t="n"/>
      <x:c r="K46" s="12" t="n"/>
      <x:c r="L46" s="12" t="n"/>
      <x:c r="M46" s="12" t="n"/>
      <x:c r="N46" s="12" t="n"/>
      <x:c r="O46" s="12" t="n"/>
      <x:c r="P46" s="11" t="n"/>
      <x:c r="Q46" s="11" t="n"/>
      <x:c r="R46" s="11" t="n"/>
      <x:c r="S46" s="11" t="n"/>
      <x:c r="T46" s="11" t="n"/>
      <x:c r="U46" s="12" t="n"/>
      <x:c r="V46" s="12" t="n"/>
      <x:c r="W46" s="12" t="n"/>
      <x:c r="X46" s="12" t="n"/>
      <x:c r="Y46" s="12" t="n"/>
      <x:c r="Z46" s="13">
        <x:f>IF($C46="","",VLOOKUP($C46,Config!$A$2:$Y$4,2,FALSE))</x:f>
      </x:c>
      <x:c r="AA46" s="13">
        <x:f>IF($C46="","",VLOOKUP($C46,Config!$A$2:$Y$4,5,FALSE))</x:f>
      </x:c>
      <x:c r="AB46" s="14">
        <x:f>IF($C46="","",VLOOKUP($C46,Config!$A$2:$Y$4,7,FALSE))</x:f>
      </x:c>
      <x:c r="AC46" s="14">
        <x:f>IF($C46="","",VLOOKUP($C46,Config!$A$2:$Y$4,8,FALSE))</x:f>
      </x:c>
      <x:c r="AD46" s="14">
        <x:f>IF($C46="","",VLOOKUP($C46,Config!$A$2:$Y$4,9,FALSE))</x:f>
      </x:c>
      <x:c r="AE46" s="14">
        <x:f>IF($C46="","",VLOOKUP($C46,Config!$A$2:$Y$4,10,FALSE))</x:f>
      </x:c>
      <x:c r="AF46" s="14">
        <x:f>IF($C46="","",VLOOKUP($C46,Config!$A$2:$Y$4,11,FALSE))</x:f>
      </x:c>
      <x:c r="AG46" s="14">
        <x:f>IF($C46="","",VLOOKUP($C46,Config!$A$2:$Y$4,12,FALSE))</x:f>
      </x:c>
      <x:c r="AH46" s="14">
        <x:f>IF($C46="","",VLOOKUP($C46,Config!$A$2:$Y$4,13,FALSE))</x:f>
      </x:c>
      <x:c r="AI46" s="14">
        <x:f>IF($C46="","",VLOOKUP($C46,Config!$A$2:$Y$4,14,FALSE))</x:f>
      </x:c>
      <x:c r="AJ46" s="14">
        <x:f>IF($C46="","",VLOOKUP($C46,Config!$A$2:$Y$4,15,FALSE))</x:f>
      </x:c>
      <x:c r="AK46" s="14">
        <x:f>IF($C46="","",VLOOKUP($C46,Config!$A$2:$Y$4,16,FALSE))</x:f>
      </x:c>
      <x:c r="AL46" s="14">
        <x:f>IF($C46="","",VLOOKUP($C46,Config!$A$2:$Y$4,17,FALSE))</x:f>
      </x:c>
      <x:c r="AM46" s="14">
        <x:f>IF($C46="","",VLOOKUP($C46,Config!$A$2:$Y$4,18,FALSE))</x:f>
      </x:c>
      <x:c r="AN46" s="14">
        <x:f>IF($C46="","",VLOOKUP($C46,Config!$A$2:$Y$4,19,FALSE))</x:f>
      </x:c>
      <x:c r="AO46" s="14">
        <x:f>IF($C46="","",VLOOKUP($C46,Config!$A$2:$Y$4,20,FALSE))</x:f>
      </x:c>
      <x:c r="AP46" s="14">
        <x:f>IF($C46="","",VLOOKUP($C46,Config!$A$2:$Y$4,21,FALSE))</x:f>
      </x:c>
      <x:c r="AQ46" s="14">
        <x:f>IF($C46="","",VLOOKUP($C46,Config!$A$2:$Y$4,22,FALSE))</x:f>
      </x:c>
      <x:c r="AR46" s="14">
        <x:f>IF($C46="","",VLOOKUP($C46,Config!$A$2:$Y$4,23,FALSE))</x:f>
      </x:c>
      <x:c r="AS46" s="13">
        <x:f>IF($C46="","",IF($H46="Extra",3,IF($H46="I",2,IF($H46="II",1,0)))&gt;=IF($AA46="Extra",3,IF($AA46="I",2,IF($AA46="II",1,0))))</x:f>
      </x:c>
      <x:c r="AT46" s="13">
        <x:f>IF($C46="","",IF($I46="",FALSE,$I46&gt;=$AB46))</x:f>
      </x:c>
      <x:c r="AU46" s="13">
        <x:f>IF($C46="","",IF($AC46="",TRUE,IF($J46="",FALSE,$J46&lt;=$AC46)))</x:f>
      </x:c>
      <x:c r="AV46" s="13">
        <x:f>IF($C46="","",IF($AD46="",TRUE,IF($K46="",FALSE,$K46&lt;=$AD46)))</x:f>
      </x:c>
      <x:c r="AW46" s="13">
        <x:f>IF($C46="","",IF($AE46="",TRUE,IF($L46="",FALSE,$L46&lt;=$AE46)))</x:f>
      </x:c>
      <x:c r="AX46" s="13">
        <x:f>IF($C46="","",IF($AF46="",TRUE,IF($M46="",FALSE,$M46&lt;=$AF46)))</x:f>
      </x:c>
      <x:c r="AY46" s="13">
        <x:f>IF($C46="","",IF($AG46="",TRUE,IF($N46="",FALSE,$N46&gt;=$AG46)))</x:f>
      </x:c>
      <x:c r="AZ46" s="13">
        <x:f>IF($C46="","",IF(OR($AH46="",$AI46=""),TRUE,IF($O46="",FALSE,AND($O46&gt;=$AH46,$O46&lt;=$AI46))))</x:f>
      </x:c>
      <x:c r="BA46" s="13">
        <x:f>IF($C46="","",IF($AJ46="Y",$P46="Y",TRUE))</x:f>
      </x:c>
      <x:c r="BB46" s="13">
        <x:f>IF($C46="","",IF($AK46="Y",$Q46="Y",TRUE))</x:f>
      </x:c>
      <x:c r="BC46" s="13">
        <x:f>IF($C46="","",IF($AL46="Y",$R46="Y",TRUE))</x:f>
      </x:c>
      <x:c r="BD46" s="13">
        <x:f>IF($C46="","",IF($AM46="Y",$S46="Y",TRUE))</x:f>
      </x:c>
      <x:c r="BE46" s="13">
        <x:f>IF($C46="","",IF($AN46="Y",$T46="Y",TRUE))</x:f>
      </x:c>
      <x:c r="BF46" s="13">
        <x:f>IF($C46="","",IF($AO46="",TRUE,IF($U46="",FALSE,$U46&lt;=$AO46)))</x:f>
      </x:c>
      <x:c r="BG46" s="13">
        <x:f>IF($C46="","",IF($AP46="",TRUE,IF($V46="",FALSE,$V46&lt;=$AP46)))</x:f>
      </x:c>
      <x:c r="BH46" s="13">
        <x:f>IF($C46="","",IF($AQ46="",TRUE,IF($W46="",FALSE,$W46&lt;=$AQ46)))</x:f>
      </x:c>
      <x:c r="BI46" s="13">
        <x:f>IF($C46="","",IF($AR46="",TRUE,IF($X46="",FALSE,$X46&lt;=$AR46)))</x:f>
      </x:c>
      <x:c r="BJ46" s="15">
        <x:f>IF($C46="","",IF($Y46="",0,$Y46)+IF($AS46,10,0)+IF($AT46,8,0)+IF($AU46,5,0)+IF($AV46,8,0)+IF($AW46,15,0)+IF($AX46,4,0)+IF($AY46,5,0)+IF($AZ46,10,0)+IF($BA46,8,0)+IF($BB46,4,0)+IF($BC46,6,0)+IF($BD46,3,0)+IF($BE46,2,0)+IF($BF46,2,0)+IF($BG46,2,0)+IF($BH46,2,0)+IF($BI46,1,0))</x:f>
      </x:c>
      <x:c r="BK46" s="15">
        <x:f>IF($C46="","",IF(NOT($AS46),1,0)+IF(NOT($AW46),1,0)+IF(NOT($AZ46),1,0)+IF(NOT($BA46),1,0)+IF(NOT($BB46),1,0)+IF(NOT($BC46),1,0))</x:f>
      </x:c>
      <x:c r="BL46" s="13">
        <x:f>IF($C46="","",IF($BK46&gt;0,"REJECT",IF(COUNTIF($AS46:$BI46,FALSE)=0,"ACCEPT",IF($BJ46&gt;=85,"ACCEPT WITH SORTING / DISCOUNT","REJECT"))))</x:f>
      </x:c>
    </x:row>
    <x:row r="47" ht="24" customHeight="1">
      <x:c r="A47" s="10" t="n"/>
      <x:c r="B47" s="11" t="n"/>
      <x:c r="C47" s="11" t="n"/>
      <x:c r="D47" s="11" t="n"/>
      <x:c r="E47" s="11" t="n"/>
      <x:c r="F47" s="11" t="n"/>
      <x:c r="G47" s="11" t="n"/>
      <x:c r="H47" s="11" t="n"/>
      <x:c r="I47" s="12" t="n"/>
      <x:c r="J47" s="12" t="n"/>
      <x:c r="K47" s="12" t="n"/>
      <x:c r="L47" s="12" t="n"/>
      <x:c r="M47" s="12" t="n"/>
      <x:c r="N47" s="12" t="n"/>
      <x:c r="O47" s="12" t="n"/>
      <x:c r="P47" s="11" t="n"/>
      <x:c r="Q47" s="11" t="n"/>
      <x:c r="R47" s="11" t="n"/>
      <x:c r="S47" s="11" t="n"/>
      <x:c r="T47" s="11" t="n"/>
      <x:c r="U47" s="12" t="n"/>
      <x:c r="V47" s="12" t="n"/>
      <x:c r="W47" s="12" t="n"/>
      <x:c r="X47" s="12" t="n"/>
      <x:c r="Y47" s="12" t="n"/>
      <x:c r="Z47" s="13">
        <x:f>IF($C47="","",VLOOKUP($C47,Config!$A$2:$Y$4,2,FALSE))</x:f>
      </x:c>
      <x:c r="AA47" s="13">
        <x:f>IF($C47="","",VLOOKUP($C47,Config!$A$2:$Y$4,5,FALSE))</x:f>
      </x:c>
      <x:c r="AB47" s="14">
        <x:f>IF($C47="","",VLOOKUP($C47,Config!$A$2:$Y$4,7,FALSE))</x:f>
      </x:c>
      <x:c r="AC47" s="14">
        <x:f>IF($C47="","",VLOOKUP($C47,Config!$A$2:$Y$4,8,FALSE))</x:f>
      </x:c>
      <x:c r="AD47" s="14">
        <x:f>IF($C47="","",VLOOKUP($C47,Config!$A$2:$Y$4,9,FALSE))</x:f>
      </x:c>
      <x:c r="AE47" s="14">
        <x:f>IF($C47="","",VLOOKUP($C47,Config!$A$2:$Y$4,10,FALSE))</x:f>
      </x:c>
      <x:c r="AF47" s="14">
        <x:f>IF($C47="","",VLOOKUP($C47,Config!$A$2:$Y$4,11,FALSE))</x:f>
      </x:c>
      <x:c r="AG47" s="14">
        <x:f>IF($C47="","",VLOOKUP($C47,Config!$A$2:$Y$4,12,FALSE))</x:f>
      </x:c>
      <x:c r="AH47" s="14">
        <x:f>IF($C47="","",VLOOKUP($C47,Config!$A$2:$Y$4,13,FALSE))</x:f>
      </x:c>
      <x:c r="AI47" s="14">
        <x:f>IF($C47="","",VLOOKUP($C47,Config!$A$2:$Y$4,14,FALSE))</x:f>
      </x:c>
      <x:c r="AJ47" s="14">
        <x:f>IF($C47="","",VLOOKUP($C47,Config!$A$2:$Y$4,15,FALSE))</x:f>
      </x:c>
      <x:c r="AK47" s="14">
        <x:f>IF($C47="","",VLOOKUP($C47,Config!$A$2:$Y$4,16,FALSE))</x:f>
      </x:c>
      <x:c r="AL47" s="14">
        <x:f>IF($C47="","",VLOOKUP($C47,Config!$A$2:$Y$4,17,FALSE))</x:f>
      </x:c>
      <x:c r="AM47" s="14">
        <x:f>IF($C47="","",VLOOKUP($C47,Config!$A$2:$Y$4,18,FALSE))</x:f>
      </x:c>
      <x:c r="AN47" s="14">
        <x:f>IF($C47="","",VLOOKUP($C47,Config!$A$2:$Y$4,19,FALSE))</x:f>
      </x:c>
      <x:c r="AO47" s="14">
        <x:f>IF($C47="","",VLOOKUP($C47,Config!$A$2:$Y$4,20,FALSE))</x:f>
      </x:c>
      <x:c r="AP47" s="14">
        <x:f>IF($C47="","",VLOOKUP($C47,Config!$A$2:$Y$4,21,FALSE))</x:f>
      </x:c>
      <x:c r="AQ47" s="14">
        <x:f>IF($C47="","",VLOOKUP($C47,Config!$A$2:$Y$4,22,FALSE))</x:f>
      </x:c>
      <x:c r="AR47" s="14">
        <x:f>IF($C47="","",VLOOKUP($C47,Config!$A$2:$Y$4,23,FALSE))</x:f>
      </x:c>
      <x:c r="AS47" s="13">
        <x:f>IF($C47="","",IF($H47="Extra",3,IF($H47="I",2,IF($H47="II",1,0)))&gt;=IF($AA47="Extra",3,IF($AA47="I",2,IF($AA47="II",1,0))))</x:f>
      </x:c>
      <x:c r="AT47" s="13">
        <x:f>IF($C47="","",IF($I47="",FALSE,$I47&gt;=$AB47))</x:f>
      </x:c>
      <x:c r="AU47" s="13">
        <x:f>IF($C47="","",IF($AC47="",TRUE,IF($J47="",FALSE,$J47&lt;=$AC47)))</x:f>
      </x:c>
      <x:c r="AV47" s="13">
        <x:f>IF($C47="","",IF($AD47="",TRUE,IF($K47="",FALSE,$K47&lt;=$AD47)))</x:f>
      </x:c>
      <x:c r="AW47" s="13">
        <x:f>IF($C47="","",IF($AE47="",TRUE,IF($L47="",FALSE,$L47&lt;=$AE47)))</x:f>
      </x:c>
      <x:c r="AX47" s="13">
        <x:f>IF($C47="","",IF($AF47="",TRUE,IF($M47="",FALSE,$M47&lt;=$AF47)))</x:f>
      </x:c>
      <x:c r="AY47" s="13">
        <x:f>IF($C47="","",IF($AG47="",TRUE,IF($N47="",FALSE,$N47&gt;=$AG47)))</x:f>
      </x:c>
      <x:c r="AZ47" s="13">
        <x:f>IF($C47="","",IF(OR($AH47="",$AI47=""),TRUE,IF($O47="",FALSE,AND($O47&gt;=$AH47,$O47&lt;=$AI47))))</x:f>
      </x:c>
      <x:c r="BA47" s="13">
        <x:f>IF($C47="","",IF($AJ47="Y",$P47="Y",TRUE))</x:f>
      </x:c>
      <x:c r="BB47" s="13">
        <x:f>IF($C47="","",IF($AK47="Y",$Q47="Y",TRUE))</x:f>
      </x:c>
      <x:c r="BC47" s="13">
        <x:f>IF($C47="","",IF($AL47="Y",$R47="Y",TRUE))</x:f>
      </x:c>
      <x:c r="BD47" s="13">
        <x:f>IF($C47="","",IF($AM47="Y",$S47="Y",TRUE))</x:f>
      </x:c>
      <x:c r="BE47" s="13">
        <x:f>IF($C47="","",IF($AN47="Y",$T47="Y",TRUE))</x:f>
      </x:c>
      <x:c r="BF47" s="13">
        <x:f>IF($C47="","",IF($AO47="",TRUE,IF($U47="",FALSE,$U47&lt;=$AO47)))</x:f>
      </x:c>
      <x:c r="BG47" s="13">
        <x:f>IF($C47="","",IF($AP47="",TRUE,IF($V47="",FALSE,$V47&lt;=$AP47)))</x:f>
      </x:c>
      <x:c r="BH47" s="13">
        <x:f>IF($C47="","",IF($AQ47="",TRUE,IF($W47="",FALSE,$W47&lt;=$AQ47)))</x:f>
      </x:c>
      <x:c r="BI47" s="13">
        <x:f>IF($C47="","",IF($AR47="",TRUE,IF($X47="",FALSE,$X47&lt;=$AR47)))</x:f>
      </x:c>
      <x:c r="BJ47" s="15">
        <x:f>IF($C47="","",IF($Y47="",0,$Y47)+IF($AS47,10,0)+IF($AT47,8,0)+IF($AU47,5,0)+IF($AV47,8,0)+IF($AW47,15,0)+IF($AX47,4,0)+IF($AY47,5,0)+IF($AZ47,10,0)+IF($BA47,8,0)+IF($BB47,4,0)+IF($BC47,6,0)+IF($BD47,3,0)+IF($BE47,2,0)+IF($BF47,2,0)+IF($BG47,2,0)+IF($BH47,2,0)+IF($BI47,1,0))</x:f>
      </x:c>
      <x:c r="BK47" s="15">
        <x:f>IF($C47="","",IF(NOT($AS47),1,0)+IF(NOT($AW47),1,0)+IF(NOT($AZ47),1,0)+IF(NOT($BA47),1,0)+IF(NOT($BB47),1,0)+IF(NOT($BC47),1,0))</x:f>
      </x:c>
      <x:c r="BL47" s="13">
        <x:f>IF($C47="","",IF($BK47&gt;0,"REJECT",IF(COUNTIF($AS47:$BI47,FALSE)=0,"ACCEPT",IF($BJ47&gt;=85,"ACCEPT WITH SORTING / DISCOUNT","REJECT"))))</x:f>
      </x:c>
    </x:row>
    <x:row r="48" ht="24" customHeight="1">
      <x:c r="A48" s="10" t="n"/>
      <x:c r="B48" s="11" t="n"/>
      <x:c r="C48" s="11" t="n"/>
      <x:c r="D48" s="11" t="n"/>
      <x:c r="E48" s="11" t="n"/>
      <x:c r="F48" s="11" t="n"/>
      <x:c r="G48" s="11" t="n"/>
      <x:c r="H48" s="11" t="n"/>
      <x:c r="I48" s="12" t="n"/>
      <x:c r="J48" s="12" t="n"/>
      <x:c r="K48" s="12" t="n"/>
      <x:c r="L48" s="12" t="n"/>
      <x:c r="M48" s="12" t="n"/>
      <x:c r="N48" s="12" t="n"/>
      <x:c r="O48" s="12" t="n"/>
      <x:c r="P48" s="11" t="n"/>
      <x:c r="Q48" s="11" t="n"/>
      <x:c r="R48" s="11" t="n"/>
      <x:c r="S48" s="11" t="n"/>
      <x:c r="T48" s="11" t="n"/>
      <x:c r="U48" s="12" t="n"/>
      <x:c r="V48" s="12" t="n"/>
      <x:c r="W48" s="12" t="n"/>
      <x:c r="X48" s="12" t="n"/>
      <x:c r="Y48" s="12" t="n"/>
      <x:c r="Z48" s="13">
        <x:f>IF($C48="","",VLOOKUP($C48,Config!$A$2:$Y$4,2,FALSE))</x:f>
      </x:c>
      <x:c r="AA48" s="13">
        <x:f>IF($C48="","",VLOOKUP($C48,Config!$A$2:$Y$4,5,FALSE))</x:f>
      </x:c>
      <x:c r="AB48" s="14">
        <x:f>IF($C48="","",VLOOKUP($C48,Config!$A$2:$Y$4,7,FALSE))</x:f>
      </x:c>
      <x:c r="AC48" s="14">
        <x:f>IF($C48="","",VLOOKUP($C48,Config!$A$2:$Y$4,8,FALSE))</x:f>
      </x:c>
      <x:c r="AD48" s="14">
        <x:f>IF($C48="","",VLOOKUP($C48,Config!$A$2:$Y$4,9,FALSE))</x:f>
      </x:c>
      <x:c r="AE48" s="14">
        <x:f>IF($C48="","",VLOOKUP($C48,Config!$A$2:$Y$4,10,FALSE))</x:f>
      </x:c>
      <x:c r="AF48" s="14">
        <x:f>IF($C48="","",VLOOKUP($C48,Config!$A$2:$Y$4,11,FALSE))</x:f>
      </x:c>
      <x:c r="AG48" s="14">
        <x:f>IF($C48="","",VLOOKUP($C48,Config!$A$2:$Y$4,12,FALSE))</x:f>
      </x:c>
      <x:c r="AH48" s="14">
        <x:f>IF($C48="","",VLOOKUP($C48,Config!$A$2:$Y$4,13,FALSE))</x:f>
      </x:c>
      <x:c r="AI48" s="14">
        <x:f>IF($C48="","",VLOOKUP($C48,Config!$A$2:$Y$4,14,FALSE))</x:f>
      </x:c>
      <x:c r="AJ48" s="14">
        <x:f>IF($C48="","",VLOOKUP($C48,Config!$A$2:$Y$4,15,FALSE))</x:f>
      </x:c>
      <x:c r="AK48" s="14">
        <x:f>IF($C48="","",VLOOKUP($C48,Config!$A$2:$Y$4,16,FALSE))</x:f>
      </x:c>
      <x:c r="AL48" s="14">
        <x:f>IF($C48="","",VLOOKUP($C48,Config!$A$2:$Y$4,17,FALSE))</x:f>
      </x:c>
      <x:c r="AM48" s="14">
        <x:f>IF($C48="","",VLOOKUP($C48,Config!$A$2:$Y$4,18,FALSE))</x:f>
      </x:c>
      <x:c r="AN48" s="14">
        <x:f>IF($C48="","",VLOOKUP($C48,Config!$A$2:$Y$4,19,FALSE))</x:f>
      </x:c>
      <x:c r="AO48" s="14">
        <x:f>IF($C48="","",VLOOKUP($C48,Config!$A$2:$Y$4,20,FALSE))</x:f>
      </x:c>
      <x:c r="AP48" s="14">
        <x:f>IF($C48="","",VLOOKUP($C48,Config!$A$2:$Y$4,21,FALSE))</x:f>
      </x:c>
      <x:c r="AQ48" s="14">
        <x:f>IF($C48="","",VLOOKUP($C48,Config!$A$2:$Y$4,22,FALSE))</x:f>
      </x:c>
      <x:c r="AR48" s="14">
        <x:f>IF($C48="","",VLOOKUP($C48,Config!$A$2:$Y$4,23,FALSE))</x:f>
      </x:c>
      <x:c r="AS48" s="13">
        <x:f>IF($C48="","",IF($H48="Extra",3,IF($H48="I",2,IF($H48="II",1,0)))&gt;=IF($AA48="Extra",3,IF($AA48="I",2,IF($AA48="II",1,0))))</x:f>
      </x:c>
      <x:c r="AT48" s="13">
        <x:f>IF($C48="","",IF($I48="",FALSE,$I48&gt;=$AB48))</x:f>
      </x:c>
      <x:c r="AU48" s="13">
        <x:f>IF($C48="","",IF($AC48="",TRUE,IF($J48="",FALSE,$J48&lt;=$AC48)))</x:f>
      </x:c>
      <x:c r="AV48" s="13">
        <x:f>IF($C48="","",IF($AD48="",TRUE,IF($K48="",FALSE,$K48&lt;=$AD48)))</x:f>
      </x:c>
      <x:c r="AW48" s="13">
        <x:f>IF($C48="","",IF($AE48="",TRUE,IF($L48="",FALSE,$L48&lt;=$AE48)))</x:f>
      </x:c>
      <x:c r="AX48" s="13">
        <x:f>IF($C48="","",IF($AF48="",TRUE,IF($M48="",FALSE,$M48&lt;=$AF48)))</x:f>
      </x:c>
      <x:c r="AY48" s="13">
        <x:f>IF($C48="","",IF($AG48="",TRUE,IF($N48="",FALSE,$N48&gt;=$AG48)))</x:f>
      </x:c>
      <x:c r="AZ48" s="13">
        <x:f>IF($C48="","",IF(OR($AH48="",$AI48=""),TRUE,IF($O48="",FALSE,AND($O48&gt;=$AH48,$O48&lt;=$AI48))))</x:f>
      </x:c>
      <x:c r="BA48" s="13">
        <x:f>IF($C48="","",IF($AJ48="Y",$P48="Y",TRUE))</x:f>
      </x:c>
      <x:c r="BB48" s="13">
        <x:f>IF($C48="","",IF($AK48="Y",$Q48="Y",TRUE))</x:f>
      </x:c>
      <x:c r="BC48" s="13">
        <x:f>IF($C48="","",IF($AL48="Y",$R48="Y",TRUE))</x:f>
      </x:c>
      <x:c r="BD48" s="13">
        <x:f>IF($C48="","",IF($AM48="Y",$S48="Y",TRUE))</x:f>
      </x:c>
      <x:c r="BE48" s="13">
        <x:f>IF($C48="","",IF($AN48="Y",$T48="Y",TRUE))</x:f>
      </x:c>
      <x:c r="BF48" s="13">
        <x:f>IF($C48="","",IF($AO48="",TRUE,IF($U48="",FALSE,$U48&lt;=$AO48)))</x:f>
      </x:c>
      <x:c r="BG48" s="13">
        <x:f>IF($C48="","",IF($AP48="",TRUE,IF($V48="",FALSE,$V48&lt;=$AP48)))</x:f>
      </x:c>
      <x:c r="BH48" s="13">
        <x:f>IF($C48="","",IF($AQ48="",TRUE,IF($W48="",FALSE,$W48&lt;=$AQ48)))</x:f>
      </x:c>
      <x:c r="BI48" s="13">
        <x:f>IF($C48="","",IF($AR48="",TRUE,IF($X48="",FALSE,$X48&lt;=$AR48)))</x:f>
      </x:c>
      <x:c r="BJ48" s="15">
        <x:f>IF($C48="","",IF($Y48="",0,$Y48)+IF($AS48,10,0)+IF($AT48,8,0)+IF($AU48,5,0)+IF($AV48,8,0)+IF($AW48,15,0)+IF($AX48,4,0)+IF($AY48,5,0)+IF($AZ48,10,0)+IF($BA48,8,0)+IF($BB48,4,0)+IF($BC48,6,0)+IF($BD48,3,0)+IF($BE48,2,0)+IF($BF48,2,0)+IF($BG48,2,0)+IF($BH48,2,0)+IF($BI48,1,0))</x:f>
      </x:c>
      <x:c r="BK48" s="15">
        <x:f>IF($C48="","",IF(NOT($AS48),1,0)+IF(NOT($AW48),1,0)+IF(NOT($AZ48),1,0)+IF(NOT($BA48),1,0)+IF(NOT($BB48),1,0)+IF(NOT($BC48),1,0))</x:f>
      </x:c>
      <x:c r="BL48" s="13">
        <x:f>IF($C48="","",IF($BK48&gt;0,"REJECT",IF(COUNTIF($AS48:$BI48,FALSE)=0,"ACCEPT",IF($BJ48&gt;=85,"ACCEPT WITH SORTING / DISCOUNT","REJECT"))))</x:f>
      </x:c>
    </x:row>
    <x:row r="49" ht="24" customHeight="1">
      <x:c r="A49" s="10" t="n"/>
      <x:c r="B49" s="11" t="n"/>
      <x:c r="C49" s="11" t="n"/>
      <x:c r="D49" s="11" t="n"/>
      <x:c r="E49" s="11" t="n"/>
      <x:c r="F49" s="11" t="n"/>
      <x:c r="G49" s="11" t="n"/>
      <x:c r="H49" s="11" t="n"/>
      <x:c r="I49" s="12" t="n"/>
      <x:c r="J49" s="12" t="n"/>
      <x:c r="K49" s="12" t="n"/>
      <x:c r="L49" s="12" t="n"/>
      <x:c r="M49" s="12" t="n"/>
      <x:c r="N49" s="12" t="n"/>
      <x:c r="O49" s="12" t="n"/>
      <x:c r="P49" s="11" t="n"/>
      <x:c r="Q49" s="11" t="n"/>
      <x:c r="R49" s="11" t="n"/>
      <x:c r="S49" s="11" t="n"/>
      <x:c r="T49" s="11" t="n"/>
      <x:c r="U49" s="12" t="n"/>
      <x:c r="V49" s="12" t="n"/>
      <x:c r="W49" s="12" t="n"/>
      <x:c r="X49" s="12" t="n"/>
      <x:c r="Y49" s="12" t="n"/>
      <x:c r="Z49" s="13">
        <x:f>IF($C49="","",VLOOKUP($C49,Config!$A$2:$Y$4,2,FALSE))</x:f>
      </x:c>
      <x:c r="AA49" s="13">
        <x:f>IF($C49="","",VLOOKUP($C49,Config!$A$2:$Y$4,5,FALSE))</x:f>
      </x:c>
      <x:c r="AB49" s="14">
        <x:f>IF($C49="","",VLOOKUP($C49,Config!$A$2:$Y$4,7,FALSE))</x:f>
      </x:c>
      <x:c r="AC49" s="14">
        <x:f>IF($C49="","",VLOOKUP($C49,Config!$A$2:$Y$4,8,FALSE))</x:f>
      </x:c>
      <x:c r="AD49" s="14">
        <x:f>IF($C49="","",VLOOKUP($C49,Config!$A$2:$Y$4,9,FALSE))</x:f>
      </x:c>
      <x:c r="AE49" s="14">
        <x:f>IF($C49="","",VLOOKUP($C49,Config!$A$2:$Y$4,10,FALSE))</x:f>
      </x:c>
      <x:c r="AF49" s="14">
        <x:f>IF($C49="","",VLOOKUP($C49,Config!$A$2:$Y$4,11,FALSE))</x:f>
      </x:c>
      <x:c r="AG49" s="14">
        <x:f>IF($C49="","",VLOOKUP($C49,Config!$A$2:$Y$4,12,FALSE))</x:f>
      </x:c>
      <x:c r="AH49" s="14">
        <x:f>IF($C49="","",VLOOKUP($C49,Config!$A$2:$Y$4,13,FALSE))</x:f>
      </x:c>
      <x:c r="AI49" s="14">
        <x:f>IF($C49="","",VLOOKUP($C49,Config!$A$2:$Y$4,14,FALSE))</x:f>
      </x:c>
      <x:c r="AJ49" s="14">
        <x:f>IF($C49="","",VLOOKUP($C49,Config!$A$2:$Y$4,15,FALSE))</x:f>
      </x:c>
      <x:c r="AK49" s="14">
        <x:f>IF($C49="","",VLOOKUP($C49,Config!$A$2:$Y$4,16,FALSE))</x:f>
      </x:c>
      <x:c r="AL49" s="14">
        <x:f>IF($C49="","",VLOOKUP($C49,Config!$A$2:$Y$4,17,FALSE))</x:f>
      </x:c>
      <x:c r="AM49" s="14">
        <x:f>IF($C49="","",VLOOKUP($C49,Config!$A$2:$Y$4,18,FALSE))</x:f>
      </x:c>
      <x:c r="AN49" s="14">
        <x:f>IF($C49="","",VLOOKUP($C49,Config!$A$2:$Y$4,19,FALSE))</x:f>
      </x:c>
      <x:c r="AO49" s="14">
        <x:f>IF($C49="","",VLOOKUP($C49,Config!$A$2:$Y$4,20,FALSE))</x:f>
      </x:c>
      <x:c r="AP49" s="14">
        <x:f>IF($C49="","",VLOOKUP($C49,Config!$A$2:$Y$4,21,FALSE))</x:f>
      </x:c>
      <x:c r="AQ49" s="14">
        <x:f>IF($C49="","",VLOOKUP($C49,Config!$A$2:$Y$4,22,FALSE))</x:f>
      </x:c>
      <x:c r="AR49" s="14">
        <x:f>IF($C49="","",VLOOKUP($C49,Config!$A$2:$Y$4,23,FALSE))</x:f>
      </x:c>
      <x:c r="AS49" s="13">
        <x:f>IF($C49="","",IF($H49="Extra",3,IF($H49="I",2,IF($H49="II",1,0)))&gt;=IF($AA49="Extra",3,IF($AA49="I",2,IF($AA49="II",1,0))))</x:f>
      </x:c>
      <x:c r="AT49" s="13">
        <x:f>IF($C49="","",IF($I49="",FALSE,$I49&gt;=$AB49))</x:f>
      </x:c>
      <x:c r="AU49" s="13">
        <x:f>IF($C49="","",IF($AC49="",TRUE,IF($J49="",FALSE,$J49&lt;=$AC49)))</x:f>
      </x:c>
      <x:c r="AV49" s="13">
        <x:f>IF($C49="","",IF($AD49="",TRUE,IF($K49="",FALSE,$K49&lt;=$AD49)))</x:f>
      </x:c>
      <x:c r="AW49" s="13">
        <x:f>IF($C49="","",IF($AE49="",TRUE,IF($L49="",FALSE,$L49&lt;=$AE49)))</x:f>
      </x:c>
      <x:c r="AX49" s="13">
        <x:f>IF($C49="","",IF($AF49="",TRUE,IF($M49="",FALSE,$M49&lt;=$AF49)))</x:f>
      </x:c>
      <x:c r="AY49" s="13">
        <x:f>IF($C49="","",IF($AG49="",TRUE,IF($N49="",FALSE,$N49&gt;=$AG49)))</x:f>
      </x:c>
      <x:c r="AZ49" s="13">
        <x:f>IF($C49="","",IF(OR($AH49="",$AI49=""),TRUE,IF($O49="",FALSE,AND($O49&gt;=$AH49,$O49&lt;=$AI49))))</x:f>
      </x:c>
      <x:c r="BA49" s="13">
        <x:f>IF($C49="","",IF($AJ49="Y",$P49="Y",TRUE))</x:f>
      </x:c>
      <x:c r="BB49" s="13">
        <x:f>IF($C49="","",IF($AK49="Y",$Q49="Y",TRUE))</x:f>
      </x:c>
      <x:c r="BC49" s="13">
        <x:f>IF($C49="","",IF($AL49="Y",$R49="Y",TRUE))</x:f>
      </x:c>
      <x:c r="BD49" s="13">
        <x:f>IF($C49="","",IF($AM49="Y",$S49="Y",TRUE))</x:f>
      </x:c>
      <x:c r="BE49" s="13">
        <x:f>IF($C49="","",IF($AN49="Y",$T49="Y",TRUE))</x:f>
      </x:c>
      <x:c r="BF49" s="13">
        <x:f>IF($C49="","",IF($AO49="",TRUE,IF($U49="",FALSE,$U49&lt;=$AO49)))</x:f>
      </x:c>
      <x:c r="BG49" s="13">
        <x:f>IF($C49="","",IF($AP49="",TRUE,IF($V49="",FALSE,$V49&lt;=$AP49)))</x:f>
      </x:c>
      <x:c r="BH49" s="13">
        <x:f>IF($C49="","",IF($AQ49="",TRUE,IF($W49="",FALSE,$W49&lt;=$AQ49)))</x:f>
      </x:c>
      <x:c r="BI49" s="13">
        <x:f>IF($C49="","",IF($AR49="",TRUE,IF($X49="",FALSE,$X49&lt;=$AR49)))</x:f>
      </x:c>
      <x:c r="BJ49" s="15">
        <x:f>IF($C49="","",IF($Y49="",0,$Y49)+IF($AS49,10,0)+IF($AT49,8,0)+IF($AU49,5,0)+IF($AV49,8,0)+IF($AW49,15,0)+IF($AX49,4,0)+IF($AY49,5,0)+IF($AZ49,10,0)+IF($BA49,8,0)+IF($BB49,4,0)+IF($BC49,6,0)+IF($BD49,3,0)+IF($BE49,2,0)+IF($BF49,2,0)+IF($BG49,2,0)+IF($BH49,2,0)+IF($BI49,1,0))</x:f>
      </x:c>
      <x:c r="BK49" s="15">
        <x:f>IF($C49="","",IF(NOT($AS49),1,0)+IF(NOT($AW49),1,0)+IF(NOT($AZ49),1,0)+IF(NOT($BA49),1,0)+IF(NOT($BB49),1,0)+IF(NOT($BC49),1,0))</x:f>
      </x:c>
      <x:c r="BL49" s="13">
        <x:f>IF($C49="","",IF($BK49&gt;0,"REJECT",IF(COUNTIF($AS49:$BI49,FALSE)=0,"ACCEPT",IF($BJ49&gt;=85,"ACCEPT WITH SORTING / DISCOUNT","REJECT"))))</x:f>
      </x:c>
    </x:row>
    <x:row r="50" ht="24" customHeight="1">
      <x:c r="A50" s="10" t="n"/>
      <x:c r="B50" s="11" t="n"/>
      <x:c r="C50" s="11" t="n"/>
      <x:c r="D50" s="11" t="n"/>
      <x:c r="E50" s="11" t="n"/>
      <x:c r="F50" s="11" t="n"/>
      <x:c r="G50" s="11" t="n"/>
      <x:c r="H50" s="11" t="n"/>
      <x:c r="I50" s="12" t="n"/>
      <x:c r="J50" s="12" t="n"/>
      <x:c r="K50" s="12" t="n"/>
      <x:c r="L50" s="12" t="n"/>
      <x:c r="M50" s="12" t="n"/>
      <x:c r="N50" s="12" t="n"/>
      <x:c r="O50" s="12" t="n"/>
      <x:c r="P50" s="11" t="n"/>
      <x:c r="Q50" s="11" t="n"/>
      <x:c r="R50" s="11" t="n"/>
      <x:c r="S50" s="11" t="n"/>
      <x:c r="T50" s="11" t="n"/>
      <x:c r="U50" s="12" t="n"/>
      <x:c r="V50" s="12" t="n"/>
      <x:c r="W50" s="12" t="n"/>
      <x:c r="X50" s="12" t="n"/>
      <x:c r="Y50" s="12" t="n"/>
      <x:c r="Z50" s="13">
        <x:f>IF($C50="","",VLOOKUP($C50,Config!$A$2:$Y$4,2,FALSE))</x:f>
      </x:c>
      <x:c r="AA50" s="13">
        <x:f>IF($C50="","",VLOOKUP($C50,Config!$A$2:$Y$4,5,FALSE))</x:f>
      </x:c>
      <x:c r="AB50" s="14">
        <x:f>IF($C50="","",VLOOKUP($C50,Config!$A$2:$Y$4,7,FALSE))</x:f>
      </x:c>
      <x:c r="AC50" s="14">
        <x:f>IF($C50="","",VLOOKUP($C50,Config!$A$2:$Y$4,8,FALSE))</x:f>
      </x:c>
      <x:c r="AD50" s="14">
        <x:f>IF($C50="","",VLOOKUP($C50,Config!$A$2:$Y$4,9,FALSE))</x:f>
      </x:c>
      <x:c r="AE50" s="14">
        <x:f>IF($C50="","",VLOOKUP($C50,Config!$A$2:$Y$4,10,FALSE))</x:f>
      </x:c>
      <x:c r="AF50" s="14">
        <x:f>IF($C50="","",VLOOKUP($C50,Config!$A$2:$Y$4,11,FALSE))</x:f>
      </x:c>
      <x:c r="AG50" s="14">
        <x:f>IF($C50="","",VLOOKUP($C50,Config!$A$2:$Y$4,12,FALSE))</x:f>
      </x:c>
      <x:c r="AH50" s="14">
        <x:f>IF($C50="","",VLOOKUP($C50,Config!$A$2:$Y$4,13,FALSE))</x:f>
      </x:c>
      <x:c r="AI50" s="14">
        <x:f>IF($C50="","",VLOOKUP($C50,Config!$A$2:$Y$4,14,FALSE))</x:f>
      </x:c>
      <x:c r="AJ50" s="14">
        <x:f>IF($C50="","",VLOOKUP($C50,Config!$A$2:$Y$4,15,FALSE))</x:f>
      </x:c>
      <x:c r="AK50" s="14">
        <x:f>IF($C50="","",VLOOKUP($C50,Config!$A$2:$Y$4,16,FALSE))</x:f>
      </x:c>
      <x:c r="AL50" s="14">
        <x:f>IF($C50="","",VLOOKUP($C50,Config!$A$2:$Y$4,17,FALSE))</x:f>
      </x:c>
      <x:c r="AM50" s="14">
        <x:f>IF($C50="","",VLOOKUP($C50,Config!$A$2:$Y$4,18,FALSE))</x:f>
      </x:c>
      <x:c r="AN50" s="14">
        <x:f>IF($C50="","",VLOOKUP($C50,Config!$A$2:$Y$4,19,FALSE))</x:f>
      </x:c>
      <x:c r="AO50" s="14">
        <x:f>IF($C50="","",VLOOKUP($C50,Config!$A$2:$Y$4,20,FALSE))</x:f>
      </x:c>
      <x:c r="AP50" s="14">
        <x:f>IF($C50="","",VLOOKUP($C50,Config!$A$2:$Y$4,21,FALSE))</x:f>
      </x:c>
      <x:c r="AQ50" s="14">
        <x:f>IF($C50="","",VLOOKUP($C50,Config!$A$2:$Y$4,22,FALSE))</x:f>
      </x:c>
      <x:c r="AR50" s="14">
        <x:f>IF($C50="","",VLOOKUP($C50,Config!$A$2:$Y$4,23,FALSE))</x:f>
      </x:c>
      <x:c r="AS50" s="13">
        <x:f>IF($C50="","",IF($H50="Extra",3,IF($H50="I",2,IF($H50="II",1,0)))&gt;=IF($AA50="Extra",3,IF($AA50="I",2,IF($AA50="II",1,0))))</x:f>
      </x:c>
      <x:c r="AT50" s="13">
        <x:f>IF($C50="","",IF($I50="",FALSE,$I50&gt;=$AB50))</x:f>
      </x:c>
      <x:c r="AU50" s="13">
        <x:f>IF($C50="","",IF($AC50="",TRUE,IF($J50="",FALSE,$J50&lt;=$AC50)))</x:f>
      </x:c>
      <x:c r="AV50" s="13">
        <x:f>IF($C50="","",IF($AD50="",TRUE,IF($K50="",FALSE,$K50&lt;=$AD50)))</x:f>
      </x:c>
      <x:c r="AW50" s="13">
        <x:f>IF($C50="","",IF($AE50="",TRUE,IF($L50="",FALSE,$L50&lt;=$AE50)))</x:f>
      </x:c>
      <x:c r="AX50" s="13">
        <x:f>IF($C50="","",IF($AF50="",TRUE,IF($M50="",FALSE,$M50&lt;=$AF50)))</x:f>
      </x:c>
      <x:c r="AY50" s="13">
        <x:f>IF($C50="","",IF($AG50="",TRUE,IF($N50="",FALSE,$N50&gt;=$AG50)))</x:f>
      </x:c>
      <x:c r="AZ50" s="13">
        <x:f>IF($C50="","",IF(OR($AH50="",$AI50=""),TRUE,IF($O50="",FALSE,AND($O50&gt;=$AH50,$O50&lt;=$AI50))))</x:f>
      </x:c>
      <x:c r="BA50" s="13">
        <x:f>IF($C50="","",IF($AJ50="Y",$P50="Y",TRUE))</x:f>
      </x:c>
      <x:c r="BB50" s="13">
        <x:f>IF($C50="","",IF($AK50="Y",$Q50="Y",TRUE))</x:f>
      </x:c>
      <x:c r="BC50" s="13">
        <x:f>IF($C50="","",IF($AL50="Y",$R50="Y",TRUE))</x:f>
      </x:c>
      <x:c r="BD50" s="13">
        <x:f>IF($C50="","",IF($AM50="Y",$S50="Y",TRUE))</x:f>
      </x:c>
      <x:c r="BE50" s="13">
        <x:f>IF($C50="","",IF($AN50="Y",$T50="Y",TRUE))</x:f>
      </x:c>
      <x:c r="BF50" s="13">
        <x:f>IF($C50="","",IF($AO50="",TRUE,IF($U50="",FALSE,$U50&lt;=$AO50)))</x:f>
      </x:c>
      <x:c r="BG50" s="13">
        <x:f>IF($C50="","",IF($AP50="",TRUE,IF($V50="",FALSE,$V50&lt;=$AP50)))</x:f>
      </x:c>
      <x:c r="BH50" s="13">
        <x:f>IF($C50="","",IF($AQ50="",TRUE,IF($W50="",FALSE,$W50&lt;=$AQ50)))</x:f>
      </x:c>
      <x:c r="BI50" s="13">
        <x:f>IF($C50="","",IF($AR50="",TRUE,IF($X50="",FALSE,$X50&lt;=$AR50)))</x:f>
      </x:c>
      <x:c r="BJ50" s="15">
        <x:f>IF($C50="","",IF($Y50="",0,$Y50)+IF($AS50,10,0)+IF($AT50,8,0)+IF($AU50,5,0)+IF($AV50,8,0)+IF($AW50,15,0)+IF($AX50,4,0)+IF($AY50,5,0)+IF($AZ50,10,0)+IF($BA50,8,0)+IF($BB50,4,0)+IF($BC50,6,0)+IF($BD50,3,0)+IF($BE50,2,0)+IF($BF50,2,0)+IF($BG50,2,0)+IF($BH50,2,0)+IF($BI50,1,0))</x:f>
      </x:c>
      <x:c r="BK50" s="15">
        <x:f>IF($C50="","",IF(NOT($AS50),1,0)+IF(NOT($AW50),1,0)+IF(NOT($AZ50),1,0)+IF(NOT($BA50),1,0)+IF(NOT($BB50),1,0)+IF(NOT($BC50),1,0))</x:f>
      </x:c>
      <x:c r="BL50" s="13">
        <x:f>IF($C50="","",IF($BK50&gt;0,"REJECT",IF(COUNTIF($AS50:$BI50,FALSE)=0,"ACCEPT",IF($BJ50&gt;=85,"ACCEPT WITH SORTING / DISCOUNT","REJECT"))))</x:f>
      </x:c>
    </x:row>
    <x:row r="51" ht="24" customHeight="1">
      <x:c r="A51" s="10" t="n"/>
      <x:c r="B51" s="11" t="n"/>
      <x:c r="C51" s="11" t="n"/>
      <x:c r="D51" s="11" t="n"/>
      <x:c r="E51" s="11" t="n"/>
      <x:c r="F51" s="11" t="n"/>
      <x:c r="G51" s="11" t="n"/>
      <x:c r="H51" s="11" t="n"/>
      <x:c r="I51" s="12" t="n"/>
      <x:c r="J51" s="12" t="n"/>
      <x:c r="K51" s="12" t="n"/>
      <x:c r="L51" s="12" t="n"/>
      <x:c r="M51" s="12" t="n"/>
      <x:c r="N51" s="12" t="n"/>
      <x:c r="O51" s="12" t="n"/>
      <x:c r="P51" s="11" t="n"/>
      <x:c r="Q51" s="11" t="n"/>
      <x:c r="R51" s="11" t="n"/>
      <x:c r="S51" s="11" t="n"/>
      <x:c r="T51" s="11" t="n"/>
      <x:c r="U51" s="12" t="n"/>
      <x:c r="V51" s="12" t="n"/>
      <x:c r="W51" s="12" t="n"/>
      <x:c r="X51" s="12" t="n"/>
      <x:c r="Y51" s="12" t="n"/>
      <x:c r="Z51" s="13">
        <x:f>IF($C51="","",VLOOKUP($C51,Config!$A$2:$Y$4,2,FALSE))</x:f>
      </x:c>
      <x:c r="AA51" s="13">
        <x:f>IF($C51="","",VLOOKUP($C51,Config!$A$2:$Y$4,5,FALSE))</x:f>
      </x:c>
      <x:c r="AB51" s="14">
        <x:f>IF($C51="","",VLOOKUP($C51,Config!$A$2:$Y$4,7,FALSE))</x:f>
      </x:c>
      <x:c r="AC51" s="14">
        <x:f>IF($C51="","",VLOOKUP($C51,Config!$A$2:$Y$4,8,FALSE))</x:f>
      </x:c>
      <x:c r="AD51" s="14">
        <x:f>IF($C51="","",VLOOKUP($C51,Config!$A$2:$Y$4,9,FALSE))</x:f>
      </x:c>
      <x:c r="AE51" s="14">
        <x:f>IF($C51="","",VLOOKUP($C51,Config!$A$2:$Y$4,10,FALSE))</x:f>
      </x:c>
      <x:c r="AF51" s="14">
        <x:f>IF($C51="","",VLOOKUP($C51,Config!$A$2:$Y$4,11,FALSE))</x:f>
      </x:c>
      <x:c r="AG51" s="14">
        <x:f>IF($C51="","",VLOOKUP($C51,Config!$A$2:$Y$4,12,FALSE))</x:f>
      </x:c>
      <x:c r="AH51" s="14">
        <x:f>IF($C51="","",VLOOKUP($C51,Config!$A$2:$Y$4,13,FALSE))</x:f>
      </x:c>
      <x:c r="AI51" s="14">
        <x:f>IF($C51="","",VLOOKUP($C51,Config!$A$2:$Y$4,14,FALSE))</x:f>
      </x:c>
      <x:c r="AJ51" s="14">
        <x:f>IF($C51="","",VLOOKUP($C51,Config!$A$2:$Y$4,15,FALSE))</x:f>
      </x:c>
      <x:c r="AK51" s="14">
        <x:f>IF($C51="","",VLOOKUP($C51,Config!$A$2:$Y$4,16,FALSE))</x:f>
      </x:c>
      <x:c r="AL51" s="14">
        <x:f>IF($C51="","",VLOOKUP($C51,Config!$A$2:$Y$4,17,FALSE))</x:f>
      </x:c>
      <x:c r="AM51" s="14">
        <x:f>IF($C51="","",VLOOKUP($C51,Config!$A$2:$Y$4,18,FALSE))</x:f>
      </x:c>
      <x:c r="AN51" s="14">
        <x:f>IF($C51="","",VLOOKUP($C51,Config!$A$2:$Y$4,19,FALSE))</x:f>
      </x:c>
      <x:c r="AO51" s="14">
        <x:f>IF($C51="","",VLOOKUP($C51,Config!$A$2:$Y$4,20,FALSE))</x:f>
      </x:c>
      <x:c r="AP51" s="14">
        <x:f>IF($C51="","",VLOOKUP($C51,Config!$A$2:$Y$4,21,FALSE))</x:f>
      </x:c>
      <x:c r="AQ51" s="14">
        <x:f>IF($C51="","",VLOOKUP($C51,Config!$A$2:$Y$4,22,FALSE))</x:f>
      </x:c>
      <x:c r="AR51" s="14">
        <x:f>IF($C51="","",VLOOKUP($C51,Config!$A$2:$Y$4,23,FALSE))</x:f>
      </x:c>
      <x:c r="AS51" s="13">
        <x:f>IF($C51="","",IF($H51="Extra",3,IF($H51="I",2,IF($H51="II",1,0)))&gt;=IF($AA51="Extra",3,IF($AA51="I",2,IF($AA51="II",1,0))))</x:f>
      </x:c>
      <x:c r="AT51" s="13">
        <x:f>IF($C51="","",IF($I51="",FALSE,$I51&gt;=$AB51))</x:f>
      </x:c>
      <x:c r="AU51" s="13">
        <x:f>IF($C51="","",IF($AC51="",TRUE,IF($J51="",FALSE,$J51&lt;=$AC51)))</x:f>
      </x:c>
      <x:c r="AV51" s="13">
        <x:f>IF($C51="","",IF($AD51="",TRUE,IF($K51="",FALSE,$K51&lt;=$AD51)))</x:f>
      </x:c>
      <x:c r="AW51" s="13">
        <x:f>IF($C51="","",IF($AE51="",TRUE,IF($L51="",FALSE,$L51&lt;=$AE51)))</x:f>
      </x:c>
      <x:c r="AX51" s="13">
        <x:f>IF($C51="","",IF($AF51="",TRUE,IF($M51="",FALSE,$M51&lt;=$AF51)))</x:f>
      </x:c>
      <x:c r="AY51" s="13">
        <x:f>IF($C51="","",IF($AG51="",TRUE,IF($N51="",FALSE,$N51&gt;=$AG51)))</x:f>
      </x:c>
      <x:c r="AZ51" s="13">
        <x:f>IF($C51="","",IF(OR($AH51="",$AI51=""),TRUE,IF($O51="",FALSE,AND($O51&gt;=$AH51,$O51&lt;=$AI51))))</x:f>
      </x:c>
      <x:c r="BA51" s="13">
        <x:f>IF($C51="","",IF($AJ51="Y",$P51="Y",TRUE))</x:f>
      </x:c>
      <x:c r="BB51" s="13">
        <x:f>IF($C51="","",IF($AK51="Y",$Q51="Y",TRUE))</x:f>
      </x:c>
      <x:c r="BC51" s="13">
        <x:f>IF($C51="","",IF($AL51="Y",$R51="Y",TRUE))</x:f>
      </x:c>
      <x:c r="BD51" s="13">
        <x:f>IF($C51="","",IF($AM51="Y",$S51="Y",TRUE))</x:f>
      </x:c>
      <x:c r="BE51" s="13">
        <x:f>IF($C51="","",IF($AN51="Y",$T51="Y",TRUE))</x:f>
      </x:c>
      <x:c r="BF51" s="13">
        <x:f>IF($C51="","",IF($AO51="",TRUE,IF($U51="",FALSE,$U51&lt;=$AO51)))</x:f>
      </x:c>
      <x:c r="BG51" s="13">
        <x:f>IF($C51="","",IF($AP51="",TRUE,IF($V51="",FALSE,$V51&lt;=$AP51)))</x:f>
      </x:c>
      <x:c r="BH51" s="13">
        <x:f>IF($C51="","",IF($AQ51="",TRUE,IF($W51="",FALSE,$W51&lt;=$AQ51)))</x:f>
      </x:c>
      <x:c r="BI51" s="13">
        <x:f>IF($C51="","",IF($AR51="",TRUE,IF($X51="",FALSE,$X51&lt;=$AR51)))</x:f>
      </x:c>
      <x:c r="BJ51" s="15">
        <x:f>IF($C51="","",IF($Y51="",0,$Y51)+IF($AS51,10,0)+IF($AT51,8,0)+IF($AU51,5,0)+IF($AV51,8,0)+IF($AW51,15,0)+IF($AX51,4,0)+IF($AY51,5,0)+IF($AZ51,10,0)+IF($BA51,8,0)+IF($BB51,4,0)+IF($BC51,6,0)+IF($BD51,3,0)+IF($BE51,2,0)+IF($BF51,2,0)+IF($BG51,2,0)+IF($BH51,2,0)+IF($BI51,1,0))</x:f>
      </x:c>
      <x:c r="BK51" s="15">
        <x:f>IF($C51="","",IF(NOT($AS51),1,0)+IF(NOT($AW51),1,0)+IF(NOT($AZ51),1,0)+IF(NOT($BA51),1,0)+IF(NOT($BB51),1,0)+IF(NOT($BC51),1,0))</x:f>
      </x:c>
      <x:c r="BL51" s="13">
        <x:f>IF($C51="","",IF($BK51&gt;0,"REJECT",IF(COUNTIF($AS51:$BI51,FALSE)=0,"ACCEPT",IF($BJ51&gt;=85,"ACCEPT WITH SORTING / DISCOUNT","REJECT"))))</x:f>
      </x:c>
    </x:row>
    <x:row r="52" ht="24" customHeight="1">
      <x:c r="A52" s="10" t="n"/>
      <x:c r="B52" s="11" t="n"/>
      <x:c r="C52" s="11" t="n"/>
      <x:c r="D52" s="11" t="n"/>
      <x:c r="E52" s="11" t="n"/>
      <x:c r="F52" s="11" t="n"/>
      <x:c r="G52" s="11" t="n"/>
      <x:c r="H52" s="11" t="n"/>
      <x:c r="I52" s="12" t="n"/>
      <x:c r="J52" s="12" t="n"/>
      <x:c r="K52" s="12" t="n"/>
      <x:c r="L52" s="12" t="n"/>
      <x:c r="M52" s="12" t="n"/>
      <x:c r="N52" s="12" t="n"/>
      <x:c r="O52" s="12" t="n"/>
      <x:c r="P52" s="11" t="n"/>
      <x:c r="Q52" s="11" t="n"/>
      <x:c r="R52" s="11" t="n"/>
      <x:c r="S52" s="11" t="n"/>
      <x:c r="T52" s="11" t="n"/>
      <x:c r="U52" s="12" t="n"/>
      <x:c r="V52" s="12" t="n"/>
      <x:c r="W52" s="12" t="n"/>
      <x:c r="X52" s="12" t="n"/>
      <x:c r="Y52" s="12" t="n"/>
      <x:c r="Z52" s="13">
        <x:f>IF($C52="","",VLOOKUP($C52,Config!$A$2:$Y$4,2,FALSE))</x:f>
      </x:c>
      <x:c r="AA52" s="13">
        <x:f>IF($C52="","",VLOOKUP($C52,Config!$A$2:$Y$4,5,FALSE))</x:f>
      </x:c>
      <x:c r="AB52" s="14">
        <x:f>IF($C52="","",VLOOKUP($C52,Config!$A$2:$Y$4,7,FALSE))</x:f>
      </x:c>
      <x:c r="AC52" s="14">
        <x:f>IF($C52="","",VLOOKUP($C52,Config!$A$2:$Y$4,8,FALSE))</x:f>
      </x:c>
      <x:c r="AD52" s="14">
        <x:f>IF($C52="","",VLOOKUP($C52,Config!$A$2:$Y$4,9,FALSE))</x:f>
      </x:c>
      <x:c r="AE52" s="14">
        <x:f>IF($C52="","",VLOOKUP($C52,Config!$A$2:$Y$4,10,FALSE))</x:f>
      </x:c>
      <x:c r="AF52" s="14">
        <x:f>IF($C52="","",VLOOKUP($C52,Config!$A$2:$Y$4,11,FALSE))</x:f>
      </x:c>
      <x:c r="AG52" s="14">
        <x:f>IF($C52="","",VLOOKUP($C52,Config!$A$2:$Y$4,12,FALSE))</x:f>
      </x:c>
      <x:c r="AH52" s="14">
        <x:f>IF($C52="","",VLOOKUP($C52,Config!$A$2:$Y$4,13,FALSE))</x:f>
      </x:c>
      <x:c r="AI52" s="14">
        <x:f>IF($C52="","",VLOOKUP($C52,Config!$A$2:$Y$4,14,FALSE))</x:f>
      </x:c>
      <x:c r="AJ52" s="14">
        <x:f>IF($C52="","",VLOOKUP($C52,Config!$A$2:$Y$4,15,FALSE))</x:f>
      </x:c>
      <x:c r="AK52" s="14">
        <x:f>IF($C52="","",VLOOKUP($C52,Config!$A$2:$Y$4,16,FALSE))</x:f>
      </x:c>
      <x:c r="AL52" s="14">
        <x:f>IF($C52="","",VLOOKUP($C52,Config!$A$2:$Y$4,17,FALSE))</x:f>
      </x:c>
      <x:c r="AM52" s="14">
        <x:f>IF($C52="","",VLOOKUP($C52,Config!$A$2:$Y$4,18,FALSE))</x:f>
      </x:c>
      <x:c r="AN52" s="14">
        <x:f>IF($C52="","",VLOOKUP($C52,Config!$A$2:$Y$4,19,FALSE))</x:f>
      </x:c>
      <x:c r="AO52" s="14">
        <x:f>IF($C52="","",VLOOKUP($C52,Config!$A$2:$Y$4,20,FALSE))</x:f>
      </x:c>
      <x:c r="AP52" s="14">
        <x:f>IF($C52="","",VLOOKUP($C52,Config!$A$2:$Y$4,21,FALSE))</x:f>
      </x:c>
      <x:c r="AQ52" s="14">
        <x:f>IF($C52="","",VLOOKUP($C52,Config!$A$2:$Y$4,22,FALSE))</x:f>
      </x:c>
      <x:c r="AR52" s="14">
        <x:f>IF($C52="","",VLOOKUP($C52,Config!$A$2:$Y$4,23,FALSE))</x:f>
      </x:c>
      <x:c r="AS52" s="13">
        <x:f>IF($C52="","",IF($H52="Extra",3,IF($H52="I",2,IF($H52="II",1,0)))&gt;=IF($AA52="Extra",3,IF($AA52="I",2,IF($AA52="II",1,0))))</x:f>
      </x:c>
      <x:c r="AT52" s="13">
        <x:f>IF($C52="","",IF($I52="",FALSE,$I52&gt;=$AB52))</x:f>
      </x:c>
      <x:c r="AU52" s="13">
        <x:f>IF($C52="","",IF($AC52="",TRUE,IF($J52="",FALSE,$J52&lt;=$AC52)))</x:f>
      </x:c>
      <x:c r="AV52" s="13">
        <x:f>IF($C52="","",IF($AD52="",TRUE,IF($K52="",FALSE,$K52&lt;=$AD52)))</x:f>
      </x:c>
      <x:c r="AW52" s="13">
        <x:f>IF($C52="","",IF($AE52="",TRUE,IF($L52="",FALSE,$L52&lt;=$AE52)))</x:f>
      </x:c>
      <x:c r="AX52" s="13">
        <x:f>IF($C52="","",IF($AF52="",TRUE,IF($M52="",FALSE,$M52&lt;=$AF52)))</x:f>
      </x:c>
      <x:c r="AY52" s="13">
        <x:f>IF($C52="","",IF($AG52="",TRUE,IF($N52="",FALSE,$N52&gt;=$AG52)))</x:f>
      </x:c>
      <x:c r="AZ52" s="13">
        <x:f>IF($C52="","",IF(OR($AH52="",$AI52=""),TRUE,IF($O52="",FALSE,AND($O52&gt;=$AH52,$O52&lt;=$AI52))))</x:f>
      </x:c>
      <x:c r="BA52" s="13">
        <x:f>IF($C52="","",IF($AJ52="Y",$P52="Y",TRUE))</x:f>
      </x:c>
      <x:c r="BB52" s="13">
        <x:f>IF($C52="","",IF($AK52="Y",$Q52="Y",TRUE))</x:f>
      </x:c>
      <x:c r="BC52" s="13">
        <x:f>IF($C52="","",IF($AL52="Y",$R52="Y",TRUE))</x:f>
      </x:c>
      <x:c r="BD52" s="13">
        <x:f>IF($C52="","",IF($AM52="Y",$S52="Y",TRUE))</x:f>
      </x:c>
      <x:c r="BE52" s="13">
        <x:f>IF($C52="","",IF($AN52="Y",$T52="Y",TRUE))</x:f>
      </x:c>
      <x:c r="BF52" s="13">
        <x:f>IF($C52="","",IF($AO52="",TRUE,IF($U52="",FALSE,$U52&lt;=$AO52)))</x:f>
      </x:c>
      <x:c r="BG52" s="13">
        <x:f>IF($C52="","",IF($AP52="",TRUE,IF($V52="",FALSE,$V52&lt;=$AP52)))</x:f>
      </x:c>
      <x:c r="BH52" s="13">
        <x:f>IF($C52="","",IF($AQ52="",TRUE,IF($W52="",FALSE,$W52&lt;=$AQ52)))</x:f>
      </x:c>
      <x:c r="BI52" s="13">
        <x:f>IF($C52="","",IF($AR52="",TRUE,IF($X52="",FALSE,$X52&lt;=$AR52)))</x:f>
      </x:c>
      <x:c r="BJ52" s="15">
        <x:f>IF($C52="","",IF($Y52="",0,$Y52)+IF($AS52,10,0)+IF($AT52,8,0)+IF($AU52,5,0)+IF($AV52,8,0)+IF($AW52,15,0)+IF($AX52,4,0)+IF($AY52,5,0)+IF($AZ52,10,0)+IF($BA52,8,0)+IF($BB52,4,0)+IF($BC52,6,0)+IF($BD52,3,0)+IF($BE52,2,0)+IF($BF52,2,0)+IF($BG52,2,0)+IF($BH52,2,0)+IF($BI52,1,0))</x:f>
      </x:c>
      <x:c r="BK52" s="15">
        <x:f>IF($C52="","",IF(NOT($AS52),1,0)+IF(NOT($AW52),1,0)+IF(NOT($AZ52),1,0)+IF(NOT($BA52),1,0)+IF(NOT($BB52),1,0)+IF(NOT($BC52),1,0))</x:f>
      </x:c>
      <x:c r="BL52" s="13">
        <x:f>IF($C52="","",IF($BK52&gt;0,"REJECT",IF(COUNTIF($AS52:$BI52,FALSE)=0,"ACCEPT",IF($BJ52&gt;=85,"ACCEPT WITH SORTING / DISCOUNT","REJECT"))))</x:f>
      </x:c>
    </x:row>
    <x:row r="53" ht="24" customHeight="1">
      <x:c r="A53" s="10" t="n"/>
      <x:c r="B53" s="11" t="n"/>
      <x:c r="C53" s="11" t="n"/>
      <x:c r="D53" s="11" t="n"/>
      <x:c r="E53" s="11" t="n"/>
      <x:c r="F53" s="11" t="n"/>
      <x:c r="G53" s="11" t="n"/>
      <x:c r="H53" s="11" t="n"/>
      <x:c r="I53" s="12" t="n"/>
      <x:c r="J53" s="12" t="n"/>
      <x:c r="K53" s="12" t="n"/>
      <x:c r="L53" s="12" t="n"/>
      <x:c r="M53" s="12" t="n"/>
      <x:c r="N53" s="12" t="n"/>
      <x:c r="O53" s="12" t="n"/>
      <x:c r="P53" s="11" t="n"/>
      <x:c r="Q53" s="11" t="n"/>
      <x:c r="R53" s="11" t="n"/>
      <x:c r="S53" s="11" t="n"/>
      <x:c r="T53" s="11" t="n"/>
      <x:c r="U53" s="12" t="n"/>
      <x:c r="V53" s="12" t="n"/>
      <x:c r="W53" s="12" t="n"/>
      <x:c r="X53" s="12" t="n"/>
      <x:c r="Y53" s="12" t="n"/>
      <x:c r="Z53" s="13">
        <x:f>IF($C53="","",VLOOKUP($C53,Config!$A$2:$Y$4,2,FALSE))</x:f>
      </x:c>
      <x:c r="AA53" s="13">
        <x:f>IF($C53="","",VLOOKUP($C53,Config!$A$2:$Y$4,5,FALSE))</x:f>
      </x:c>
      <x:c r="AB53" s="14">
        <x:f>IF($C53="","",VLOOKUP($C53,Config!$A$2:$Y$4,7,FALSE))</x:f>
      </x:c>
      <x:c r="AC53" s="14">
        <x:f>IF($C53="","",VLOOKUP($C53,Config!$A$2:$Y$4,8,FALSE))</x:f>
      </x:c>
      <x:c r="AD53" s="14">
        <x:f>IF($C53="","",VLOOKUP($C53,Config!$A$2:$Y$4,9,FALSE))</x:f>
      </x:c>
      <x:c r="AE53" s="14">
        <x:f>IF($C53="","",VLOOKUP($C53,Config!$A$2:$Y$4,10,FALSE))</x:f>
      </x:c>
      <x:c r="AF53" s="14">
        <x:f>IF($C53="","",VLOOKUP($C53,Config!$A$2:$Y$4,11,FALSE))</x:f>
      </x:c>
      <x:c r="AG53" s="14">
        <x:f>IF($C53="","",VLOOKUP($C53,Config!$A$2:$Y$4,12,FALSE))</x:f>
      </x:c>
      <x:c r="AH53" s="14">
        <x:f>IF($C53="","",VLOOKUP($C53,Config!$A$2:$Y$4,13,FALSE))</x:f>
      </x:c>
      <x:c r="AI53" s="14">
        <x:f>IF($C53="","",VLOOKUP($C53,Config!$A$2:$Y$4,14,FALSE))</x:f>
      </x:c>
      <x:c r="AJ53" s="14">
        <x:f>IF($C53="","",VLOOKUP($C53,Config!$A$2:$Y$4,15,FALSE))</x:f>
      </x:c>
      <x:c r="AK53" s="14">
        <x:f>IF($C53="","",VLOOKUP($C53,Config!$A$2:$Y$4,16,FALSE))</x:f>
      </x:c>
      <x:c r="AL53" s="14">
        <x:f>IF($C53="","",VLOOKUP($C53,Config!$A$2:$Y$4,17,FALSE))</x:f>
      </x:c>
      <x:c r="AM53" s="14">
        <x:f>IF($C53="","",VLOOKUP($C53,Config!$A$2:$Y$4,18,FALSE))</x:f>
      </x:c>
      <x:c r="AN53" s="14">
        <x:f>IF($C53="","",VLOOKUP($C53,Config!$A$2:$Y$4,19,FALSE))</x:f>
      </x:c>
      <x:c r="AO53" s="14">
        <x:f>IF($C53="","",VLOOKUP($C53,Config!$A$2:$Y$4,20,FALSE))</x:f>
      </x:c>
      <x:c r="AP53" s="14">
        <x:f>IF($C53="","",VLOOKUP($C53,Config!$A$2:$Y$4,21,FALSE))</x:f>
      </x:c>
      <x:c r="AQ53" s="14">
        <x:f>IF($C53="","",VLOOKUP($C53,Config!$A$2:$Y$4,22,FALSE))</x:f>
      </x:c>
      <x:c r="AR53" s="14">
        <x:f>IF($C53="","",VLOOKUP($C53,Config!$A$2:$Y$4,23,FALSE))</x:f>
      </x:c>
      <x:c r="AS53" s="13">
        <x:f>IF($C53="","",IF($H53="Extra",3,IF($H53="I",2,IF($H53="II",1,0)))&gt;=IF($AA53="Extra",3,IF($AA53="I",2,IF($AA53="II",1,0))))</x:f>
      </x:c>
      <x:c r="AT53" s="13">
        <x:f>IF($C53="","",IF($I53="",FALSE,$I53&gt;=$AB53))</x:f>
      </x:c>
      <x:c r="AU53" s="13">
        <x:f>IF($C53="","",IF($AC53="",TRUE,IF($J53="",FALSE,$J53&lt;=$AC53)))</x:f>
      </x:c>
      <x:c r="AV53" s="13">
        <x:f>IF($C53="","",IF($AD53="",TRUE,IF($K53="",FALSE,$K53&lt;=$AD53)))</x:f>
      </x:c>
      <x:c r="AW53" s="13">
        <x:f>IF($C53="","",IF($AE53="",TRUE,IF($L53="",FALSE,$L53&lt;=$AE53)))</x:f>
      </x:c>
      <x:c r="AX53" s="13">
        <x:f>IF($C53="","",IF($AF53="",TRUE,IF($M53="",FALSE,$M53&lt;=$AF53)))</x:f>
      </x:c>
      <x:c r="AY53" s="13">
        <x:f>IF($C53="","",IF($AG53="",TRUE,IF($N53="",FALSE,$N53&gt;=$AG53)))</x:f>
      </x:c>
      <x:c r="AZ53" s="13">
        <x:f>IF($C53="","",IF(OR($AH53="",$AI53=""),TRUE,IF($O53="",FALSE,AND($O53&gt;=$AH53,$O53&lt;=$AI53))))</x:f>
      </x:c>
      <x:c r="BA53" s="13">
        <x:f>IF($C53="","",IF($AJ53="Y",$P53="Y",TRUE))</x:f>
      </x:c>
      <x:c r="BB53" s="13">
        <x:f>IF($C53="","",IF($AK53="Y",$Q53="Y",TRUE))</x:f>
      </x:c>
      <x:c r="BC53" s="13">
        <x:f>IF($C53="","",IF($AL53="Y",$R53="Y",TRUE))</x:f>
      </x:c>
      <x:c r="BD53" s="13">
        <x:f>IF($C53="","",IF($AM53="Y",$S53="Y",TRUE))</x:f>
      </x:c>
      <x:c r="BE53" s="13">
        <x:f>IF($C53="","",IF($AN53="Y",$T53="Y",TRUE))</x:f>
      </x:c>
      <x:c r="BF53" s="13">
        <x:f>IF($C53="","",IF($AO53="",TRUE,IF($U53="",FALSE,$U53&lt;=$AO53)))</x:f>
      </x:c>
      <x:c r="BG53" s="13">
        <x:f>IF($C53="","",IF($AP53="",TRUE,IF($V53="",FALSE,$V53&lt;=$AP53)))</x:f>
      </x:c>
      <x:c r="BH53" s="13">
        <x:f>IF($C53="","",IF($AQ53="",TRUE,IF($W53="",FALSE,$W53&lt;=$AQ53)))</x:f>
      </x:c>
      <x:c r="BI53" s="13">
        <x:f>IF($C53="","",IF($AR53="",TRUE,IF($X53="",FALSE,$X53&lt;=$AR53)))</x:f>
      </x:c>
      <x:c r="BJ53" s="15">
        <x:f>IF($C53="","",IF($Y53="",0,$Y53)+IF($AS53,10,0)+IF($AT53,8,0)+IF($AU53,5,0)+IF($AV53,8,0)+IF($AW53,15,0)+IF($AX53,4,0)+IF($AY53,5,0)+IF($AZ53,10,0)+IF($BA53,8,0)+IF($BB53,4,0)+IF($BC53,6,0)+IF($BD53,3,0)+IF($BE53,2,0)+IF($BF53,2,0)+IF($BG53,2,0)+IF($BH53,2,0)+IF($BI53,1,0))</x:f>
      </x:c>
      <x:c r="BK53" s="15">
        <x:f>IF($C53="","",IF(NOT($AS53),1,0)+IF(NOT($AW53),1,0)+IF(NOT($AZ53),1,0)+IF(NOT($BA53),1,0)+IF(NOT($BB53),1,0)+IF(NOT($BC53),1,0))</x:f>
      </x:c>
      <x:c r="BL53" s="13">
        <x:f>IF($C53="","",IF($BK53&gt;0,"REJECT",IF(COUNTIF($AS53:$BI53,FALSE)=0,"ACCEPT",IF($BJ53&gt;=85,"ACCEPT WITH SORTING / DISCOUNT","REJECT"))))</x:f>
      </x:c>
    </x:row>
    <x:row r="54" ht="24" customHeight="1">
      <x:c r="A54" s="10" t="n"/>
      <x:c r="B54" s="11" t="n"/>
      <x:c r="C54" s="11" t="n"/>
      <x:c r="D54" s="11" t="n"/>
      <x:c r="E54" s="11" t="n"/>
      <x:c r="F54" s="11" t="n"/>
      <x:c r="G54" s="11" t="n"/>
      <x:c r="H54" s="11" t="n"/>
      <x:c r="I54" s="12" t="n"/>
      <x:c r="J54" s="12" t="n"/>
      <x:c r="K54" s="12" t="n"/>
      <x:c r="L54" s="12" t="n"/>
      <x:c r="M54" s="12" t="n"/>
      <x:c r="N54" s="12" t="n"/>
      <x:c r="O54" s="12" t="n"/>
      <x:c r="P54" s="11" t="n"/>
      <x:c r="Q54" s="11" t="n"/>
      <x:c r="R54" s="11" t="n"/>
      <x:c r="S54" s="11" t="n"/>
      <x:c r="T54" s="11" t="n"/>
      <x:c r="U54" s="12" t="n"/>
      <x:c r="V54" s="12" t="n"/>
      <x:c r="W54" s="12" t="n"/>
      <x:c r="X54" s="12" t="n"/>
      <x:c r="Y54" s="12" t="n"/>
      <x:c r="Z54" s="13">
        <x:f>IF($C54="","",VLOOKUP($C54,Config!$A$2:$Y$4,2,FALSE))</x:f>
      </x:c>
      <x:c r="AA54" s="13">
        <x:f>IF($C54="","",VLOOKUP($C54,Config!$A$2:$Y$4,5,FALSE))</x:f>
      </x:c>
      <x:c r="AB54" s="14">
        <x:f>IF($C54="","",VLOOKUP($C54,Config!$A$2:$Y$4,7,FALSE))</x:f>
      </x:c>
      <x:c r="AC54" s="14">
        <x:f>IF($C54="","",VLOOKUP($C54,Config!$A$2:$Y$4,8,FALSE))</x:f>
      </x:c>
      <x:c r="AD54" s="14">
        <x:f>IF($C54="","",VLOOKUP($C54,Config!$A$2:$Y$4,9,FALSE))</x:f>
      </x:c>
      <x:c r="AE54" s="14">
        <x:f>IF($C54="","",VLOOKUP($C54,Config!$A$2:$Y$4,10,FALSE))</x:f>
      </x:c>
      <x:c r="AF54" s="14">
        <x:f>IF($C54="","",VLOOKUP($C54,Config!$A$2:$Y$4,11,FALSE))</x:f>
      </x:c>
      <x:c r="AG54" s="14">
        <x:f>IF($C54="","",VLOOKUP($C54,Config!$A$2:$Y$4,12,FALSE))</x:f>
      </x:c>
      <x:c r="AH54" s="14">
        <x:f>IF($C54="","",VLOOKUP($C54,Config!$A$2:$Y$4,13,FALSE))</x:f>
      </x:c>
      <x:c r="AI54" s="14">
        <x:f>IF($C54="","",VLOOKUP($C54,Config!$A$2:$Y$4,14,FALSE))</x:f>
      </x:c>
      <x:c r="AJ54" s="14">
        <x:f>IF($C54="","",VLOOKUP($C54,Config!$A$2:$Y$4,15,FALSE))</x:f>
      </x:c>
      <x:c r="AK54" s="14">
        <x:f>IF($C54="","",VLOOKUP($C54,Config!$A$2:$Y$4,16,FALSE))</x:f>
      </x:c>
      <x:c r="AL54" s="14">
        <x:f>IF($C54="","",VLOOKUP($C54,Config!$A$2:$Y$4,17,FALSE))</x:f>
      </x:c>
      <x:c r="AM54" s="14">
        <x:f>IF($C54="","",VLOOKUP($C54,Config!$A$2:$Y$4,18,FALSE))</x:f>
      </x:c>
      <x:c r="AN54" s="14">
        <x:f>IF($C54="","",VLOOKUP($C54,Config!$A$2:$Y$4,19,FALSE))</x:f>
      </x:c>
      <x:c r="AO54" s="14">
        <x:f>IF($C54="","",VLOOKUP($C54,Config!$A$2:$Y$4,20,FALSE))</x:f>
      </x:c>
      <x:c r="AP54" s="14">
        <x:f>IF($C54="","",VLOOKUP($C54,Config!$A$2:$Y$4,21,FALSE))</x:f>
      </x:c>
      <x:c r="AQ54" s="14">
        <x:f>IF($C54="","",VLOOKUP($C54,Config!$A$2:$Y$4,22,FALSE))</x:f>
      </x:c>
      <x:c r="AR54" s="14">
        <x:f>IF($C54="","",VLOOKUP($C54,Config!$A$2:$Y$4,23,FALSE))</x:f>
      </x:c>
      <x:c r="AS54" s="13">
        <x:f>IF($C54="","",IF($H54="Extra",3,IF($H54="I",2,IF($H54="II",1,0)))&gt;=IF($AA54="Extra",3,IF($AA54="I",2,IF($AA54="II",1,0))))</x:f>
      </x:c>
      <x:c r="AT54" s="13">
        <x:f>IF($C54="","",IF($I54="",FALSE,$I54&gt;=$AB54))</x:f>
      </x:c>
      <x:c r="AU54" s="13">
        <x:f>IF($C54="","",IF($AC54="",TRUE,IF($J54="",FALSE,$J54&lt;=$AC54)))</x:f>
      </x:c>
      <x:c r="AV54" s="13">
        <x:f>IF($C54="","",IF($AD54="",TRUE,IF($K54="",FALSE,$K54&lt;=$AD54)))</x:f>
      </x:c>
      <x:c r="AW54" s="13">
        <x:f>IF($C54="","",IF($AE54="",TRUE,IF($L54="",FALSE,$L54&lt;=$AE54)))</x:f>
      </x:c>
      <x:c r="AX54" s="13">
        <x:f>IF($C54="","",IF($AF54="",TRUE,IF($M54="",FALSE,$M54&lt;=$AF54)))</x:f>
      </x:c>
      <x:c r="AY54" s="13">
        <x:f>IF($C54="","",IF($AG54="",TRUE,IF($N54="",FALSE,$N54&gt;=$AG54)))</x:f>
      </x:c>
      <x:c r="AZ54" s="13">
        <x:f>IF($C54="","",IF(OR($AH54="",$AI54=""),TRUE,IF($O54="",FALSE,AND($O54&gt;=$AH54,$O54&lt;=$AI54))))</x:f>
      </x:c>
      <x:c r="BA54" s="13">
        <x:f>IF($C54="","",IF($AJ54="Y",$P54="Y",TRUE))</x:f>
      </x:c>
      <x:c r="BB54" s="13">
        <x:f>IF($C54="","",IF($AK54="Y",$Q54="Y",TRUE))</x:f>
      </x:c>
      <x:c r="BC54" s="13">
        <x:f>IF($C54="","",IF($AL54="Y",$R54="Y",TRUE))</x:f>
      </x:c>
      <x:c r="BD54" s="13">
        <x:f>IF($C54="","",IF($AM54="Y",$S54="Y",TRUE))</x:f>
      </x:c>
      <x:c r="BE54" s="13">
        <x:f>IF($C54="","",IF($AN54="Y",$T54="Y",TRUE))</x:f>
      </x:c>
      <x:c r="BF54" s="13">
        <x:f>IF($C54="","",IF($AO54="",TRUE,IF($U54="",FALSE,$U54&lt;=$AO54)))</x:f>
      </x:c>
      <x:c r="BG54" s="13">
        <x:f>IF($C54="","",IF($AP54="",TRUE,IF($V54="",FALSE,$V54&lt;=$AP54)))</x:f>
      </x:c>
      <x:c r="BH54" s="13">
        <x:f>IF($C54="","",IF($AQ54="",TRUE,IF($W54="",FALSE,$W54&lt;=$AQ54)))</x:f>
      </x:c>
      <x:c r="BI54" s="13">
        <x:f>IF($C54="","",IF($AR54="",TRUE,IF($X54="",FALSE,$X54&lt;=$AR54)))</x:f>
      </x:c>
      <x:c r="BJ54" s="15">
        <x:f>IF($C54="","",IF($Y54="",0,$Y54)+IF($AS54,10,0)+IF($AT54,8,0)+IF($AU54,5,0)+IF($AV54,8,0)+IF($AW54,15,0)+IF($AX54,4,0)+IF($AY54,5,0)+IF($AZ54,10,0)+IF($BA54,8,0)+IF($BB54,4,0)+IF($BC54,6,0)+IF($BD54,3,0)+IF($BE54,2,0)+IF($BF54,2,0)+IF($BG54,2,0)+IF($BH54,2,0)+IF($BI54,1,0))</x:f>
      </x:c>
      <x:c r="BK54" s="15">
        <x:f>IF($C54="","",IF(NOT($AS54),1,0)+IF(NOT($AW54),1,0)+IF(NOT($AZ54),1,0)+IF(NOT($BA54),1,0)+IF(NOT($BB54),1,0)+IF(NOT($BC54),1,0))</x:f>
      </x:c>
      <x:c r="BL54" s="13">
        <x:f>IF($C54="","",IF($BK54&gt;0,"REJECT",IF(COUNTIF($AS54:$BI54,FALSE)=0,"ACCEPT",IF($BJ54&gt;=85,"ACCEPT WITH SORTING / DISCOUNT","REJECT"))))</x:f>
      </x:c>
    </x:row>
    <x:row r="55" ht="24" customHeight="1">
      <x:c r="A55" s="10" t="n"/>
      <x:c r="B55" s="11" t="n"/>
      <x:c r="C55" s="11" t="n"/>
      <x:c r="D55" s="11" t="n"/>
      <x:c r="E55" s="11" t="n"/>
      <x:c r="F55" s="11" t="n"/>
      <x:c r="G55" s="11" t="n"/>
      <x:c r="H55" s="11" t="n"/>
      <x:c r="I55" s="12" t="n"/>
      <x:c r="J55" s="12" t="n"/>
      <x:c r="K55" s="12" t="n"/>
      <x:c r="L55" s="12" t="n"/>
      <x:c r="M55" s="12" t="n"/>
      <x:c r="N55" s="12" t="n"/>
      <x:c r="O55" s="12" t="n"/>
      <x:c r="P55" s="11" t="n"/>
      <x:c r="Q55" s="11" t="n"/>
      <x:c r="R55" s="11" t="n"/>
      <x:c r="S55" s="11" t="n"/>
      <x:c r="T55" s="11" t="n"/>
      <x:c r="U55" s="12" t="n"/>
      <x:c r="V55" s="12" t="n"/>
      <x:c r="W55" s="12" t="n"/>
      <x:c r="X55" s="12" t="n"/>
      <x:c r="Y55" s="12" t="n"/>
      <x:c r="Z55" s="13">
        <x:f>IF($C55="","",VLOOKUP($C55,Config!$A$2:$Y$4,2,FALSE))</x:f>
      </x:c>
      <x:c r="AA55" s="13">
        <x:f>IF($C55="","",VLOOKUP($C55,Config!$A$2:$Y$4,5,FALSE))</x:f>
      </x:c>
      <x:c r="AB55" s="14">
        <x:f>IF($C55="","",VLOOKUP($C55,Config!$A$2:$Y$4,7,FALSE))</x:f>
      </x:c>
      <x:c r="AC55" s="14">
        <x:f>IF($C55="","",VLOOKUP($C55,Config!$A$2:$Y$4,8,FALSE))</x:f>
      </x:c>
      <x:c r="AD55" s="14">
        <x:f>IF($C55="","",VLOOKUP($C55,Config!$A$2:$Y$4,9,FALSE))</x:f>
      </x:c>
      <x:c r="AE55" s="14">
        <x:f>IF($C55="","",VLOOKUP($C55,Config!$A$2:$Y$4,10,FALSE))</x:f>
      </x:c>
      <x:c r="AF55" s="14">
        <x:f>IF($C55="","",VLOOKUP($C55,Config!$A$2:$Y$4,11,FALSE))</x:f>
      </x:c>
      <x:c r="AG55" s="14">
        <x:f>IF($C55="","",VLOOKUP($C55,Config!$A$2:$Y$4,12,FALSE))</x:f>
      </x:c>
      <x:c r="AH55" s="14">
        <x:f>IF($C55="","",VLOOKUP($C55,Config!$A$2:$Y$4,13,FALSE))</x:f>
      </x:c>
      <x:c r="AI55" s="14">
        <x:f>IF($C55="","",VLOOKUP($C55,Config!$A$2:$Y$4,14,FALSE))</x:f>
      </x:c>
      <x:c r="AJ55" s="14">
        <x:f>IF($C55="","",VLOOKUP($C55,Config!$A$2:$Y$4,15,FALSE))</x:f>
      </x:c>
      <x:c r="AK55" s="14">
        <x:f>IF($C55="","",VLOOKUP($C55,Config!$A$2:$Y$4,16,FALSE))</x:f>
      </x:c>
      <x:c r="AL55" s="14">
        <x:f>IF($C55="","",VLOOKUP($C55,Config!$A$2:$Y$4,17,FALSE))</x:f>
      </x:c>
      <x:c r="AM55" s="14">
        <x:f>IF($C55="","",VLOOKUP($C55,Config!$A$2:$Y$4,18,FALSE))</x:f>
      </x:c>
      <x:c r="AN55" s="14">
        <x:f>IF($C55="","",VLOOKUP($C55,Config!$A$2:$Y$4,19,FALSE))</x:f>
      </x:c>
      <x:c r="AO55" s="14">
        <x:f>IF($C55="","",VLOOKUP($C55,Config!$A$2:$Y$4,20,FALSE))</x:f>
      </x:c>
      <x:c r="AP55" s="14">
        <x:f>IF($C55="","",VLOOKUP($C55,Config!$A$2:$Y$4,21,FALSE))</x:f>
      </x:c>
      <x:c r="AQ55" s="14">
        <x:f>IF($C55="","",VLOOKUP($C55,Config!$A$2:$Y$4,22,FALSE))</x:f>
      </x:c>
      <x:c r="AR55" s="14">
        <x:f>IF($C55="","",VLOOKUP($C55,Config!$A$2:$Y$4,23,FALSE))</x:f>
      </x:c>
      <x:c r="AS55" s="13">
        <x:f>IF($C55="","",IF($H55="Extra",3,IF($H55="I",2,IF($H55="II",1,0)))&gt;=IF($AA55="Extra",3,IF($AA55="I",2,IF($AA55="II",1,0))))</x:f>
      </x:c>
      <x:c r="AT55" s="13">
        <x:f>IF($C55="","",IF($I55="",FALSE,$I55&gt;=$AB55))</x:f>
      </x:c>
      <x:c r="AU55" s="13">
        <x:f>IF($C55="","",IF($AC55="",TRUE,IF($J55="",FALSE,$J55&lt;=$AC55)))</x:f>
      </x:c>
      <x:c r="AV55" s="13">
        <x:f>IF($C55="","",IF($AD55="",TRUE,IF($K55="",FALSE,$K55&lt;=$AD55)))</x:f>
      </x:c>
      <x:c r="AW55" s="13">
        <x:f>IF($C55="","",IF($AE55="",TRUE,IF($L55="",FALSE,$L55&lt;=$AE55)))</x:f>
      </x:c>
      <x:c r="AX55" s="13">
        <x:f>IF($C55="","",IF($AF55="",TRUE,IF($M55="",FALSE,$M55&lt;=$AF55)))</x:f>
      </x:c>
      <x:c r="AY55" s="13">
        <x:f>IF($C55="","",IF($AG55="",TRUE,IF($N55="",FALSE,$N55&gt;=$AG55)))</x:f>
      </x:c>
      <x:c r="AZ55" s="13">
        <x:f>IF($C55="","",IF(OR($AH55="",$AI55=""),TRUE,IF($O55="",FALSE,AND($O55&gt;=$AH55,$O55&lt;=$AI55))))</x:f>
      </x:c>
      <x:c r="BA55" s="13">
        <x:f>IF($C55="","",IF($AJ55="Y",$P55="Y",TRUE))</x:f>
      </x:c>
      <x:c r="BB55" s="13">
        <x:f>IF($C55="","",IF($AK55="Y",$Q55="Y",TRUE))</x:f>
      </x:c>
      <x:c r="BC55" s="13">
        <x:f>IF($C55="","",IF($AL55="Y",$R55="Y",TRUE))</x:f>
      </x:c>
      <x:c r="BD55" s="13">
        <x:f>IF($C55="","",IF($AM55="Y",$S55="Y",TRUE))</x:f>
      </x:c>
      <x:c r="BE55" s="13">
        <x:f>IF($C55="","",IF($AN55="Y",$T55="Y",TRUE))</x:f>
      </x:c>
      <x:c r="BF55" s="13">
        <x:f>IF($C55="","",IF($AO55="",TRUE,IF($U55="",FALSE,$U55&lt;=$AO55)))</x:f>
      </x:c>
      <x:c r="BG55" s="13">
        <x:f>IF($C55="","",IF($AP55="",TRUE,IF($V55="",FALSE,$V55&lt;=$AP55)))</x:f>
      </x:c>
      <x:c r="BH55" s="13">
        <x:f>IF($C55="","",IF($AQ55="",TRUE,IF($W55="",FALSE,$W55&lt;=$AQ55)))</x:f>
      </x:c>
      <x:c r="BI55" s="13">
        <x:f>IF($C55="","",IF($AR55="",TRUE,IF($X55="",FALSE,$X55&lt;=$AR55)))</x:f>
      </x:c>
      <x:c r="BJ55" s="15">
        <x:f>IF($C55="","",IF($Y55="",0,$Y55)+IF($AS55,10,0)+IF($AT55,8,0)+IF($AU55,5,0)+IF($AV55,8,0)+IF($AW55,15,0)+IF($AX55,4,0)+IF($AY55,5,0)+IF($AZ55,10,0)+IF($BA55,8,0)+IF($BB55,4,0)+IF($BC55,6,0)+IF($BD55,3,0)+IF($BE55,2,0)+IF($BF55,2,0)+IF($BG55,2,0)+IF($BH55,2,0)+IF($BI55,1,0))</x:f>
      </x:c>
      <x:c r="BK55" s="15">
        <x:f>IF($C55="","",IF(NOT($AS55),1,0)+IF(NOT($AW55),1,0)+IF(NOT($AZ55),1,0)+IF(NOT($BA55),1,0)+IF(NOT($BB55),1,0)+IF(NOT($BC55),1,0))</x:f>
      </x:c>
      <x:c r="BL55" s="13">
        <x:f>IF($C55="","",IF($BK55&gt;0,"REJECT",IF(COUNTIF($AS55:$BI55,FALSE)=0,"ACCEPT",IF($BJ55&gt;=85,"ACCEPT WITH SORTING / DISCOUNT","REJECT"))))</x:f>
      </x:c>
    </x:row>
    <x:row r="56" ht="24" customHeight="1">
      <x:c r="A56" s="10" t="n"/>
      <x:c r="B56" s="11" t="n"/>
      <x:c r="C56" s="11" t="n"/>
      <x:c r="D56" s="11" t="n"/>
      <x:c r="E56" s="11" t="n"/>
      <x:c r="F56" s="11" t="n"/>
      <x:c r="G56" s="11" t="n"/>
      <x:c r="H56" s="11" t="n"/>
      <x:c r="I56" s="12" t="n"/>
      <x:c r="J56" s="12" t="n"/>
      <x:c r="K56" s="12" t="n"/>
      <x:c r="L56" s="12" t="n"/>
      <x:c r="M56" s="12" t="n"/>
      <x:c r="N56" s="12" t="n"/>
      <x:c r="O56" s="12" t="n"/>
      <x:c r="P56" s="11" t="n"/>
      <x:c r="Q56" s="11" t="n"/>
      <x:c r="R56" s="11" t="n"/>
      <x:c r="S56" s="11" t="n"/>
      <x:c r="T56" s="11" t="n"/>
      <x:c r="U56" s="12" t="n"/>
      <x:c r="V56" s="12" t="n"/>
      <x:c r="W56" s="12" t="n"/>
      <x:c r="X56" s="12" t="n"/>
      <x:c r="Y56" s="12" t="n"/>
      <x:c r="Z56" s="13">
        <x:f>IF($C56="","",VLOOKUP($C56,Config!$A$2:$Y$4,2,FALSE))</x:f>
      </x:c>
      <x:c r="AA56" s="13">
        <x:f>IF($C56="","",VLOOKUP($C56,Config!$A$2:$Y$4,5,FALSE))</x:f>
      </x:c>
      <x:c r="AB56" s="14">
        <x:f>IF($C56="","",VLOOKUP($C56,Config!$A$2:$Y$4,7,FALSE))</x:f>
      </x:c>
      <x:c r="AC56" s="14">
        <x:f>IF($C56="","",VLOOKUP($C56,Config!$A$2:$Y$4,8,FALSE))</x:f>
      </x:c>
      <x:c r="AD56" s="14">
        <x:f>IF($C56="","",VLOOKUP($C56,Config!$A$2:$Y$4,9,FALSE))</x:f>
      </x:c>
      <x:c r="AE56" s="14">
        <x:f>IF($C56="","",VLOOKUP($C56,Config!$A$2:$Y$4,10,FALSE))</x:f>
      </x:c>
      <x:c r="AF56" s="14">
        <x:f>IF($C56="","",VLOOKUP($C56,Config!$A$2:$Y$4,11,FALSE))</x:f>
      </x:c>
      <x:c r="AG56" s="14">
        <x:f>IF($C56="","",VLOOKUP($C56,Config!$A$2:$Y$4,12,FALSE))</x:f>
      </x:c>
      <x:c r="AH56" s="14">
        <x:f>IF($C56="","",VLOOKUP($C56,Config!$A$2:$Y$4,13,FALSE))</x:f>
      </x:c>
      <x:c r="AI56" s="14">
        <x:f>IF($C56="","",VLOOKUP($C56,Config!$A$2:$Y$4,14,FALSE))</x:f>
      </x:c>
      <x:c r="AJ56" s="14">
        <x:f>IF($C56="","",VLOOKUP($C56,Config!$A$2:$Y$4,15,FALSE))</x:f>
      </x:c>
      <x:c r="AK56" s="14">
        <x:f>IF($C56="","",VLOOKUP($C56,Config!$A$2:$Y$4,16,FALSE))</x:f>
      </x:c>
      <x:c r="AL56" s="14">
        <x:f>IF($C56="","",VLOOKUP($C56,Config!$A$2:$Y$4,17,FALSE))</x:f>
      </x:c>
      <x:c r="AM56" s="14">
        <x:f>IF($C56="","",VLOOKUP($C56,Config!$A$2:$Y$4,18,FALSE))</x:f>
      </x:c>
      <x:c r="AN56" s="14">
        <x:f>IF($C56="","",VLOOKUP($C56,Config!$A$2:$Y$4,19,FALSE))</x:f>
      </x:c>
      <x:c r="AO56" s="14">
        <x:f>IF($C56="","",VLOOKUP($C56,Config!$A$2:$Y$4,20,FALSE))</x:f>
      </x:c>
      <x:c r="AP56" s="14">
        <x:f>IF($C56="","",VLOOKUP($C56,Config!$A$2:$Y$4,21,FALSE))</x:f>
      </x:c>
      <x:c r="AQ56" s="14">
        <x:f>IF($C56="","",VLOOKUP($C56,Config!$A$2:$Y$4,22,FALSE))</x:f>
      </x:c>
      <x:c r="AR56" s="14">
        <x:f>IF($C56="","",VLOOKUP($C56,Config!$A$2:$Y$4,23,FALSE))</x:f>
      </x:c>
      <x:c r="AS56" s="13">
        <x:f>IF($C56="","",IF($H56="Extra",3,IF($H56="I",2,IF($H56="II",1,0)))&gt;=IF($AA56="Extra",3,IF($AA56="I",2,IF($AA56="II",1,0))))</x:f>
      </x:c>
      <x:c r="AT56" s="13">
        <x:f>IF($C56="","",IF($I56="",FALSE,$I56&gt;=$AB56))</x:f>
      </x:c>
      <x:c r="AU56" s="13">
        <x:f>IF($C56="","",IF($AC56="",TRUE,IF($J56="",FALSE,$J56&lt;=$AC56)))</x:f>
      </x:c>
      <x:c r="AV56" s="13">
        <x:f>IF($C56="","",IF($AD56="",TRUE,IF($K56="",FALSE,$K56&lt;=$AD56)))</x:f>
      </x:c>
      <x:c r="AW56" s="13">
        <x:f>IF($C56="","",IF($AE56="",TRUE,IF($L56="",FALSE,$L56&lt;=$AE56)))</x:f>
      </x:c>
      <x:c r="AX56" s="13">
        <x:f>IF($C56="","",IF($AF56="",TRUE,IF($M56="",FALSE,$M56&lt;=$AF56)))</x:f>
      </x:c>
      <x:c r="AY56" s="13">
        <x:f>IF($C56="","",IF($AG56="",TRUE,IF($N56="",FALSE,$N56&gt;=$AG56)))</x:f>
      </x:c>
      <x:c r="AZ56" s="13">
        <x:f>IF($C56="","",IF(OR($AH56="",$AI56=""),TRUE,IF($O56="",FALSE,AND($O56&gt;=$AH56,$O56&lt;=$AI56))))</x:f>
      </x:c>
      <x:c r="BA56" s="13">
        <x:f>IF($C56="","",IF($AJ56="Y",$P56="Y",TRUE))</x:f>
      </x:c>
      <x:c r="BB56" s="13">
        <x:f>IF($C56="","",IF($AK56="Y",$Q56="Y",TRUE))</x:f>
      </x:c>
      <x:c r="BC56" s="13">
        <x:f>IF($C56="","",IF($AL56="Y",$R56="Y",TRUE))</x:f>
      </x:c>
      <x:c r="BD56" s="13">
        <x:f>IF($C56="","",IF($AM56="Y",$S56="Y",TRUE))</x:f>
      </x:c>
      <x:c r="BE56" s="13">
        <x:f>IF($C56="","",IF($AN56="Y",$T56="Y",TRUE))</x:f>
      </x:c>
      <x:c r="BF56" s="13">
        <x:f>IF($C56="","",IF($AO56="",TRUE,IF($U56="",FALSE,$U56&lt;=$AO56)))</x:f>
      </x:c>
      <x:c r="BG56" s="13">
        <x:f>IF($C56="","",IF($AP56="",TRUE,IF($V56="",FALSE,$V56&lt;=$AP56)))</x:f>
      </x:c>
      <x:c r="BH56" s="13">
        <x:f>IF($C56="","",IF($AQ56="",TRUE,IF($W56="",FALSE,$W56&lt;=$AQ56)))</x:f>
      </x:c>
      <x:c r="BI56" s="13">
        <x:f>IF($C56="","",IF($AR56="",TRUE,IF($X56="",FALSE,$X56&lt;=$AR56)))</x:f>
      </x:c>
      <x:c r="BJ56" s="15">
        <x:f>IF($C56="","",IF($Y56="",0,$Y56)+IF($AS56,10,0)+IF($AT56,8,0)+IF($AU56,5,0)+IF($AV56,8,0)+IF($AW56,15,0)+IF($AX56,4,0)+IF($AY56,5,0)+IF($AZ56,10,0)+IF($BA56,8,0)+IF($BB56,4,0)+IF($BC56,6,0)+IF($BD56,3,0)+IF($BE56,2,0)+IF($BF56,2,0)+IF($BG56,2,0)+IF($BH56,2,0)+IF($BI56,1,0))</x:f>
      </x:c>
      <x:c r="BK56" s="15">
        <x:f>IF($C56="","",IF(NOT($AS56),1,0)+IF(NOT($AW56),1,0)+IF(NOT($AZ56),1,0)+IF(NOT($BA56),1,0)+IF(NOT($BB56),1,0)+IF(NOT($BC56),1,0))</x:f>
      </x:c>
      <x:c r="BL56" s="13">
        <x:f>IF($C56="","",IF($BK56&gt;0,"REJECT",IF(COUNTIF($AS56:$BI56,FALSE)=0,"ACCEPT",IF($BJ56&gt;=85,"ACCEPT WITH SORTING / DISCOUNT","REJECT"))))</x:f>
      </x:c>
    </x:row>
    <x:row r="57" ht="24" customHeight="1">
      <x:c r="A57" s="10" t="n"/>
      <x:c r="B57" s="11" t="n"/>
      <x:c r="C57" s="11" t="n"/>
      <x:c r="D57" s="11" t="n"/>
      <x:c r="E57" s="11" t="n"/>
      <x:c r="F57" s="11" t="n"/>
      <x:c r="G57" s="11" t="n"/>
      <x:c r="H57" s="11" t="n"/>
      <x:c r="I57" s="12" t="n"/>
      <x:c r="J57" s="12" t="n"/>
      <x:c r="K57" s="12" t="n"/>
      <x:c r="L57" s="12" t="n"/>
      <x:c r="M57" s="12" t="n"/>
      <x:c r="N57" s="12" t="n"/>
      <x:c r="O57" s="12" t="n"/>
      <x:c r="P57" s="11" t="n"/>
      <x:c r="Q57" s="11" t="n"/>
      <x:c r="R57" s="11" t="n"/>
      <x:c r="S57" s="11" t="n"/>
      <x:c r="T57" s="11" t="n"/>
      <x:c r="U57" s="12" t="n"/>
      <x:c r="V57" s="12" t="n"/>
      <x:c r="W57" s="12" t="n"/>
      <x:c r="X57" s="12" t="n"/>
      <x:c r="Y57" s="12" t="n"/>
      <x:c r="Z57" s="13">
        <x:f>IF($C57="","",VLOOKUP($C57,Config!$A$2:$Y$4,2,FALSE))</x:f>
      </x:c>
      <x:c r="AA57" s="13">
        <x:f>IF($C57="","",VLOOKUP($C57,Config!$A$2:$Y$4,5,FALSE))</x:f>
      </x:c>
      <x:c r="AB57" s="14">
        <x:f>IF($C57="","",VLOOKUP($C57,Config!$A$2:$Y$4,7,FALSE))</x:f>
      </x:c>
      <x:c r="AC57" s="14">
        <x:f>IF($C57="","",VLOOKUP($C57,Config!$A$2:$Y$4,8,FALSE))</x:f>
      </x:c>
      <x:c r="AD57" s="14">
        <x:f>IF($C57="","",VLOOKUP($C57,Config!$A$2:$Y$4,9,FALSE))</x:f>
      </x:c>
      <x:c r="AE57" s="14">
        <x:f>IF($C57="","",VLOOKUP($C57,Config!$A$2:$Y$4,10,FALSE))</x:f>
      </x:c>
      <x:c r="AF57" s="14">
        <x:f>IF($C57="","",VLOOKUP($C57,Config!$A$2:$Y$4,11,FALSE))</x:f>
      </x:c>
      <x:c r="AG57" s="14">
        <x:f>IF($C57="","",VLOOKUP($C57,Config!$A$2:$Y$4,12,FALSE))</x:f>
      </x:c>
      <x:c r="AH57" s="14">
        <x:f>IF($C57="","",VLOOKUP($C57,Config!$A$2:$Y$4,13,FALSE))</x:f>
      </x:c>
      <x:c r="AI57" s="14">
        <x:f>IF($C57="","",VLOOKUP($C57,Config!$A$2:$Y$4,14,FALSE))</x:f>
      </x:c>
      <x:c r="AJ57" s="14">
        <x:f>IF($C57="","",VLOOKUP($C57,Config!$A$2:$Y$4,15,FALSE))</x:f>
      </x:c>
      <x:c r="AK57" s="14">
        <x:f>IF($C57="","",VLOOKUP($C57,Config!$A$2:$Y$4,16,FALSE))</x:f>
      </x:c>
      <x:c r="AL57" s="14">
        <x:f>IF($C57="","",VLOOKUP($C57,Config!$A$2:$Y$4,17,FALSE))</x:f>
      </x:c>
      <x:c r="AM57" s="14">
        <x:f>IF($C57="","",VLOOKUP($C57,Config!$A$2:$Y$4,18,FALSE))</x:f>
      </x:c>
      <x:c r="AN57" s="14">
        <x:f>IF($C57="","",VLOOKUP($C57,Config!$A$2:$Y$4,19,FALSE))</x:f>
      </x:c>
      <x:c r="AO57" s="14">
        <x:f>IF($C57="","",VLOOKUP($C57,Config!$A$2:$Y$4,20,FALSE))</x:f>
      </x:c>
      <x:c r="AP57" s="14">
        <x:f>IF($C57="","",VLOOKUP($C57,Config!$A$2:$Y$4,21,FALSE))</x:f>
      </x:c>
      <x:c r="AQ57" s="14">
        <x:f>IF($C57="","",VLOOKUP($C57,Config!$A$2:$Y$4,22,FALSE))</x:f>
      </x:c>
      <x:c r="AR57" s="14">
        <x:f>IF($C57="","",VLOOKUP($C57,Config!$A$2:$Y$4,23,FALSE))</x:f>
      </x:c>
      <x:c r="AS57" s="13">
        <x:f>IF($C57="","",IF($H57="Extra",3,IF($H57="I",2,IF($H57="II",1,0)))&gt;=IF($AA57="Extra",3,IF($AA57="I",2,IF($AA57="II",1,0))))</x:f>
      </x:c>
      <x:c r="AT57" s="13">
        <x:f>IF($C57="","",IF($I57="",FALSE,$I57&gt;=$AB57))</x:f>
      </x:c>
      <x:c r="AU57" s="13">
        <x:f>IF($C57="","",IF($AC57="",TRUE,IF($J57="",FALSE,$J57&lt;=$AC57)))</x:f>
      </x:c>
      <x:c r="AV57" s="13">
        <x:f>IF($C57="","",IF($AD57="",TRUE,IF($K57="",FALSE,$K57&lt;=$AD57)))</x:f>
      </x:c>
      <x:c r="AW57" s="13">
        <x:f>IF($C57="","",IF($AE57="",TRUE,IF($L57="",FALSE,$L57&lt;=$AE57)))</x:f>
      </x:c>
      <x:c r="AX57" s="13">
        <x:f>IF($C57="","",IF($AF57="",TRUE,IF($M57="",FALSE,$M57&lt;=$AF57)))</x:f>
      </x:c>
      <x:c r="AY57" s="13">
        <x:f>IF($C57="","",IF($AG57="",TRUE,IF($N57="",FALSE,$N57&gt;=$AG57)))</x:f>
      </x:c>
      <x:c r="AZ57" s="13">
        <x:f>IF($C57="","",IF(OR($AH57="",$AI57=""),TRUE,IF($O57="",FALSE,AND($O57&gt;=$AH57,$O57&lt;=$AI57))))</x:f>
      </x:c>
      <x:c r="BA57" s="13">
        <x:f>IF($C57="","",IF($AJ57="Y",$P57="Y",TRUE))</x:f>
      </x:c>
      <x:c r="BB57" s="13">
        <x:f>IF($C57="","",IF($AK57="Y",$Q57="Y",TRUE))</x:f>
      </x:c>
      <x:c r="BC57" s="13">
        <x:f>IF($C57="","",IF($AL57="Y",$R57="Y",TRUE))</x:f>
      </x:c>
      <x:c r="BD57" s="13">
        <x:f>IF($C57="","",IF($AM57="Y",$S57="Y",TRUE))</x:f>
      </x:c>
      <x:c r="BE57" s="13">
        <x:f>IF($C57="","",IF($AN57="Y",$T57="Y",TRUE))</x:f>
      </x:c>
      <x:c r="BF57" s="13">
        <x:f>IF($C57="","",IF($AO57="",TRUE,IF($U57="",FALSE,$U57&lt;=$AO57)))</x:f>
      </x:c>
      <x:c r="BG57" s="13">
        <x:f>IF($C57="","",IF($AP57="",TRUE,IF($V57="",FALSE,$V57&lt;=$AP57)))</x:f>
      </x:c>
      <x:c r="BH57" s="13">
        <x:f>IF($C57="","",IF($AQ57="",TRUE,IF($W57="",FALSE,$W57&lt;=$AQ57)))</x:f>
      </x:c>
      <x:c r="BI57" s="13">
        <x:f>IF($C57="","",IF($AR57="",TRUE,IF($X57="",FALSE,$X57&lt;=$AR57)))</x:f>
      </x:c>
      <x:c r="BJ57" s="15">
        <x:f>IF($C57="","",IF($Y57="",0,$Y57)+IF($AS57,10,0)+IF($AT57,8,0)+IF($AU57,5,0)+IF($AV57,8,0)+IF($AW57,15,0)+IF($AX57,4,0)+IF($AY57,5,0)+IF($AZ57,10,0)+IF($BA57,8,0)+IF($BB57,4,0)+IF($BC57,6,0)+IF($BD57,3,0)+IF($BE57,2,0)+IF($BF57,2,0)+IF($BG57,2,0)+IF($BH57,2,0)+IF($BI57,1,0))</x:f>
      </x:c>
      <x:c r="BK57" s="15">
        <x:f>IF($C57="","",IF(NOT($AS57),1,0)+IF(NOT($AW57),1,0)+IF(NOT($AZ57),1,0)+IF(NOT($BA57),1,0)+IF(NOT($BB57),1,0)+IF(NOT($BC57),1,0))</x:f>
      </x:c>
      <x:c r="BL57" s="13">
        <x:f>IF($C57="","",IF($BK57&gt;0,"REJECT",IF(COUNTIF($AS57:$BI57,FALSE)=0,"ACCEPT",IF($BJ57&gt;=85,"ACCEPT WITH SORTING / DISCOUNT","REJECT"))))</x:f>
      </x:c>
    </x:row>
    <x:row r="58" ht="24" customHeight="1">
      <x:c r="A58" s="10" t="n"/>
      <x:c r="B58" s="11" t="n"/>
      <x:c r="C58" s="11" t="n"/>
      <x:c r="D58" s="11" t="n"/>
      <x:c r="E58" s="11" t="n"/>
      <x:c r="F58" s="11" t="n"/>
      <x:c r="G58" s="11" t="n"/>
      <x:c r="H58" s="11" t="n"/>
      <x:c r="I58" s="12" t="n"/>
      <x:c r="J58" s="12" t="n"/>
      <x:c r="K58" s="12" t="n"/>
      <x:c r="L58" s="12" t="n"/>
      <x:c r="M58" s="12" t="n"/>
      <x:c r="N58" s="12" t="n"/>
      <x:c r="O58" s="12" t="n"/>
      <x:c r="P58" s="11" t="n"/>
      <x:c r="Q58" s="11" t="n"/>
      <x:c r="R58" s="11" t="n"/>
      <x:c r="S58" s="11" t="n"/>
      <x:c r="T58" s="11" t="n"/>
      <x:c r="U58" s="12" t="n"/>
      <x:c r="V58" s="12" t="n"/>
      <x:c r="W58" s="12" t="n"/>
      <x:c r="X58" s="12" t="n"/>
      <x:c r="Y58" s="12" t="n"/>
      <x:c r="Z58" s="13">
        <x:f>IF($C58="","",VLOOKUP($C58,Config!$A$2:$Y$4,2,FALSE))</x:f>
      </x:c>
      <x:c r="AA58" s="13">
        <x:f>IF($C58="","",VLOOKUP($C58,Config!$A$2:$Y$4,5,FALSE))</x:f>
      </x:c>
      <x:c r="AB58" s="14">
        <x:f>IF($C58="","",VLOOKUP($C58,Config!$A$2:$Y$4,7,FALSE))</x:f>
      </x:c>
      <x:c r="AC58" s="14">
        <x:f>IF($C58="","",VLOOKUP($C58,Config!$A$2:$Y$4,8,FALSE))</x:f>
      </x:c>
      <x:c r="AD58" s="14">
        <x:f>IF($C58="","",VLOOKUP($C58,Config!$A$2:$Y$4,9,FALSE))</x:f>
      </x:c>
      <x:c r="AE58" s="14">
        <x:f>IF($C58="","",VLOOKUP($C58,Config!$A$2:$Y$4,10,FALSE))</x:f>
      </x:c>
      <x:c r="AF58" s="14">
        <x:f>IF($C58="","",VLOOKUP($C58,Config!$A$2:$Y$4,11,FALSE))</x:f>
      </x:c>
      <x:c r="AG58" s="14">
        <x:f>IF($C58="","",VLOOKUP($C58,Config!$A$2:$Y$4,12,FALSE))</x:f>
      </x:c>
      <x:c r="AH58" s="14">
        <x:f>IF($C58="","",VLOOKUP($C58,Config!$A$2:$Y$4,13,FALSE))</x:f>
      </x:c>
      <x:c r="AI58" s="14">
        <x:f>IF($C58="","",VLOOKUP($C58,Config!$A$2:$Y$4,14,FALSE))</x:f>
      </x:c>
      <x:c r="AJ58" s="14">
        <x:f>IF($C58="","",VLOOKUP($C58,Config!$A$2:$Y$4,15,FALSE))</x:f>
      </x:c>
      <x:c r="AK58" s="14">
        <x:f>IF($C58="","",VLOOKUP($C58,Config!$A$2:$Y$4,16,FALSE))</x:f>
      </x:c>
      <x:c r="AL58" s="14">
        <x:f>IF($C58="","",VLOOKUP($C58,Config!$A$2:$Y$4,17,FALSE))</x:f>
      </x:c>
      <x:c r="AM58" s="14">
        <x:f>IF($C58="","",VLOOKUP($C58,Config!$A$2:$Y$4,18,FALSE))</x:f>
      </x:c>
      <x:c r="AN58" s="14">
        <x:f>IF($C58="","",VLOOKUP($C58,Config!$A$2:$Y$4,19,FALSE))</x:f>
      </x:c>
      <x:c r="AO58" s="14">
        <x:f>IF($C58="","",VLOOKUP($C58,Config!$A$2:$Y$4,20,FALSE))</x:f>
      </x:c>
      <x:c r="AP58" s="14">
        <x:f>IF($C58="","",VLOOKUP($C58,Config!$A$2:$Y$4,21,FALSE))</x:f>
      </x:c>
      <x:c r="AQ58" s="14">
        <x:f>IF($C58="","",VLOOKUP($C58,Config!$A$2:$Y$4,22,FALSE))</x:f>
      </x:c>
      <x:c r="AR58" s="14">
        <x:f>IF($C58="","",VLOOKUP($C58,Config!$A$2:$Y$4,23,FALSE))</x:f>
      </x:c>
      <x:c r="AS58" s="13">
        <x:f>IF($C58="","",IF($H58="Extra",3,IF($H58="I",2,IF($H58="II",1,0)))&gt;=IF($AA58="Extra",3,IF($AA58="I",2,IF($AA58="II",1,0))))</x:f>
      </x:c>
      <x:c r="AT58" s="13">
        <x:f>IF($C58="","",IF($I58="",FALSE,$I58&gt;=$AB58))</x:f>
      </x:c>
      <x:c r="AU58" s="13">
        <x:f>IF($C58="","",IF($AC58="",TRUE,IF($J58="",FALSE,$J58&lt;=$AC58)))</x:f>
      </x:c>
      <x:c r="AV58" s="13">
        <x:f>IF($C58="","",IF($AD58="",TRUE,IF($K58="",FALSE,$K58&lt;=$AD58)))</x:f>
      </x:c>
      <x:c r="AW58" s="13">
        <x:f>IF($C58="","",IF($AE58="",TRUE,IF($L58="",FALSE,$L58&lt;=$AE58)))</x:f>
      </x:c>
      <x:c r="AX58" s="13">
        <x:f>IF($C58="","",IF($AF58="",TRUE,IF($M58="",FALSE,$M58&lt;=$AF58)))</x:f>
      </x:c>
      <x:c r="AY58" s="13">
        <x:f>IF($C58="","",IF($AG58="",TRUE,IF($N58="",FALSE,$N58&gt;=$AG58)))</x:f>
      </x:c>
      <x:c r="AZ58" s="13">
        <x:f>IF($C58="","",IF(OR($AH58="",$AI58=""),TRUE,IF($O58="",FALSE,AND($O58&gt;=$AH58,$O58&lt;=$AI58))))</x:f>
      </x:c>
      <x:c r="BA58" s="13">
        <x:f>IF($C58="","",IF($AJ58="Y",$P58="Y",TRUE))</x:f>
      </x:c>
      <x:c r="BB58" s="13">
        <x:f>IF($C58="","",IF($AK58="Y",$Q58="Y",TRUE))</x:f>
      </x:c>
      <x:c r="BC58" s="13">
        <x:f>IF($C58="","",IF($AL58="Y",$R58="Y",TRUE))</x:f>
      </x:c>
      <x:c r="BD58" s="13">
        <x:f>IF($C58="","",IF($AM58="Y",$S58="Y",TRUE))</x:f>
      </x:c>
      <x:c r="BE58" s="13">
        <x:f>IF($C58="","",IF($AN58="Y",$T58="Y",TRUE))</x:f>
      </x:c>
      <x:c r="BF58" s="13">
        <x:f>IF($C58="","",IF($AO58="",TRUE,IF($U58="",FALSE,$U58&lt;=$AO58)))</x:f>
      </x:c>
      <x:c r="BG58" s="13">
        <x:f>IF($C58="","",IF($AP58="",TRUE,IF($V58="",FALSE,$V58&lt;=$AP58)))</x:f>
      </x:c>
      <x:c r="BH58" s="13">
        <x:f>IF($C58="","",IF($AQ58="",TRUE,IF($W58="",FALSE,$W58&lt;=$AQ58)))</x:f>
      </x:c>
      <x:c r="BI58" s="13">
        <x:f>IF($C58="","",IF($AR58="",TRUE,IF($X58="",FALSE,$X58&lt;=$AR58)))</x:f>
      </x:c>
      <x:c r="BJ58" s="15">
        <x:f>IF($C58="","",IF($Y58="",0,$Y58)+IF($AS58,10,0)+IF($AT58,8,0)+IF($AU58,5,0)+IF($AV58,8,0)+IF($AW58,15,0)+IF($AX58,4,0)+IF($AY58,5,0)+IF($AZ58,10,0)+IF($BA58,8,0)+IF($BB58,4,0)+IF($BC58,6,0)+IF($BD58,3,0)+IF($BE58,2,0)+IF($BF58,2,0)+IF($BG58,2,0)+IF($BH58,2,0)+IF($BI58,1,0))</x:f>
      </x:c>
      <x:c r="BK58" s="15">
        <x:f>IF($C58="","",IF(NOT($AS58),1,0)+IF(NOT($AW58),1,0)+IF(NOT($AZ58),1,0)+IF(NOT($BA58),1,0)+IF(NOT($BB58),1,0)+IF(NOT($BC58),1,0))</x:f>
      </x:c>
      <x:c r="BL58" s="13">
        <x:f>IF($C58="","",IF($BK58&gt;0,"REJECT",IF(COUNTIF($AS58:$BI58,FALSE)=0,"ACCEPT",IF($BJ58&gt;=85,"ACCEPT WITH SORTING / DISCOUNT","REJECT"))))</x:f>
      </x:c>
    </x:row>
    <x:row r="59" ht="24" customHeight="1">
      <x:c r="A59" s="10" t="n"/>
      <x:c r="B59" s="11" t="n"/>
      <x:c r="C59" s="11" t="n"/>
      <x:c r="D59" s="11" t="n"/>
      <x:c r="E59" s="11" t="n"/>
      <x:c r="F59" s="11" t="n"/>
      <x:c r="G59" s="11" t="n"/>
      <x:c r="H59" s="11" t="n"/>
      <x:c r="I59" s="12" t="n"/>
      <x:c r="J59" s="12" t="n"/>
      <x:c r="K59" s="12" t="n"/>
      <x:c r="L59" s="12" t="n"/>
      <x:c r="M59" s="12" t="n"/>
      <x:c r="N59" s="12" t="n"/>
      <x:c r="O59" s="12" t="n"/>
      <x:c r="P59" s="11" t="n"/>
      <x:c r="Q59" s="11" t="n"/>
      <x:c r="R59" s="11" t="n"/>
      <x:c r="S59" s="11" t="n"/>
      <x:c r="T59" s="11" t="n"/>
      <x:c r="U59" s="12" t="n"/>
      <x:c r="V59" s="12" t="n"/>
      <x:c r="W59" s="12" t="n"/>
      <x:c r="X59" s="12" t="n"/>
      <x:c r="Y59" s="12" t="n"/>
      <x:c r="Z59" s="13">
        <x:f>IF($C59="","",VLOOKUP($C59,Config!$A$2:$Y$4,2,FALSE))</x:f>
      </x:c>
      <x:c r="AA59" s="13">
        <x:f>IF($C59="","",VLOOKUP($C59,Config!$A$2:$Y$4,5,FALSE))</x:f>
      </x:c>
      <x:c r="AB59" s="14">
        <x:f>IF($C59="","",VLOOKUP($C59,Config!$A$2:$Y$4,7,FALSE))</x:f>
      </x:c>
      <x:c r="AC59" s="14">
        <x:f>IF($C59="","",VLOOKUP($C59,Config!$A$2:$Y$4,8,FALSE))</x:f>
      </x:c>
      <x:c r="AD59" s="14">
        <x:f>IF($C59="","",VLOOKUP($C59,Config!$A$2:$Y$4,9,FALSE))</x:f>
      </x:c>
      <x:c r="AE59" s="14">
        <x:f>IF($C59="","",VLOOKUP($C59,Config!$A$2:$Y$4,10,FALSE))</x:f>
      </x:c>
      <x:c r="AF59" s="14">
        <x:f>IF($C59="","",VLOOKUP($C59,Config!$A$2:$Y$4,11,FALSE))</x:f>
      </x:c>
      <x:c r="AG59" s="14">
        <x:f>IF($C59="","",VLOOKUP($C59,Config!$A$2:$Y$4,12,FALSE))</x:f>
      </x:c>
      <x:c r="AH59" s="14">
        <x:f>IF($C59="","",VLOOKUP($C59,Config!$A$2:$Y$4,13,FALSE))</x:f>
      </x:c>
      <x:c r="AI59" s="14">
        <x:f>IF($C59="","",VLOOKUP($C59,Config!$A$2:$Y$4,14,FALSE))</x:f>
      </x:c>
      <x:c r="AJ59" s="14">
        <x:f>IF($C59="","",VLOOKUP($C59,Config!$A$2:$Y$4,15,FALSE))</x:f>
      </x:c>
      <x:c r="AK59" s="14">
        <x:f>IF($C59="","",VLOOKUP($C59,Config!$A$2:$Y$4,16,FALSE))</x:f>
      </x:c>
      <x:c r="AL59" s="14">
        <x:f>IF($C59="","",VLOOKUP($C59,Config!$A$2:$Y$4,17,FALSE))</x:f>
      </x:c>
      <x:c r="AM59" s="14">
        <x:f>IF($C59="","",VLOOKUP($C59,Config!$A$2:$Y$4,18,FALSE))</x:f>
      </x:c>
      <x:c r="AN59" s="14">
        <x:f>IF($C59="","",VLOOKUP($C59,Config!$A$2:$Y$4,19,FALSE))</x:f>
      </x:c>
      <x:c r="AO59" s="14">
        <x:f>IF($C59="","",VLOOKUP($C59,Config!$A$2:$Y$4,20,FALSE))</x:f>
      </x:c>
      <x:c r="AP59" s="14">
        <x:f>IF($C59="","",VLOOKUP($C59,Config!$A$2:$Y$4,21,FALSE))</x:f>
      </x:c>
      <x:c r="AQ59" s="14">
        <x:f>IF($C59="","",VLOOKUP($C59,Config!$A$2:$Y$4,22,FALSE))</x:f>
      </x:c>
      <x:c r="AR59" s="14">
        <x:f>IF($C59="","",VLOOKUP($C59,Config!$A$2:$Y$4,23,FALSE))</x:f>
      </x:c>
      <x:c r="AS59" s="13">
        <x:f>IF($C59="","",IF($H59="Extra",3,IF($H59="I",2,IF($H59="II",1,0)))&gt;=IF($AA59="Extra",3,IF($AA59="I",2,IF($AA59="II",1,0))))</x:f>
      </x:c>
      <x:c r="AT59" s="13">
        <x:f>IF($C59="","",IF($I59="",FALSE,$I59&gt;=$AB59))</x:f>
      </x:c>
      <x:c r="AU59" s="13">
        <x:f>IF($C59="","",IF($AC59="",TRUE,IF($J59="",FALSE,$J59&lt;=$AC59)))</x:f>
      </x:c>
      <x:c r="AV59" s="13">
        <x:f>IF($C59="","",IF($AD59="",TRUE,IF($K59="",FALSE,$K59&lt;=$AD59)))</x:f>
      </x:c>
      <x:c r="AW59" s="13">
        <x:f>IF($C59="","",IF($AE59="",TRUE,IF($L59="",FALSE,$L59&lt;=$AE59)))</x:f>
      </x:c>
      <x:c r="AX59" s="13">
        <x:f>IF($C59="","",IF($AF59="",TRUE,IF($M59="",FALSE,$M59&lt;=$AF59)))</x:f>
      </x:c>
      <x:c r="AY59" s="13">
        <x:f>IF($C59="","",IF($AG59="",TRUE,IF($N59="",FALSE,$N59&gt;=$AG59)))</x:f>
      </x:c>
      <x:c r="AZ59" s="13">
        <x:f>IF($C59="","",IF(OR($AH59="",$AI59=""),TRUE,IF($O59="",FALSE,AND($O59&gt;=$AH59,$O59&lt;=$AI59))))</x:f>
      </x:c>
      <x:c r="BA59" s="13">
        <x:f>IF($C59="","",IF($AJ59="Y",$P59="Y",TRUE))</x:f>
      </x:c>
      <x:c r="BB59" s="13">
        <x:f>IF($C59="","",IF($AK59="Y",$Q59="Y",TRUE))</x:f>
      </x:c>
      <x:c r="BC59" s="13">
        <x:f>IF($C59="","",IF($AL59="Y",$R59="Y",TRUE))</x:f>
      </x:c>
      <x:c r="BD59" s="13">
        <x:f>IF($C59="","",IF($AM59="Y",$S59="Y",TRUE))</x:f>
      </x:c>
      <x:c r="BE59" s="13">
        <x:f>IF($C59="","",IF($AN59="Y",$T59="Y",TRUE))</x:f>
      </x:c>
      <x:c r="BF59" s="13">
        <x:f>IF($C59="","",IF($AO59="",TRUE,IF($U59="",FALSE,$U59&lt;=$AO59)))</x:f>
      </x:c>
      <x:c r="BG59" s="13">
        <x:f>IF($C59="","",IF($AP59="",TRUE,IF($V59="",FALSE,$V59&lt;=$AP59)))</x:f>
      </x:c>
      <x:c r="BH59" s="13">
        <x:f>IF($C59="","",IF($AQ59="",TRUE,IF($W59="",FALSE,$W59&lt;=$AQ59)))</x:f>
      </x:c>
      <x:c r="BI59" s="13">
        <x:f>IF($C59="","",IF($AR59="",TRUE,IF($X59="",FALSE,$X59&lt;=$AR59)))</x:f>
      </x:c>
      <x:c r="BJ59" s="15">
        <x:f>IF($C59="","",IF($Y59="",0,$Y59)+IF($AS59,10,0)+IF($AT59,8,0)+IF($AU59,5,0)+IF($AV59,8,0)+IF($AW59,15,0)+IF($AX59,4,0)+IF($AY59,5,0)+IF($AZ59,10,0)+IF($BA59,8,0)+IF($BB59,4,0)+IF($BC59,6,0)+IF($BD59,3,0)+IF($BE59,2,0)+IF($BF59,2,0)+IF($BG59,2,0)+IF($BH59,2,0)+IF($BI59,1,0))</x:f>
      </x:c>
      <x:c r="BK59" s="15">
        <x:f>IF($C59="","",IF(NOT($AS59),1,0)+IF(NOT($AW59),1,0)+IF(NOT($AZ59),1,0)+IF(NOT($BA59),1,0)+IF(NOT($BB59),1,0)+IF(NOT($BC59),1,0))</x:f>
      </x:c>
      <x:c r="BL59" s="13">
        <x:f>IF($C59="","",IF($BK59&gt;0,"REJECT",IF(COUNTIF($AS59:$BI59,FALSE)=0,"ACCEPT",IF($BJ59&gt;=85,"ACCEPT WITH SORTING / DISCOUNT","REJECT"))))</x:f>
      </x:c>
    </x:row>
    <x:row r="60" ht="24" customHeight="1">
      <x:c r="A60" s="10" t="n"/>
      <x:c r="B60" s="11" t="n"/>
      <x:c r="C60" s="11" t="n"/>
      <x:c r="D60" s="11" t="n"/>
      <x:c r="E60" s="11" t="n"/>
      <x:c r="F60" s="11" t="n"/>
      <x:c r="G60" s="11" t="n"/>
      <x:c r="H60" s="11" t="n"/>
      <x:c r="I60" s="12" t="n"/>
      <x:c r="J60" s="12" t="n"/>
      <x:c r="K60" s="12" t="n"/>
      <x:c r="L60" s="12" t="n"/>
      <x:c r="M60" s="12" t="n"/>
      <x:c r="N60" s="12" t="n"/>
      <x:c r="O60" s="12" t="n"/>
      <x:c r="P60" s="11" t="n"/>
      <x:c r="Q60" s="11" t="n"/>
      <x:c r="R60" s="11" t="n"/>
      <x:c r="S60" s="11" t="n"/>
      <x:c r="T60" s="11" t="n"/>
      <x:c r="U60" s="12" t="n"/>
      <x:c r="V60" s="12" t="n"/>
      <x:c r="W60" s="12" t="n"/>
      <x:c r="X60" s="12" t="n"/>
      <x:c r="Y60" s="12" t="n"/>
      <x:c r="Z60" s="13">
        <x:f>IF($C60="","",VLOOKUP($C60,Config!$A$2:$Y$4,2,FALSE))</x:f>
      </x:c>
      <x:c r="AA60" s="13">
        <x:f>IF($C60="","",VLOOKUP($C60,Config!$A$2:$Y$4,5,FALSE))</x:f>
      </x:c>
      <x:c r="AB60" s="14">
        <x:f>IF($C60="","",VLOOKUP($C60,Config!$A$2:$Y$4,7,FALSE))</x:f>
      </x:c>
      <x:c r="AC60" s="14">
        <x:f>IF($C60="","",VLOOKUP($C60,Config!$A$2:$Y$4,8,FALSE))</x:f>
      </x:c>
      <x:c r="AD60" s="14">
        <x:f>IF($C60="","",VLOOKUP($C60,Config!$A$2:$Y$4,9,FALSE))</x:f>
      </x:c>
      <x:c r="AE60" s="14">
        <x:f>IF($C60="","",VLOOKUP($C60,Config!$A$2:$Y$4,10,FALSE))</x:f>
      </x:c>
      <x:c r="AF60" s="14">
        <x:f>IF($C60="","",VLOOKUP($C60,Config!$A$2:$Y$4,11,FALSE))</x:f>
      </x:c>
      <x:c r="AG60" s="14">
        <x:f>IF($C60="","",VLOOKUP($C60,Config!$A$2:$Y$4,12,FALSE))</x:f>
      </x:c>
      <x:c r="AH60" s="14">
        <x:f>IF($C60="","",VLOOKUP($C60,Config!$A$2:$Y$4,13,FALSE))</x:f>
      </x:c>
      <x:c r="AI60" s="14">
        <x:f>IF($C60="","",VLOOKUP($C60,Config!$A$2:$Y$4,14,FALSE))</x:f>
      </x:c>
      <x:c r="AJ60" s="14">
        <x:f>IF($C60="","",VLOOKUP($C60,Config!$A$2:$Y$4,15,FALSE))</x:f>
      </x:c>
      <x:c r="AK60" s="14">
        <x:f>IF($C60="","",VLOOKUP($C60,Config!$A$2:$Y$4,16,FALSE))</x:f>
      </x:c>
      <x:c r="AL60" s="14">
        <x:f>IF($C60="","",VLOOKUP($C60,Config!$A$2:$Y$4,17,FALSE))</x:f>
      </x:c>
      <x:c r="AM60" s="14">
        <x:f>IF($C60="","",VLOOKUP($C60,Config!$A$2:$Y$4,18,FALSE))</x:f>
      </x:c>
      <x:c r="AN60" s="14">
        <x:f>IF($C60="","",VLOOKUP($C60,Config!$A$2:$Y$4,19,FALSE))</x:f>
      </x:c>
      <x:c r="AO60" s="14">
        <x:f>IF($C60="","",VLOOKUP($C60,Config!$A$2:$Y$4,20,FALSE))</x:f>
      </x:c>
      <x:c r="AP60" s="14">
        <x:f>IF($C60="","",VLOOKUP($C60,Config!$A$2:$Y$4,21,FALSE))</x:f>
      </x:c>
      <x:c r="AQ60" s="14">
        <x:f>IF($C60="","",VLOOKUP($C60,Config!$A$2:$Y$4,22,FALSE))</x:f>
      </x:c>
      <x:c r="AR60" s="14">
        <x:f>IF($C60="","",VLOOKUP($C60,Config!$A$2:$Y$4,23,FALSE))</x:f>
      </x:c>
      <x:c r="AS60" s="13">
        <x:f>IF($C60="","",IF($H60="Extra",3,IF($H60="I",2,IF($H60="II",1,0)))&gt;=IF($AA60="Extra",3,IF($AA60="I",2,IF($AA60="II",1,0))))</x:f>
      </x:c>
      <x:c r="AT60" s="13">
        <x:f>IF($C60="","",IF($I60="",FALSE,$I60&gt;=$AB60))</x:f>
      </x:c>
      <x:c r="AU60" s="13">
        <x:f>IF($C60="","",IF($AC60="",TRUE,IF($J60="",FALSE,$J60&lt;=$AC60)))</x:f>
      </x:c>
      <x:c r="AV60" s="13">
        <x:f>IF($C60="","",IF($AD60="",TRUE,IF($K60="",FALSE,$K60&lt;=$AD60)))</x:f>
      </x:c>
      <x:c r="AW60" s="13">
        <x:f>IF($C60="","",IF($AE60="",TRUE,IF($L60="",FALSE,$L60&lt;=$AE60)))</x:f>
      </x:c>
      <x:c r="AX60" s="13">
        <x:f>IF($C60="","",IF($AF60="",TRUE,IF($M60="",FALSE,$M60&lt;=$AF60)))</x:f>
      </x:c>
      <x:c r="AY60" s="13">
        <x:f>IF($C60="","",IF($AG60="",TRUE,IF($N60="",FALSE,$N60&gt;=$AG60)))</x:f>
      </x:c>
      <x:c r="AZ60" s="13">
        <x:f>IF($C60="","",IF(OR($AH60="",$AI60=""),TRUE,IF($O60="",FALSE,AND($O60&gt;=$AH60,$O60&lt;=$AI60))))</x:f>
      </x:c>
      <x:c r="BA60" s="13">
        <x:f>IF($C60="","",IF($AJ60="Y",$P60="Y",TRUE))</x:f>
      </x:c>
      <x:c r="BB60" s="13">
        <x:f>IF($C60="","",IF($AK60="Y",$Q60="Y",TRUE))</x:f>
      </x:c>
      <x:c r="BC60" s="13">
        <x:f>IF($C60="","",IF($AL60="Y",$R60="Y",TRUE))</x:f>
      </x:c>
      <x:c r="BD60" s="13">
        <x:f>IF($C60="","",IF($AM60="Y",$S60="Y",TRUE))</x:f>
      </x:c>
      <x:c r="BE60" s="13">
        <x:f>IF($C60="","",IF($AN60="Y",$T60="Y",TRUE))</x:f>
      </x:c>
      <x:c r="BF60" s="13">
        <x:f>IF($C60="","",IF($AO60="",TRUE,IF($U60="",FALSE,$U60&lt;=$AO60)))</x:f>
      </x:c>
      <x:c r="BG60" s="13">
        <x:f>IF($C60="","",IF($AP60="",TRUE,IF($V60="",FALSE,$V60&lt;=$AP60)))</x:f>
      </x:c>
      <x:c r="BH60" s="13">
        <x:f>IF($C60="","",IF($AQ60="",TRUE,IF($W60="",FALSE,$W60&lt;=$AQ60)))</x:f>
      </x:c>
      <x:c r="BI60" s="13">
        <x:f>IF($C60="","",IF($AR60="",TRUE,IF($X60="",FALSE,$X60&lt;=$AR60)))</x:f>
      </x:c>
      <x:c r="BJ60" s="15">
        <x:f>IF($C60="","",IF($Y60="",0,$Y60)+IF($AS60,10,0)+IF($AT60,8,0)+IF($AU60,5,0)+IF($AV60,8,0)+IF($AW60,15,0)+IF($AX60,4,0)+IF($AY60,5,0)+IF($AZ60,10,0)+IF($BA60,8,0)+IF($BB60,4,0)+IF($BC60,6,0)+IF($BD60,3,0)+IF($BE60,2,0)+IF($BF60,2,0)+IF($BG60,2,0)+IF($BH60,2,0)+IF($BI60,1,0))</x:f>
      </x:c>
      <x:c r="BK60" s="15">
        <x:f>IF($C60="","",IF(NOT($AS60),1,0)+IF(NOT($AW60),1,0)+IF(NOT($AZ60),1,0)+IF(NOT($BA60),1,0)+IF(NOT($BB60),1,0)+IF(NOT($BC60),1,0))</x:f>
      </x:c>
      <x:c r="BL60" s="13">
        <x:f>IF($C60="","",IF($BK60&gt;0,"REJECT",IF(COUNTIF($AS60:$BI60,FALSE)=0,"ACCEPT",IF($BJ60&gt;=85,"ACCEPT WITH SORTING / DISCOUNT","REJECT"))))</x:f>
      </x:c>
    </x:row>
    <x:row r="61" ht="24" customHeight="1">
      <x:c r="A61" s="10" t="n"/>
      <x:c r="B61" s="11" t="n"/>
      <x:c r="C61" s="11" t="n"/>
      <x:c r="D61" s="11" t="n"/>
      <x:c r="E61" s="11" t="n"/>
      <x:c r="F61" s="11" t="n"/>
      <x:c r="G61" s="11" t="n"/>
      <x:c r="H61" s="11" t="n"/>
      <x:c r="I61" s="12" t="n"/>
      <x:c r="J61" s="12" t="n"/>
      <x:c r="K61" s="12" t="n"/>
      <x:c r="L61" s="12" t="n"/>
      <x:c r="M61" s="12" t="n"/>
      <x:c r="N61" s="12" t="n"/>
      <x:c r="O61" s="12" t="n"/>
      <x:c r="P61" s="11" t="n"/>
      <x:c r="Q61" s="11" t="n"/>
      <x:c r="R61" s="11" t="n"/>
      <x:c r="S61" s="11" t="n"/>
      <x:c r="T61" s="11" t="n"/>
      <x:c r="U61" s="12" t="n"/>
      <x:c r="V61" s="12" t="n"/>
      <x:c r="W61" s="12" t="n"/>
      <x:c r="X61" s="12" t="n"/>
      <x:c r="Y61" s="12" t="n"/>
      <x:c r="Z61" s="13">
        <x:f>IF($C61="","",VLOOKUP($C61,Config!$A$2:$Y$4,2,FALSE))</x:f>
      </x:c>
      <x:c r="AA61" s="13">
        <x:f>IF($C61="","",VLOOKUP($C61,Config!$A$2:$Y$4,5,FALSE))</x:f>
      </x:c>
      <x:c r="AB61" s="14">
        <x:f>IF($C61="","",VLOOKUP($C61,Config!$A$2:$Y$4,7,FALSE))</x:f>
      </x:c>
      <x:c r="AC61" s="14">
        <x:f>IF($C61="","",VLOOKUP($C61,Config!$A$2:$Y$4,8,FALSE))</x:f>
      </x:c>
      <x:c r="AD61" s="14">
        <x:f>IF($C61="","",VLOOKUP($C61,Config!$A$2:$Y$4,9,FALSE))</x:f>
      </x:c>
      <x:c r="AE61" s="14">
        <x:f>IF($C61="","",VLOOKUP($C61,Config!$A$2:$Y$4,10,FALSE))</x:f>
      </x:c>
      <x:c r="AF61" s="14">
        <x:f>IF($C61="","",VLOOKUP($C61,Config!$A$2:$Y$4,11,FALSE))</x:f>
      </x:c>
      <x:c r="AG61" s="14">
        <x:f>IF($C61="","",VLOOKUP($C61,Config!$A$2:$Y$4,12,FALSE))</x:f>
      </x:c>
      <x:c r="AH61" s="14">
        <x:f>IF($C61="","",VLOOKUP($C61,Config!$A$2:$Y$4,13,FALSE))</x:f>
      </x:c>
      <x:c r="AI61" s="14">
        <x:f>IF($C61="","",VLOOKUP($C61,Config!$A$2:$Y$4,14,FALSE))</x:f>
      </x:c>
      <x:c r="AJ61" s="14">
        <x:f>IF($C61="","",VLOOKUP($C61,Config!$A$2:$Y$4,15,FALSE))</x:f>
      </x:c>
      <x:c r="AK61" s="14">
        <x:f>IF($C61="","",VLOOKUP($C61,Config!$A$2:$Y$4,16,FALSE))</x:f>
      </x:c>
      <x:c r="AL61" s="14">
        <x:f>IF($C61="","",VLOOKUP($C61,Config!$A$2:$Y$4,17,FALSE))</x:f>
      </x:c>
      <x:c r="AM61" s="14">
        <x:f>IF($C61="","",VLOOKUP($C61,Config!$A$2:$Y$4,18,FALSE))</x:f>
      </x:c>
      <x:c r="AN61" s="14">
        <x:f>IF($C61="","",VLOOKUP($C61,Config!$A$2:$Y$4,19,FALSE))</x:f>
      </x:c>
      <x:c r="AO61" s="14">
        <x:f>IF($C61="","",VLOOKUP($C61,Config!$A$2:$Y$4,20,FALSE))</x:f>
      </x:c>
      <x:c r="AP61" s="14">
        <x:f>IF($C61="","",VLOOKUP($C61,Config!$A$2:$Y$4,21,FALSE))</x:f>
      </x:c>
      <x:c r="AQ61" s="14">
        <x:f>IF($C61="","",VLOOKUP($C61,Config!$A$2:$Y$4,22,FALSE))</x:f>
      </x:c>
      <x:c r="AR61" s="14">
        <x:f>IF($C61="","",VLOOKUP($C61,Config!$A$2:$Y$4,23,FALSE))</x:f>
      </x:c>
      <x:c r="AS61" s="13">
        <x:f>IF($C61="","",IF($H61="Extra",3,IF($H61="I",2,IF($H61="II",1,0)))&gt;=IF($AA61="Extra",3,IF($AA61="I",2,IF($AA61="II",1,0))))</x:f>
      </x:c>
      <x:c r="AT61" s="13">
        <x:f>IF($C61="","",IF($I61="",FALSE,$I61&gt;=$AB61))</x:f>
      </x:c>
      <x:c r="AU61" s="13">
        <x:f>IF($C61="","",IF($AC61="",TRUE,IF($J61="",FALSE,$J61&lt;=$AC61)))</x:f>
      </x:c>
      <x:c r="AV61" s="13">
        <x:f>IF($C61="","",IF($AD61="",TRUE,IF($K61="",FALSE,$K61&lt;=$AD61)))</x:f>
      </x:c>
      <x:c r="AW61" s="13">
        <x:f>IF($C61="","",IF($AE61="",TRUE,IF($L61="",FALSE,$L61&lt;=$AE61)))</x:f>
      </x:c>
      <x:c r="AX61" s="13">
        <x:f>IF($C61="","",IF($AF61="",TRUE,IF($M61="",FALSE,$M61&lt;=$AF61)))</x:f>
      </x:c>
      <x:c r="AY61" s="13">
        <x:f>IF($C61="","",IF($AG61="",TRUE,IF($N61="",FALSE,$N61&gt;=$AG61)))</x:f>
      </x:c>
      <x:c r="AZ61" s="13">
        <x:f>IF($C61="","",IF(OR($AH61="",$AI61=""),TRUE,IF($O61="",FALSE,AND($O61&gt;=$AH61,$O61&lt;=$AI61))))</x:f>
      </x:c>
      <x:c r="BA61" s="13">
        <x:f>IF($C61="","",IF($AJ61="Y",$P61="Y",TRUE))</x:f>
      </x:c>
      <x:c r="BB61" s="13">
        <x:f>IF($C61="","",IF($AK61="Y",$Q61="Y",TRUE))</x:f>
      </x:c>
      <x:c r="BC61" s="13">
        <x:f>IF($C61="","",IF($AL61="Y",$R61="Y",TRUE))</x:f>
      </x:c>
      <x:c r="BD61" s="13">
        <x:f>IF($C61="","",IF($AM61="Y",$S61="Y",TRUE))</x:f>
      </x:c>
      <x:c r="BE61" s="13">
        <x:f>IF($C61="","",IF($AN61="Y",$T61="Y",TRUE))</x:f>
      </x:c>
      <x:c r="BF61" s="13">
        <x:f>IF($C61="","",IF($AO61="",TRUE,IF($U61="",FALSE,$U61&lt;=$AO61)))</x:f>
      </x:c>
      <x:c r="BG61" s="13">
        <x:f>IF($C61="","",IF($AP61="",TRUE,IF($V61="",FALSE,$V61&lt;=$AP61)))</x:f>
      </x:c>
      <x:c r="BH61" s="13">
        <x:f>IF($C61="","",IF($AQ61="",TRUE,IF($W61="",FALSE,$W61&lt;=$AQ61)))</x:f>
      </x:c>
      <x:c r="BI61" s="13">
        <x:f>IF($C61="","",IF($AR61="",TRUE,IF($X61="",FALSE,$X61&lt;=$AR61)))</x:f>
      </x:c>
      <x:c r="BJ61" s="15">
        <x:f>IF($C61="","",IF($Y61="",0,$Y61)+IF($AS61,10,0)+IF($AT61,8,0)+IF($AU61,5,0)+IF($AV61,8,0)+IF($AW61,15,0)+IF($AX61,4,0)+IF($AY61,5,0)+IF($AZ61,10,0)+IF($BA61,8,0)+IF($BB61,4,0)+IF($BC61,6,0)+IF($BD61,3,0)+IF($BE61,2,0)+IF($BF61,2,0)+IF($BG61,2,0)+IF($BH61,2,0)+IF($BI61,1,0))</x:f>
      </x:c>
      <x:c r="BK61" s="15">
        <x:f>IF($C61="","",IF(NOT($AS61),1,0)+IF(NOT($AW61),1,0)+IF(NOT($AZ61),1,0)+IF(NOT($BA61),1,0)+IF(NOT($BB61),1,0)+IF(NOT($BC61),1,0))</x:f>
      </x:c>
      <x:c r="BL61" s="13">
        <x:f>IF($C61="","",IF($BK61&gt;0,"REJECT",IF(COUNTIF($AS61:$BI61,FALSE)=0,"ACCEPT",IF($BJ61&gt;=85,"ACCEPT WITH SORTING / DISCOUNT","REJECT"))))</x:f>
      </x:c>
    </x:row>
    <x:row r="62" ht="24" customHeight="1">
      <x:c r="A62" s="10" t="n"/>
      <x:c r="B62" s="11" t="n"/>
      <x:c r="C62" s="11" t="n"/>
      <x:c r="D62" s="11" t="n"/>
      <x:c r="E62" s="11" t="n"/>
      <x:c r="F62" s="11" t="n"/>
      <x:c r="G62" s="11" t="n"/>
      <x:c r="H62" s="11" t="n"/>
      <x:c r="I62" s="12" t="n"/>
      <x:c r="J62" s="12" t="n"/>
      <x:c r="K62" s="12" t="n"/>
      <x:c r="L62" s="12" t="n"/>
      <x:c r="M62" s="12" t="n"/>
      <x:c r="N62" s="12" t="n"/>
      <x:c r="O62" s="12" t="n"/>
      <x:c r="P62" s="11" t="n"/>
      <x:c r="Q62" s="11" t="n"/>
      <x:c r="R62" s="11" t="n"/>
      <x:c r="S62" s="11" t="n"/>
      <x:c r="T62" s="11" t="n"/>
      <x:c r="U62" s="12" t="n"/>
      <x:c r="V62" s="12" t="n"/>
      <x:c r="W62" s="12" t="n"/>
      <x:c r="X62" s="12" t="n"/>
      <x:c r="Y62" s="12" t="n"/>
      <x:c r="Z62" s="13">
        <x:f>IF($C62="","",VLOOKUP($C62,Config!$A$2:$Y$4,2,FALSE))</x:f>
      </x:c>
      <x:c r="AA62" s="13">
        <x:f>IF($C62="","",VLOOKUP($C62,Config!$A$2:$Y$4,5,FALSE))</x:f>
      </x:c>
      <x:c r="AB62" s="14">
        <x:f>IF($C62="","",VLOOKUP($C62,Config!$A$2:$Y$4,7,FALSE))</x:f>
      </x:c>
      <x:c r="AC62" s="14">
        <x:f>IF($C62="","",VLOOKUP($C62,Config!$A$2:$Y$4,8,FALSE))</x:f>
      </x:c>
      <x:c r="AD62" s="14">
        <x:f>IF($C62="","",VLOOKUP($C62,Config!$A$2:$Y$4,9,FALSE))</x:f>
      </x:c>
      <x:c r="AE62" s="14">
        <x:f>IF($C62="","",VLOOKUP($C62,Config!$A$2:$Y$4,10,FALSE))</x:f>
      </x:c>
      <x:c r="AF62" s="14">
        <x:f>IF($C62="","",VLOOKUP($C62,Config!$A$2:$Y$4,11,FALSE))</x:f>
      </x:c>
      <x:c r="AG62" s="14">
        <x:f>IF($C62="","",VLOOKUP($C62,Config!$A$2:$Y$4,12,FALSE))</x:f>
      </x:c>
      <x:c r="AH62" s="14">
        <x:f>IF($C62="","",VLOOKUP($C62,Config!$A$2:$Y$4,13,FALSE))</x:f>
      </x:c>
      <x:c r="AI62" s="14">
        <x:f>IF($C62="","",VLOOKUP($C62,Config!$A$2:$Y$4,14,FALSE))</x:f>
      </x:c>
      <x:c r="AJ62" s="14">
        <x:f>IF($C62="","",VLOOKUP($C62,Config!$A$2:$Y$4,15,FALSE))</x:f>
      </x:c>
      <x:c r="AK62" s="14">
        <x:f>IF($C62="","",VLOOKUP($C62,Config!$A$2:$Y$4,16,FALSE))</x:f>
      </x:c>
      <x:c r="AL62" s="14">
        <x:f>IF($C62="","",VLOOKUP($C62,Config!$A$2:$Y$4,17,FALSE))</x:f>
      </x:c>
      <x:c r="AM62" s="14">
        <x:f>IF($C62="","",VLOOKUP($C62,Config!$A$2:$Y$4,18,FALSE))</x:f>
      </x:c>
      <x:c r="AN62" s="14">
        <x:f>IF($C62="","",VLOOKUP($C62,Config!$A$2:$Y$4,19,FALSE))</x:f>
      </x:c>
      <x:c r="AO62" s="14">
        <x:f>IF($C62="","",VLOOKUP($C62,Config!$A$2:$Y$4,20,FALSE))</x:f>
      </x:c>
      <x:c r="AP62" s="14">
        <x:f>IF($C62="","",VLOOKUP($C62,Config!$A$2:$Y$4,21,FALSE))</x:f>
      </x:c>
      <x:c r="AQ62" s="14">
        <x:f>IF($C62="","",VLOOKUP($C62,Config!$A$2:$Y$4,22,FALSE))</x:f>
      </x:c>
      <x:c r="AR62" s="14">
        <x:f>IF($C62="","",VLOOKUP($C62,Config!$A$2:$Y$4,23,FALSE))</x:f>
      </x:c>
      <x:c r="AS62" s="13">
        <x:f>IF($C62="","",IF($H62="Extra",3,IF($H62="I",2,IF($H62="II",1,0)))&gt;=IF($AA62="Extra",3,IF($AA62="I",2,IF($AA62="II",1,0))))</x:f>
      </x:c>
      <x:c r="AT62" s="13">
        <x:f>IF($C62="","",IF($I62="",FALSE,$I62&gt;=$AB62))</x:f>
      </x:c>
      <x:c r="AU62" s="13">
        <x:f>IF($C62="","",IF($AC62="",TRUE,IF($J62="",FALSE,$J62&lt;=$AC62)))</x:f>
      </x:c>
      <x:c r="AV62" s="13">
        <x:f>IF($C62="","",IF($AD62="",TRUE,IF($K62="",FALSE,$K62&lt;=$AD62)))</x:f>
      </x:c>
      <x:c r="AW62" s="13">
        <x:f>IF($C62="","",IF($AE62="",TRUE,IF($L62="",FALSE,$L62&lt;=$AE62)))</x:f>
      </x:c>
      <x:c r="AX62" s="13">
        <x:f>IF($C62="","",IF($AF62="",TRUE,IF($M62="",FALSE,$M62&lt;=$AF62)))</x:f>
      </x:c>
      <x:c r="AY62" s="13">
        <x:f>IF($C62="","",IF($AG62="",TRUE,IF($N62="",FALSE,$N62&gt;=$AG62)))</x:f>
      </x:c>
      <x:c r="AZ62" s="13">
        <x:f>IF($C62="","",IF(OR($AH62="",$AI62=""),TRUE,IF($O62="",FALSE,AND($O62&gt;=$AH62,$O62&lt;=$AI62))))</x:f>
      </x:c>
      <x:c r="BA62" s="13">
        <x:f>IF($C62="","",IF($AJ62="Y",$P62="Y",TRUE))</x:f>
      </x:c>
      <x:c r="BB62" s="13">
        <x:f>IF($C62="","",IF($AK62="Y",$Q62="Y",TRUE))</x:f>
      </x:c>
      <x:c r="BC62" s="13">
        <x:f>IF($C62="","",IF($AL62="Y",$R62="Y",TRUE))</x:f>
      </x:c>
      <x:c r="BD62" s="13">
        <x:f>IF($C62="","",IF($AM62="Y",$S62="Y",TRUE))</x:f>
      </x:c>
      <x:c r="BE62" s="13">
        <x:f>IF($C62="","",IF($AN62="Y",$T62="Y",TRUE))</x:f>
      </x:c>
      <x:c r="BF62" s="13">
        <x:f>IF($C62="","",IF($AO62="",TRUE,IF($U62="",FALSE,$U62&lt;=$AO62)))</x:f>
      </x:c>
      <x:c r="BG62" s="13">
        <x:f>IF($C62="","",IF($AP62="",TRUE,IF($V62="",FALSE,$V62&lt;=$AP62)))</x:f>
      </x:c>
      <x:c r="BH62" s="13">
        <x:f>IF($C62="","",IF($AQ62="",TRUE,IF($W62="",FALSE,$W62&lt;=$AQ62)))</x:f>
      </x:c>
      <x:c r="BI62" s="13">
        <x:f>IF($C62="","",IF($AR62="",TRUE,IF($X62="",FALSE,$X62&lt;=$AR62)))</x:f>
      </x:c>
      <x:c r="BJ62" s="15">
        <x:f>IF($C62="","",IF($Y62="",0,$Y62)+IF($AS62,10,0)+IF($AT62,8,0)+IF($AU62,5,0)+IF($AV62,8,0)+IF($AW62,15,0)+IF($AX62,4,0)+IF($AY62,5,0)+IF($AZ62,10,0)+IF($BA62,8,0)+IF($BB62,4,0)+IF($BC62,6,0)+IF($BD62,3,0)+IF($BE62,2,0)+IF($BF62,2,0)+IF($BG62,2,0)+IF($BH62,2,0)+IF($BI62,1,0))</x:f>
      </x:c>
      <x:c r="BK62" s="15">
        <x:f>IF($C62="","",IF(NOT($AS62),1,0)+IF(NOT($AW62),1,0)+IF(NOT($AZ62),1,0)+IF(NOT($BA62),1,0)+IF(NOT($BB62),1,0)+IF(NOT($BC62),1,0))</x:f>
      </x:c>
      <x:c r="BL62" s="13">
        <x:f>IF($C62="","",IF($BK62&gt;0,"REJECT",IF(COUNTIF($AS62:$BI62,FALSE)=0,"ACCEPT",IF($BJ62&gt;=85,"ACCEPT WITH SORTING / DISCOUNT","REJECT"))))</x:f>
      </x:c>
    </x:row>
    <x:row r="63" ht="24" customHeight="1">
      <x:c r="A63" s="10" t="n"/>
      <x:c r="B63" s="11" t="n"/>
      <x:c r="C63" s="11" t="n"/>
      <x:c r="D63" s="11" t="n"/>
      <x:c r="E63" s="11" t="n"/>
      <x:c r="F63" s="11" t="n"/>
      <x:c r="G63" s="11" t="n"/>
      <x:c r="H63" s="11" t="n"/>
      <x:c r="I63" s="12" t="n"/>
      <x:c r="J63" s="12" t="n"/>
      <x:c r="K63" s="12" t="n"/>
      <x:c r="L63" s="12" t="n"/>
      <x:c r="M63" s="12" t="n"/>
      <x:c r="N63" s="12" t="n"/>
      <x:c r="O63" s="12" t="n"/>
      <x:c r="P63" s="11" t="n"/>
      <x:c r="Q63" s="11" t="n"/>
      <x:c r="R63" s="11" t="n"/>
      <x:c r="S63" s="11" t="n"/>
      <x:c r="T63" s="11" t="n"/>
      <x:c r="U63" s="12" t="n"/>
      <x:c r="V63" s="12" t="n"/>
      <x:c r="W63" s="12" t="n"/>
      <x:c r="X63" s="12" t="n"/>
      <x:c r="Y63" s="12" t="n"/>
      <x:c r="Z63" s="13">
        <x:f>IF($C63="","",VLOOKUP($C63,Config!$A$2:$Y$4,2,FALSE))</x:f>
      </x:c>
      <x:c r="AA63" s="13">
        <x:f>IF($C63="","",VLOOKUP($C63,Config!$A$2:$Y$4,5,FALSE))</x:f>
      </x:c>
      <x:c r="AB63" s="14">
        <x:f>IF($C63="","",VLOOKUP($C63,Config!$A$2:$Y$4,7,FALSE))</x:f>
      </x:c>
      <x:c r="AC63" s="14">
        <x:f>IF($C63="","",VLOOKUP($C63,Config!$A$2:$Y$4,8,FALSE))</x:f>
      </x:c>
      <x:c r="AD63" s="14">
        <x:f>IF($C63="","",VLOOKUP($C63,Config!$A$2:$Y$4,9,FALSE))</x:f>
      </x:c>
      <x:c r="AE63" s="14">
        <x:f>IF($C63="","",VLOOKUP($C63,Config!$A$2:$Y$4,10,FALSE))</x:f>
      </x:c>
      <x:c r="AF63" s="14">
        <x:f>IF($C63="","",VLOOKUP($C63,Config!$A$2:$Y$4,11,FALSE))</x:f>
      </x:c>
      <x:c r="AG63" s="14">
        <x:f>IF($C63="","",VLOOKUP($C63,Config!$A$2:$Y$4,12,FALSE))</x:f>
      </x:c>
      <x:c r="AH63" s="14">
        <x:f>IF($C63="","",VLOOKUP($C63,Config!$A$2:$Y$4,13,FALSE))</x:f>
      </x:c>
      <x:c r="AI63" s="14">
        <x:f>IF($C63="","",VLOOKUP($C63,Config!$A$2:$Y$4,14,FALSE))</x:f>
      </x:c>
      <x:c r="AJ63" s="14">
        <x:f>IF($C63="","",VLOOKUP($C63,Config!$A$2:$Y$4,15,FALSE))</x:f>
      </x:c>
      <x:c r="AK63" s="14">
        <x:f>IF($C63="","",VLOOKUP($C63,Config!$A$2:$Y$4,16,FALSE))</x:f>
      </x:c>
      <x:c r="AL63" s="14">
        <x:f>IF($C63="","",VLOOKUP($C63,Config!$A$2:$Y$4,17,FALSE))</x:f>
      </x:c>
      <x:c r="AM63" s="14">
        <x:f>IF($C63="","",VLOOKUP($C63,Config!$A$2:$Y$4,18,FALSE))</x:f>
      </x:c>
      <x:c r="AN63" s="14">
        <x:f>IF($C63="","",VLOOKUP($C63,Config!$A$2:$Y$4,19,FALSE))</x:f>
      </x:c>
      <x:c r="AO63" s="14">
        <x:f>IF($C63="","",VLOOKUP($C63,Config!$A$2:$Y$4,20,FALSE))</x:f>
      </x:c>
      <x:c r="AP63" s="14">
        <x:f>IF($C63="","",VLOOKUP($C63,Config!$A$2:$Y$4,21,FALSE))</x:f>
      </x:c>
      <x:c r="AQ63" s="14">
        <x:f>IF($C63="","",VLOOKUP($C63,Config!$A$2:$Y$4,22,FALSE))</x:f>
      </x:c>
      <x:c r="AR63" s="14">
        <x:f>IF($C63="","",VLOOKUP($C63,Config!$A$2:$Y$4,23,FALSE))</x:f>
      </x:c>
      <x:c r="AS63" s="13">
        <x:f>IF($C63="","",IF($H63="Extra",3,IF($H63="I",2,IF($H63="II",1,0)))&gt;=IF($AA63="Extra",3,IF($AA63="I",2,IF($AA63="II",1,0))))</x:f>
      </x:c>
      <x:c r="AT63" s="13">
        <x:f>IF($C63="","",IF($I63="",FALSE,$I63&gt;=$AB63))</x:f>
      </x:c>
      <x:c r="AU63" s="13">
        <x:f>IF($C63="","",IF($AC63="",TRUE,IF($J63="",FALSE,$J63&lt;=$AC63)))</x:f>
      </x:c>
      <x:c r="AV63" s="13">
        <x:f>IF($C63="","",IF($AD63="",TRUE,IF($K63="",FALSE,$K63&lt;=$AD63)))</x:f>
      </x:c>
      <x:c r="AW63" s="13">
        <x:f>IF($C63="","",IF($AE63="",TRUE,IF($L63="",FALSE,$L63&lt;=$AE63)))</x:f>
      </x:c>
      <x:c r="AX63" s="13">
        <x:f>IF($C63="","",IF($AF63="",TRUE,IF($M63="",FALSE,$M63&lt;=$AF63)))</x:f>
      </x:c>
      <x:c r="AY63" s="13">
        <x:f>IF($C63="","",IF($AG63="",TRUE,IF($N63="",FALSE,$N63&gt;=$AG63)))</x:f>
      </x:c>
      <x:c r="AZ63" s="13">
        <x:f>IF($C63="","",IF(OR($AH63="",$AI63=""),TRUE,IF($O63="",FALSE,AND($O63&gt;=$AH63,$O63&lt;=$AI63))))</x:f>
      </x:c>
      <x:c r="BA63" s="13">
        <x:f>IF($C63="","",IF($AJ63="Y",$P63="Y",TRUE))</x:f>
      </x:c>
      <x:c r="BB63" s="13">
        <x:f>IF($C63="","",IF($AK63="Y",$Q63="Y",TRUE))</x:f>
      </x:c>
      <x:c r="BC63" s="13">
        <x:f>IF($C63="","",IF($AL63="Y",$R63="Y",TRUE))</x:f>
      </x:c>
      <x:c r="BD63" s="13">
        <x:f>IF($C63="","",IF($AM63="Y",$S63="Y",TRUE))</x:f>
      </x:c>
      <x:c r="BE63" s="13">
        <x:f>IF($C63="","",IF($AN63="Y",$T63="Y",TRUE))</x:f>
      </x:c>
      <x:c r="BF63" s="13">
        <x:f>IF($C63="","",IF($AO63="",TRUE,IF($U63="",FALSE,$U63&lt;=$AO63)))</x:f>
      </x:c>
      <x:c r="BG63" s="13">
        <x:f>IF($C63="","",IF($AP63="",TRUE,IF($V63="",FALSE,$V63&lt;=$AP63)))</x:f>
      </x:c>
      <x:c r="BH63" s="13">
        <x:f>IF($C63="","",IF($AQ63="",TRUE,IF($W63="",FALSE,$W63&lt;=$AQ63)))</x:f>
      </x:c>
      <x:c r="BI63" s="13">
        <x:f>IF($C63="","",IF($AR63="",TRUE,IF($X63="",FALSE,$X63&lt;=$AR63)))</x:f>
      </x:c>
      <x:c r="BJ63" s="15">
        <x:f>IF($C63="","",IF($Y63="",0,$Y63)+IF($AS63,10,0)+IF($AT63,8,0)+IF($AU63,5,0)+IF($AV63,8,0)+IF($AW63,15,0)+IF($AX63,4,0)+IF($AY63,5,0)+IF($AZ63,10,0)+IF($BA63,8,0)+IF($BB63,4,0)+IF($BC63,6,0)+IF($BD63,3,0)+IF($BE63,2,0)+IF($BF63,2,0)+IF($BG63,2,0)+IF($BH63,2,0)+IF($BI63,1,0))</x:f>
      </x:c>
      <x:c r="BK63" s="15">
        <x:f>IF($C63="","",IF(NOT($AS63),1,0)+IF(NOT($AW63),1,0)+IF(NOT($AZ63),1,0)+IF(NOT($BA63),1,0)+IF(NOT($BB63),1,0)+IF(NOT($BC63),1,0))</x:f>
      </x:c>
      <x:c r="BL63" s="13">
        <x:f>IF($C63="","",IF($BK63&gt;0,"REJECT",IF(COUNTIF($AS63:$BI63,FALSE)=0,"ACCEPT",IF($BJ63&gt;=85,"ACCEPT WITH SORTING / DISCOUNT","REJECT"))))</x:f>
      </x:c>
    </x:row>
    <x:row r="64" ht="24" customHeight="1">
      <x:c r="A64" s="10" t="n"/>
      <x:c r="B64" s="11" t="n"/>
      <x:c r="C64" s="11" t="n"/>
      <x:c r="D64" s="11" t="n"/>
      <x:c r="E64" s="11" t="n"/>
      <x:c r="F64" s="11" t="n"/>
      <x:c r="G64" s="11" t="n"/>
      <x:c r="H64" s="11" t="n"/>
      <x:c r="I64" s="12" t="n"/>
      <x:c r="J64" s="12" t="n"/>
      <x:c r="K64" s="12" t="n"/>
      <x:c r="L64" s="12" t="n"/>
      <x:c r="M64" s="12" t="n"/>
      <x:c r="N64" s="12" t="n"/>
      <x:c r="O64" s="12" t="n"/>
      <x:c r="P64" s="11" t="n"/>
      <x:c r="Q64" s="11" t="n"/>
      <x:c r="R64" s="11" t="n"/>
      <x:c r="S64" s="11" t="n"/>
      <x:c r="T64" s="11" t="n"/>
      <x:c r="U64" s="12" t="n"/>
      <x:c r="V64" s="12" t="n"/>
      <x:c r="W64" s="12" t="n"/>
      <x:c r="X64" s="12" t="n"/>
      <x:c r="Y64" s="12" t="n"/>
      <x:c r="Z64" s="13">
        <x:f>IF($C64="","",VLOOKUP($C64,Config!$A$2:$Y$4,2,FALSE))</x:f>
      </x:c>
      <x:c r="AA64" s="13">
        <x:f>IF($C64="","",VLOOKUP($C64,Config!$A$2:$Y$4,5,FALSE))</x:f>
      </x:c>
      <x:c r="AB64" s="14">
        <x:f>IF($C64="","",VLOOKUP($C64,Config!$A$2:$Y$4,7,FALSE))</x:f>
      </x:c>
      <x:c r="AC64" s="14">
        <x:f>IF($C64="","",VLOOKUP($C64,Config!$A$2:$Y$4,8,FALSE))</x:f>
      </x:c>
      <x:c r="AD64" s="14">
        <x:f>IF($C64="","",VLOOKUP($C64,Config!$A$2:$Y$4,9,FALSE))</x:f>
      </x:c>
      <x:c r="AE64" s="14">
        <x:f>IF($C64="","",VLOOKUP($C64,Config!$A$2:$Y$4,10,FALSE))</x:f>
      </x:c>
      <x:c r="AF64" s="14">
        <x:f>IF($C64="","",VLOOKUP($C64,Config!$A$2:$Y$4,11,FALSE))</x:f>
      </x:c>
      <x:c r="AG64" s="14">
        <x:f>IF($C64="","",VLOOKUP($C64,Config!$A$2:$Y$4,12,FALSE))</x:f>
      </x:c>
      <x:c r="AH64" s="14">
        <x:f>IF($C64="","",VLOOKUP($C64,Config!$A$2:$Y$4,13,FALSE))</x:f>
      </x:c>
      <x:c r="AI64" s="14">
        <x:f>IF($C64="","",VLOOKUP($C64,Config!$A$2:$Y$4,14,FALSE))</x:f>
      </x:c>
      <x:c r="AJ64" s="14">
        <x:f>IF($C64="","",VLOOKUP($C64,Config!$A$2:$Y$4,15,FALSE))</x:f>
      </x:c>
      <x:c r="AK64" s="14">
        <x:f>IF($C64="","",VLOOKUP($C64,Config!$A$2:$Y$4,16,FALSE))</x:f>
      </x:c>
      <x:c r="AL64" s="14">
        <x:f>IF($C64="","",VLOOKUP($C64,Config!$A$2:$Y$4,17,FALSE))</x:f>
      </x:c>
      <x:c r="AM64" s="14">
        <x:f>IF($C64="","",VLOOKUP($C64,Config!$A$2:$Y$4,18,FALSE))</x:f>
      </x:c>
      <x:c r="AN64" s="14">
        <x:f>IF($C64="","",VLOOKUP($C64,Config!$A$2:$Y$4,19,FALSE))</x:f>
      </x:c>
      <x:c r="AO64" s="14">
        <x:f>IF($C64="","",VLOOKUP($C64,Config!$A$2:$Y$4,20,FALSE))</x:f>
      </x:c>
      <x:c r="AP64" s="14">
        <x:f>IF($C64="","",VLOOKUP($C64,Config!$A$2:$Y$4,21,FALSE))</x:f>
      </x:c>
      <x:c r="AQ64" s="14">
        <x:f>IF($C64="","",VLOOKUP($C64,Config!$A$2:$Y$4,22,FALSE))</x:f>
      </x:c>
      <x:c r="AR64" s="14">
        <x:f>IF($C64="","",VLOOKUP($C64,Config!$A$2:$Y$4,23,FALSE))</x:f>
      </x:c>
      <x:c r="AS64" s="13">
        <x:f>IF($C64="","",IF($H64="Extra",3,IF($H64="I",2,IF($H64="II",1,0)))&gt;=IF($AA64="Extra",3,IF($AA64="I",2,IF($AA64="II",1,0))))</x:f>
      </x:c>
      <x:c r="AT64" s="13">
        <x:f>IF($C64="","",IF($I64="",FALSE,$I64&gt;=$AB64))</x:f>
      </x:c>
      <x:c r="AU64" s="13">
        <x:f>IF($C64="","",IF($AC64="",TRUE,IF($J64="",FALSE,$J64&lt;=$AC64)))</x:f>
      </x:c>
      <x:c r="AV64" s="13">
        <x:f>IF($C64="","",IF($AD64="",TRUE,IF($K64="",FALSE,$K64&lt;=$AD64)))</x:f>
      </x:c>
      <x:c r="AW64" s="13">
        <x:f>IF($C64="","",IF($AE64="",TRUE,IF($L64="",FALSE,$L64&lt;=$AE64)))</x:f>
      </x:c>
      <x:c r="AX64" s="13">
        <x:f>IF($C64="","",IF($AF64="",TRUE,IF($M64="",FALSE,$M64&lt;=$AF64)))</x:f>
      </x:c>
      <x:c r="AY64" s="13">
        <x:f>IF($C64="","",IF($AG64="",TRUE,IF($N64="",FALSE,$N64&gt;=$AG64)))</x:f>
      </x:c>
      <x:c r="AZ64" s="13">
        <x:f>IF($C64="","",IF(OR($AH64="",$AI64=""),TRUE,IF($O64="",FALSE,AND($O64&gt;=$AH64,$O64&lt;=$AI64))))</x:f>
      </x:c>
      <x:c r="BA64" s="13">
        <x:f>IF($C64="","",IF($AJ64="Y",$P64="Y",TRUE))</x:f>
      </x:c>
      <x:c r="BB64" s="13">
        <x:f>IF($C64="","",IF($AK64="Y",$Q64="Y",TRUE))</x:f>
      </x:c>
      <x:c r="BC64" s="13">
        <x:f>IF($C64="","",IF($AL64="Y",$R64="Y",TRUE))</x:f>
      </x:c>
      <x:c r="BD64" s="13">
        <x:f>IF($C64="","",IF($AM64="Y",$S64="Y",TRUE))</x:f>
      </x:c>
      <x:c r="BE64" s="13">
        <x:f>IF($C64="","",IF($AN64="Y",$T64="Y",TRUE))</x:f>
      </x:c>
      <x:c r="BF64" s="13">
        <x:f>IF($C64="","",IF($AO64="",TRUE,IF($U64="",FALSE,$U64&lt;=$AO64)))</x:f>
      </x:c>
      <x:c r="BG64" s="13">
        <x:f>IF($C64="","",IF($AP64="",TRUE,IF($V64="",FALSE,$V64&lt;=$AP64)))</x:f>
      </x:c>
      <x:c r="BH64" s="13">
        <x:f>IF($C64="","",IF($AQ64="",TRUE,IF($W64="",FALSE,$W64&lt;=$AQ64)))</x:f>
      </x:c>
      <x:c r="BI64" s="13">
        <x:f>IF($C64="","",IF($AR64="",TRUE,IF($X64="",FALSE,$X64&lt;=$AR64)))</x:f>
      </x:c>
      <x:c r="BJ64" s="15">
        <x:f>IF($C64="","",IF($Y64="",0,$Y64)+IF($AS64,10,0)+IF($AT64,8,0)+IF($AU64,5,0)+IF($AV64,8,0)+IF($AW64,15,0)+IF($AX64,4,0)+IF($AY64,5,0)+IF($AZ64,10,0)+IF($BA64,8,0)+IF($BB64,4,0)+IF($BC64,6,0)+IF($BD64,3,0)+IF($BE64,2,0)+IF($BF64,2,0)+IF($BG64,2,0)+IF($BH64,2,0)+IF($BI64,1,0))</x:f>
      </x:c>
      <x:c r="BK64" s="15">
        <x:f>IF($C64="","",IF(NOT($AS64),1,0)+IF(NOT($AW64),1,0)+IF(NOT($AZ64),1,0)+IF(NOT($BA64),1,0)+IF(NOT($BB64),1,0)+IF(NOT($BC64),1,0))</x:f>
      </x:c>
      <x:c r="BL64" s="13">
        <x:f>IF($C64="","",IF($BK64&gt;0,"REJECT",IF(COUNTIF($AS64:$BI64,FALSE)=0,"ACCEPT",IF($BJ64&gt;=85,"ACCEPT WITH SORTING / DISCOUNT","REJECT"))))</x:f>
      </x:c>
    </x:row>
    <x:row r="65" ht="24" customHeight="1">
      <x:c r="A65" s="10" t="n"/>
      <x:c r="B65" s="11" t="n"/>
      <x:c r="C65" s="11" t="n"/>
      <x:c r="D65" s="11" t="n"/>
      <x:c r="E65" s="11" t="n"/>
      <x:c r="F65" s="11" t="n"/>
      <x:c r="G65" s="11" t="n"/>
      <x:c r="H65" s="11" t="n"/>
      <x:c r="I65" s="12" t="n"/>
      <x:c r="J65" s="12" t="n"/>
      <x:c r="K65" s="12" t="n"/>
      <x:c r="L65" s="12" t="n"/>
      <x:c r="M65" s="12" t="n"/>
      <x:c r="N65" s="12" t="n"/>
      <x:c r="O65" s="12" t="n"/>
      <x:c r="P65" s="11" t="n"/>
      <x:c r="Q65" s="11" t="n"/>
      <x:c r="R65" s="11" t="n"/>
      <x:c r="S65" s="11" t="n"/>
      <x:c r="T65" s="11" t="n"/>
      <x:c r="U65" s="12" t="n"/>
      <x:c r="V65" s="12" t="n"/>
      <x:c r="W65" s="12" t="n"/>
      <x:c r="X65" s="12" t="n"/>
      <x:c r="Y65" s="12" t="n"/>
      <x:c r="Z65" s="13">
        <x:f>IF($C65="","",VLOOKUP($C65,Config!$A$2:$Y$4,2,FALSE))</x:f>
      </x:c>
      <x:c r="AA65" s="13">
        <x:f>IF($C65="","",VLOOKUP($C65,Config!$A$2:$Y$4,5,FALSE))</x:f>
      </x:c>
      <x:c r="AB65" s="14">
        <x:f>IF($C65="","",VLOOKUP($C65,Config!$A$2:$Y$4,7,FALSE))</x:f>
      </x:c>
      <x:c r="AC65" s="14">
        <x:f>IF($C65="","",VLOOKUP($C65,Config!$A$2:$Y$4,8,FALSE))</x:f>
      </x:c>
      <x:c r="AD65" s="14">
        <x:f>IF($C65="","",VLOOKUP($C65,Config!$A$2:$Y$4,9,FALSE))</x:f>
      </x:c>
      <x:c r="AE65" s="14">
        <x:f>IF($C65="","",VLOOKUP($C65,Config!$A$2:$Y$4,10,FALSE))</x:f>
      </x:c>
      <x:c r="AF65" s="14">
        <x:f>IF($C65="","",VLOOKUP($C65,Config!$A$2:$Y$4,11,FALSE))</x:f>
      </x:c>
      <x:c r="AG65" s="14">
        <x:f>IF($C65="","",VLOOKUP($C65,Config!$A$2:$Y$4,12,FALSE))</x:f>
      </x:c>
      <x:c r="AH65" s="14">
        <x:f>IF($C65="","",VLOOKUP($C65,Config!$A$2:$Y$4,13,FALSE))</x:f>
      </x:c>
      <x:c r="AI65" s="14">
        <x:f>IF($C65="","",VLOOKUP($C65,Config!$A$2:$Y$4,14,FALSE))</x:f>
      </x:c>
      <x:c r="AJ65" s="14">
        <x:f>IF($C65="","",VLOOKUP($C65,Config!$A$2:$Y$4,15,FALSE))</x:f>
      </x:c>
      <x:c r="AK65" s="14">
        <x:f>IF($C65="","",VLOOKUP($C65,Config!$A$2:$Y$4,16,FALSE))</x:f>
      </x:c>
      <x:c r="AL65" s="14">
        <x:f>IF($C65="","",VLOOKUP($C65,Config!$A$2:$Y$4,17,FALSE))</x:f>
      </x:c>
      <x:c r="AM65" s="14">
        <x:f>IF($C65="","",VLOOKUP($C65,Config!$A$2:$Y$4,18,FALSE))</x:f>
      </x:c>
      <x:c r="AN65" s="14">
        <x:f>IF($C65="","",VLOOKUP($C65,Config!$A$2:$Y$4,19,FALSE))</x:f>
      </x:c>
      <x:c r="AO65" s="14">
        <x:f>IF($C65="","",VLOOKUP($C65,Config!$A$2:$Y$4,20,FALSE))</x:f>
      </x:c>
      <x:c r="AP65" s="14">
        <x:f>IF($C65="","",VLOOKUP($C65,Config!$A$2:$Y$4,21,FALSE))</x:f>
      </x:c>
      <x:c r="AQ65" s="14">
        <x:f>IF($C65="","",VLOOKUP($C65,Config!$A$2:$Y$4,22,FALSE))</x:f>
      </x:c>
      <x:c r="AR65" s="14">
        <x:f>IF($C65="","",VLOOKUP($C65,Config!$A$2:$Y$4,23,FALSE))</x:f>
      </x:c>
      <x:c r="AS65" s="13">
        <x:f>IF($C65="","",IF($H65="Extra",3,IF($H65="I",2,IF($H65="II",1,0)))&gt;=IF($AA65="Extra",3,IF($AA65="I",2,IF($AA65="II",1,0))))</x:f>
      </x:c>
      <x:c r="AT65" s="13">
        <x:f>IF($C65="","",IF($I65="",FALSE,$I65&gt;=$AB65))</x:f>
      </x:c>
      <x:c r="AU65" s="13">
        <x:f>IF($C65="","",IF($AC65="",TRUE,IF($J65="",FALSE,$J65&lt;=$AC65)))</x:f>
      </x:c>
      <x:c r="AV65" s="13">
        <x:f>IF($C65="","",IF($AD65="",TRUE,IF($K65="",FALSE,$K65&lt;=$AD65)))</x:f>
      </x:c>
      <x:c r="AW65" s="13">
        <x:f>IF($C65="","",IF($AE65="",TRUE,IF($L65="",FALSE,$L65&lt;=$AE65)))</x:f>
      </x:c>
      <x:c r="AX65" s="13">
        <x:f>IF($C65="","",IF($AF65="",TRUE,IF($M65="",FALSE,$M65&lt;=$AF65)))</x:f>
      </x:c>
      <x:c r="AY65" s="13">
        <x:f>IF($C65="","",IF($AG65="",TRUE,IF($N65="",FALSE,$N65&gt;=$AG65)))</x:f>
      </x:c>
      <x:c r="AZ65" s="13">
        <x:f>IF($C65="","",IF(OR($AH65="",$AI65=""),TRUE,IF($O65="",FALSE,AND($O65&gt;=$AH65,$O65&lt;=$AI65))))</x:f>
      </x:c>
      <x:c r="BA65" s="13">
        <x:f>IF($C65="","",IF($AJ65="Y",$P65="Y",TRUE))</x:f>
      </x:c>
      <x:c r="BB65" s="13">
        <x:f>IF($C65="","",IF($AK65="Y",$Q65="Y",TRUE))</x:f>
      </x:c>
      <x:c r="BC65" s="13">
        <x:f>IF($C65="","",IF($AL65="Y",$R65="Y",TRUE))</x:f>
      </x:c>
      <x:c r="BD65" s="13">
        <x:f>IF($C65="","",IF($AM65="Y",$S65="Y",TRUE))</x:f>
      </x:c>
      <x:c r="BE65" s="13">
        <x:f>IF($C65="","",IF($AN65="Y",$T65="Y",TRUE))</x:f>
      </x:c>
      <x:c r="BF65" s="13">
        <x:f>IF($C65="","",IF($AO65="",TRUE,IF($U65="",FALSE,$U65&lt;=$AO65)))</x:f>
      </x:c>
      <x:c r="BG65" s="13">
        <x:f>IF($C65="","",IF($AP65="",TRUE,IF($V65="",FALSE,$V65&lt;=$AP65)))</x:f>
      </x:c>
      <x:c r="BH65" s="13">
        <x:f>IF($C65="","",IF($AQ65="",TRUE,IF($W65="",FALSE,$W65&lt;=$AQ65)))</x:f>
      </x:c>
      <x:c r="BI65" s="13">
        <x:f>IF($C65="","",IF($AR65="",TRUE,IF($X65="",FALSE,$X65&lt;=$AR65)))</x:f>
      </x:c>
      <x:c r="BJ65" s="15">
        <x:f>IF($C65="","",IF($Y65="",0,$Y65)+IF($AS65,10,0)+IF($AT65,8,0)+IF($AU65,5,0)+IF($AV65,8,0)+IF($AW65,15,0)+IF($AX65,4,0)+IF($AY65,5,0)+IF($AZ65,10,0)+IF($BA65,8,0)+IF($BB65,4,0)+IF($BC65,6,0)+IF($BD65,3,0)+IF($BE65,2,0)+IF($BF65,2,0)+IF($BG65,2,0)+IF($BH65,2,0)+IF($BI65,1,0))</x:f>
      </x:c>
      <x:c r="BK65" s="15">
        <x:f>IF($C65="","",IF(NOT($AS65),1,0)+IF(NOT($AW65),1,0)+IF(NOT($AZ65),1,0)+IF(NOT($BA65),1,0)+IF(NOT($BB65),1,0)+IF(NOT($BC65),1,0))</x:f>
      </x:c>
      <x:c r="BL65" s="13">
        <x:f>IF($C65="","",IF($BK65&gt;0,"REJECT",IF(COUNTIF($AS65:$BI65,FALSE)=0,"ACCEPT",IF($BJ65&gt;=85,"ACCEPT WITH SORTING / DISCOUNT","REJECT"))))</x:f>
      </x:c>
    </x:row>
    <x:row r="66" ht="24" customHeight="1">
      <x:c r="A66" s="10" t="n"/>
      <x:c r="B66" s="11" t="n"/>
      <x:c r="C66" s="11" t="n"/>
      <x:c r="D66" s="11" t="n"/>
      <x:c r="E66" s="11" t="n"/>
      <x:c r="F66" s="11" t="n"/>
      <x:c r="G66" s="11" t="n"/>
      <x:c r="H66" s="11" t="n"/>
      <x:c r="I66" s="12" t="n"/>
      <x:c r="J66" s="12" t="n"/>
      <x:c r="K66" s="12" t="n"/>
      <x:c r="L66" s="12" t="n"/>
      <x:c r="M66" s="12" t="n"/>
      <x:c r="N66" s="12" t="n"/>
      <x:c r="O66" s="12" t="n"/>
      <x:c r="P66" s="11" t="n"/>
      <x:c r="Q66" s="11" t="n"/>
      <x:c r="R66" s="11" t="n"/>
      <x:c r="S66" s="11" t="n"/>
      <x:c r="T66" s="11" t="n"/>
      <x:c r="U66" s="12" t="n"/>
      <x:c r="V66" s="12" t="n"/>
      <x:c r="W66" s="12" t="n"/>
      <x:c r="X66" s="12" t="n"/>
      <x:c r="Y66" s="12" t="n"/>
      <x:c r="Z66" s="13">
        <x:f>IF($C66="","",VLOOKUP($C66,Config!$A$2:$Y$4,2,FALSE))</x:f>
      </x:c>
      <x:c r="AA66" s="13">
        <x:f>IF($C66="","",VLOOKUP($C66,Config!$A$2:$Y$4,5,FALSE))</x:f>
      </x:c>
      <x:c r="AB66" s="14">
        <x:f>IF($C66="","",VLOOKUP($C66,Config!$A$2:$Y$4,7,FALSE))</x:f>
      </x:c>
      <x:c r="AC66" s="14">
        <x:f>IF($C66="","",VLOOKUP($C66,Config!$A$2:$Y$4,8,FALSE))</x:f>
      </x:c>
      <x:c r="AD66" s="14">
        <x:f>IF($C66="","",VLOOKUP($C66,Config!$A$2:$Y$4,9,FALSE))</x:f>
      </x:c>
      <x:c r="AE66" s="14">
        <x:f>IF($C66="","",VLOOKUP($C66,Config!$A$2:$Y$4,10,FALSE))</x:f>
      </x:c>
      <x:c r="AF66" s="14">
        <x:f>IF($C66="","",VLOOKUP($C66,Config!$A$2:$Y$4,11,FALSE))</x:f>
      </x:c>
      <x:c r="AG66" s="14">
        <x:f>IF($C66="","",VLOOKUP($C66,Config!$A$2:$Y$4,12,FALSE))</x:f>
      </x:c>
      <x:c r="AH66" s="14">
        <x:f>IF($C66="","",VLOOKUP($C66,Config!$A$2:$Y$4,13,FALSE))</x:f>
      </x:c>
      <x:c r="AI66" s="14">
        <x:f>IF($C66="","",VLOOKUP($C66,Config!$A$2:$Y$4,14,FALSE))</x:f>
      </x:c>
      <x:c r="AJ66" s="14">
        <x:f>IF($C66="","",VLOOKUP($C66,Config!$A$2:$Y$4,15,FALSE))</x:f>
      </x:c>
      <x:c r="AK66" s="14">
        <x:f>IF($C66="","",VLOOKUP($C66,Config!$A$2:$Y$4,16,FALSE))</x:f>
      </x:c>
      <x:c r="AL66" s="14">
        <x:f>IF($C66="","",VLOOKUP($C66,Config!$A$2:$Y$4,17,FALSE))</x:f>
      </x:c>
      <x:c r="AM66" s="14">
        <x:f>IF($C66="","",VLOOKUP($C66,Config!$A$2:$Y$4,18,FALSE))</x:f>
      </x:c>
      <x:c r="AN66" s="14">
        <x:f>IF($C66="","",VLOOKUP($C66,Config!$A$2:$Y$4,19,FALSE))</x:f>
      </x:c>
      <x:c r="AO66" s="14">
        <x:f>IF($C66="","",VLOOKUP($C66,Config!$A$2:$Y$4,20,FALSE))</x:f>
      </x:c>
      <x:c r="AP66" s="14">
        <x:f>IF($C66="","",VLOOKUP($C66,Config!$A$2:$Y$4,21,FALSE))</x:f>
      </x:c>
      <x:c r="AQ66" s="14">
        <x:f>IF($C66="","",VLOOKUP($C66,Config!$A$2:$Y$4,22,FALSE))</x:f>
      </x:c>
      <x:c r="AR66" s="14">
        <x:f>IF($C66="","",VLOOKUP($C66,Config!$A$2:$Y$4,23,FALSE))</x:f>
      </x:c>
      <x:c r="AS66" s="13">
        <x:f>IF($C66="","",IF($H66="Extra",3,IF($H66="I",2,IF($H66="II",1,0)))&gt;=IF($AA66="Extra",3,IF($AA66="I",2,IF($AA66="II",1,0))))</x:f>
      </x:c>
      <x:c r="AT66" s="13">
        <x:f>IF($C66="","",IF($I66="",FALSE,$I66&gt;=$AB66))</x:f>
      </x:c>
      <x:c r="AU66" s="13">
        <x:f>IF($C66="","",IF($AC66="",TRUE,IF($J66="",FALSE,$J66&lt;=$AC66)))</x:f>
      </x:c>
      <x:c r="AV66" s="13">
        <x:f>IF($C66="","",IF($AD66="",TRUE,IF($K66="",FALSE,$K66&lt;=$AD66)))</x:f>
      </x:c>
      <x:c r="AW66" s="13">
        <x:f>IF($C66="","",IF($AE66="",TRUE,IF($L66="",FALSE,$L66&lt;=$AE66)))</x:f>
      </x:c>
      <x:c r="AX66" s="13">
        <x:f>IF($C66="","",IF($AF66="",TRUE,IF($M66="",FALSE,$M66&lt;=$AF66)))</x:f>
      </x:c>
      <x:c r="AY66" s="13">
        <x:f>IF($C66="","",IF($AG66="",TRUE,IF($N66="",FALSE,$N66&gt;=$AG66)))</x:f>
      </x:c>
      <x:c r="AZ66" s="13">
        <x:f>IF($C66="","",IF(OR($AH66="",$AI66=""),TRUE,IF($O66="",FALSE,AND($O66&gt;=$AH66,$O66&lt;=$AI66))))</x:f>
      </x:c>
      <x:c r="BA66" s="13">
        <x:f>IF($C66="","",IF($AJ66="Y",$P66="Y",TRUE))</x:f>
      </x:c>
      <x:c r="BB66" s="13">
        <x:f>IF($C66="","",IF($AK66="Y",$Q66="Y",TRUE))</x:f>
      </x:c>
      <x:c r="BC66" s="13">
        <x:f>IF($C66="","",IF($AL66="Y",$R66="Y",TRUE))</x:f>
      </x:c>
      <x:c r="BD66" s="13">
        <x:f>IF($C66="","",IF($AM66="Y",$S66="Y",TRUE))</x:f>
      </x:c>
      <x:c r="BE66" s="13">
        <x:f>IF($C66="","",IF($AN66="Y",$T66="Y",TRUE))</x:f>
      </x:c>
      <x:c r="BF66" s="13">
        <x:f>IF($C66="","",IF($AO66="",TRUE,IF($U66="",FALSE,$U66&lt;=$AO66)))</x:f>
      </x:c>
      <x:c r="BG66" s="13">
        <x:f>IF($C66="","",IF($AP66="",TRUE,IF($V66="",FALSE,$V66&lt;=$AP66)))</x:f>
      </x:c>
      <x:c r="BH66" s="13">
        <x:f>IF($C66="","",IF($AQ66="",TRUE,IF($W66="",FALSE,$W66&lt;=$AQ66)))</x:f>
      </x:c>
      <x:c r="BI66" s="13">
        <x:f>IF($C66="","",IF($AR66="",TRUE,IF($X66="",FALSE,$X66&lt;=$AR66)))</x:f>
      </x:c>
      <x:c r="BJ66" s="15">
        <x:f>IF($C66="","",IF($Y66="",0,$Y66)+IF($AS66,10,0)+IF($AT66,8,0)+IF($AU66,5,0)+IF($AV66,8,0)+IF($AW66,15,0)+IF($AX66,4,0)+IF($AY66,5,0)+IF($AZ66,10,0)+IF($BA66,8,0)+IF($BB66,4,0)+IF($BC66,6,0)+IF($BD66,3,0)+IF($BE66,2,0)+IF($BF66,2,0)+IF($BG66,2,0)+IF($BH66,2,0)+IF($BI66,1,0))</x:f>
      </x:c>
      <x:c r="BK66" s="15">
        <x:f>IF($C66="","",IF(NOT($AS66),1,0)+IF(NOT($AW66),1,0)+IF(NOT($AZ66),1,0)+IF(NOT($BA66),1,0)+IF(NOT($BB66),1,0)+IF(NOT($BC66),1,0))</x:f>
      </x:c>
      <x:c r="BL66" s="13">
        <x:f>IF($C66="","",IF($BK66&gt;0,"REJECT",IF(COUNTIF($AS66:$BI66,FALSE)=0,"ACCEPT",IF($BJ66&gt;=85,"ACCEPT WITH SORTING / DISCOUNT","REJECT"))))</x:f>
      </x:c>
    </x:row>
    <x:row r="67" ht="24" customHeight="1">
      <x:c r="A67" s="10" t="n"/>
      <x:c r="B67" s="11" t="n"/>
      <x:c r="C67" s="11" t="n"/>
      <x:c r="D67" s="11" t="n"/>
      <x:c r="E67" s="11" t="n"/>
      <x:c r="F67" s="11" t="n"/>
      <x:c r="G67" s="11" t="n"/>
      <x:c r="H67" s="11" t="n"/>
      <x:c r="I67" s="12" t="n"/>
      <x:c r="J67" s="12" t="n"/>
      <x:c r="K67" s="12" t="n"/>
      <x:c r="L67" s="12" t="n"/>
      <x:c r="M67" s="12" t="n"/>
      <x:c r="N67" s="12" t="n"/>
      <x:c r="O67" s="12" t="n"/>
      <x:c r="P67" s="11" t="n"/>
      <x:c r="Q67" s="11" t="n"/>
      <x:c r="R67" s="11" t="n"/>
      <x:c r="S67" s="11" t="n"/>
      <x:c r="T67" s="11" t="n"/>
      <x:c r="U67" s="12" t="n"/>
      <x:c r="V67" s="12" t="n"/>
      <x:c r="W67" s="12" t="n"/>
      <x:c r="X67" s="12" t="n"/>
      <x:c r="Y67" s="12" t="n"/>
      <x:c r="Z67" s="13">
        <x:f>IF($C67="","",VLOOKUP($C67,Config!$A$2:$Y$4,2,FALSE))</x:f>
      </x:c>
      <x:c r="AA67" s="13">
        <x:f>IF($C67="","",VLOOKUP($C67,Config!$A$2:$Y$4,5,FALSE))</x:f>
      </x:c>
      <x:c r="AB67" s="14">
        <x:f>IF($C67="","",VLOOKUP($C67,Config!$A$2:$Y$4,7,FALSE))</x:f>
      </x:c>
      <x:c r="AC67" s="14">
        <x:f>IF($C67="","",VLOOKUP($C67,Config!$A$2:$Y$4,8,FALSE))</x:f>
      </x:c>
      <x:c r="AD67" s="14">
        <x:f>IF($C67="","",VLOOKUP($C67,Config!$A$2:$Y$4,9,FALSE))</x:f>
      </x:c>
      <x:c r="AE67" s="14">
        <x:f>IF($C67="","",VLOOKUP($C67,Config!$A$2:$Y$4,10,FALSE))</x:f>
      </x:c>
      <x:c r="AF67" s="14">
        <x:f>IF($C67="","",VLOOKUP($C67,Config!$A$2:$Y$4,11,FALSE))</x:f>
      </x:c>
      <x:c r="AG67" s="14">
        <x:f>IF($C67="","",VLOOKUP($C67,Config!$A$2:$Y$4,12,FALSE))</x:f>
      </x:c>
      <x:c r="AH67" s="14">
        <x:f>IF($C67="","",VLOOKUP($C67,Config!$A$2:$Y$4,13,FALSE))</x:f>
      </x:c>
      <x:c r="AI67" s="14">
        <x:f>IF($C67="","",VLOOKUP($C67,Config!$A$2:$Y$4,14,FALSE))</x:f>
      </x:c>
      <x:c r="AJ67" s="14">
        <x:f>IF($C67="","",VLOOKUP($C67,Config!$A$2:$Y$4,15,FALSE))</x:f>
      </x:c>
      <x:c r="AK67" s="14">
        <x:f>IF($C67="","",VLOOKUP($C67,Config!$A$2:$Y$4,16,FALSE))</x:f>
      </x:c>
      <x:c r="AL67" s="14">
        <x:f>IF($C67="","",VLOOKUP($C67,Config!$A$2:$Y$4,17,FALSE))</x:f>
      </x:c>
      <x:c r="AM67" s="14">
        <x:f>IF($C67="","",VLOOKUP($C67,Config!$A$2:$Y$4,18,FALSE))</x:f>
      </x:c>
      <x:c r="AN67" s="14">
        <x:f>IF($C67="","",VLOOKUP($C67,Config!$A$2:$Y$4,19,FALSE))</x:f>
      </x:c>
      <x:c r="AO67" s="14">
        <x:f>IF($C67="","",VLOOKUP($C67,Config!$A$2:$Y$4,20,FALSE))</x:f>
      </x:c>
      <x:c r="AP67" s="14">
        <x:f>IF($C67="","",VLOOKUP($C67,Config!$A$2:$Y$4,21,FALSE))</x:f>
      </x:c>
      <x:c r="AQ67" s="14">
        <x:f>IF($C67="","",VLOOKUP($C67,Config!$A$2:$Y$4,22,FALSE))</x:f>
      </x:c>
      <x:c r="AR67" s="14">
        <x:f>IF($C67="","",VLOOKUP($C67,Config!$A$2:$Y$4,23,FALSE))</x:f>
      </x:c>
      <x:c r="AS67" s="13">
        <x:f>IF($C67="","",IF($H67="Extra",3,IF($H67="I",2,IF($H67="II",1,0)))&gt;=IF($AA67="Extra",3,IF($AA67="I",2,IF($AA67="II",1,0))))</x:f>
      </x:c>
      <x:c r="AT67" s="13">
        <x:f>IF($C67="","",IF($I67="",FALSE,$I67&gt;=$AB67))</x:f>
      </x:c>
      <x:c r="AU67" s="13">
        <x:f>IF($C67="","",IF($AC67="",TRUE,IF($J67="",FALSE,$J67&lt;=$AC67)))</x:f>
      </x:c>
      <x:c r="AV67" s="13">
        <x:f>IF($C67="","",IF($AD67="",TRUE,IF($K67="",FALSE,$K67&lt;=$AD67)))</x:f>
      </x:c>
      <x:c r="AW67" s="13">
        <x:f>IF($C67="","",IF($AE67="",TRUE,IF($L67="",FALSE,$L67&lt;=$AE67)))</x:f>
      </x:c>
      <x:c r="AX67" s="13">
        <x:f>IF($C67="","",IF($AF67="",TRUE,IF($M67="",FALSE,$M67&lt;=$AF67)))</x:f>
      </x:c>
      <x:c r="AY67" s="13">
        <x:f>IF($C67="","",IF($AG67="",TRUE,IF($N67="",FALSE,$N67&gt;=$AG67)))</x:f>
      </x:c>
      <x:c r="AZ67" s="13">
        <x:f>IF($C67="","",IF(OR($AH67="",$AI67=""),TRUE,IF($O67="",FALSE,AND($O67&gt;=$AH67,$O67&lt;=$AI67))))</x:f>
      </x:c>
      <x:c r="BA67" s="13">
        <x:f>IF($C67="","",IF($AJ67="Y",$P67="Y",TRUE))</x:f>
      </x:c>
      <x:c r="BB67" s="13">
        <x:f>IF($C67="","",IF($AK67="Y",$Q67="Y",TRUE))</x:f>
      </x:c>
      <x:c r="BC67" s="13">
        <x:f>IF($C67="","",IF($AL67="Y",$R67="Y",TRUE))</x:f>
      </x:c>
      <x:c r="BD67" s="13">
        <x:f>IF($C67="","",IF($AM67="Y",$S67="Y",TRUE))</x:f>
      </x:c>
      <x:c r="BE67" s="13">
        <x:f>IF($C67="","",IF($AN67="Y",$T67="Y",TRUE))</x:f>
      </x:c>
      <x:c r="BF67" s="13">
        <x:f>IF($C67="","",IF($AO67="",TRUE,IF($U67="",FALSE,$U67&lt;=$AO67)))</x:f>
      </x:c>
      <x:c r="BG67" s="13">
        <x:f>IF($C67="","",IF($AP67="",TRUE,IF($V67="",FALSE,$V67&lt;=$AP67)))</x:f>
      </x:c>
      <x:c r="BH67" s="13">
        <x:f>IF($C67="","",IF($AQ67="",TRUE,IF($W67="",FALSE,$W67&lt;=$AQ67)))</x:f>
      </x:c>
      <x:c r="BI67" s="13">
        <x:f>IF($C67="","",IF($AR67="",TRUE,IF($X67="",FALSE,$X67&lt;=$AR67)))</x:f>
      </x:c>
      <x:c r="BJ67" s="15">
        <x:f>IF($C67="","",IF($Y67="",0,$Y67)+IF($AS67,10,0)+IF($AT67,8,0)+IF($AU67,5,0)+IF($AV67,8,0)+IF($AW67,15,0)+IF($AX67,4,0)+IF($AY67,5,0)+IF($AZ67,10,0)+IF($BA67,8,0)+IF($BB67,4,0)+IF($BC67,6,0)+IF($BD67,3,0)+IF($BE67,2,0)+IF($BF67,2,0)+IF($BG67,2,0)+IF($BH67,2,0)+IF($BI67,1,0))</x:f>
      </x:c>
      <x:c r="BK67" s="15">
        <x:f>IF($C67="","",IF(NOT($AS67),1,0)+IF(NOT($AW67),1,0)+IF(NOT($AZ67),1,0)+IF(NOT($BA67),1,0)+IF(NOT($BB67),1,0)+IF(NOT($BC67),1,0))</x:f>
      </x:c>
      <x:c r="BL67" s="13">
        <x:f>IF($C67="","",IF($BK67&gt;0,"REJECT",IF(COUNTIF($AS67:$BI67,FALSE)=0,"ACCEPT",IF($BJ67&gt;=85,"ACCEPT WITH SORTING / DISCOUNT","REJECT"))))</x:f>
      </x:c>
    </x:row>
    <x:row r="68" ht="24" customHeight="1">
      <x:c r="A68" s="10" t="n"/>
      <x:c r="B68" s="11" t="n"/>
      <x:c r="C68" s="11" t="n"/>
      <x:c r="D68" s="11" t="n"/>
      <x:c r="E68" s="11" t="n"/>
      <x:c r="F68" s="11" t="n"/>
      <x:c r="G68" s="11" t="n"/>
      <x:c r="H68" s="11" t="n"/>
      <x:c r="I68" s="12" t="n"/>
      <x:c r="J68" s="12" t="n"/>
      <x:c r="K68" s="12" t="n"/>
      <x:c r="L68" s="12" t="n"/>
      <x:c r="M68" s="12" t="n"/>
      <x:c r="N68" s="12" t="n"/>
      <x:c r="O68" s="12" t="n"/>
      <x:c r="P68" s="11" t="n"/>
      <x:c r="Q68" s="11" t="n"/>
      <x:c r="R68" s="11" t="n"/>
      <x:c r="S68" s="11" t="n"/>
      <x:c r="T68" s="11" t="n"/>
      <x:c r="U68" s="12" t="n"/>
      <x:c r="V68" s="12" t="n"/>
      <x:c r="W68" s="12" t="n"/>
      <x:c r="X68" s="12" t="n"/>
      <x:c r="Y68" s="12" t="n"/>
      <x:c r="Z68" s="13">
        <x:f>IF($C68="","",VLOOKUP($C68,Config!$A$2:$Y$4,2,FALSE))</x:f>
      </x:c>
      <x:c r="AA68" s="13">
        <x:f>IF($C68="","",VLOOKUP($C68,Config!$A$2:$Y$4,5,FALSE))</x:f>
      </x:c>
      <x:c r="AB68" s="14">
        <x:f>IF($C68="","",VLOOKUP($C68,Config!$A$2:$Y$4,7,FALSE))</x:f>
      </x:c>
      <x:c r="AC68" s="14">
        <x:f>IF($C68="","",VLOOKUP($C68,Config!$A$2:$Y$4,8,FALSE))</x:f>
      </x:c>
      <x:c r="AD68" s="14">
        <x:f>IF($C68="","",VLOOKUP($C68,Config!$A$2:$Y$4,9,FALSE))</x:f>
      </x:c>
      <x:c r="AE68" s="14">
        <x:f>IF($C68="","",VLOOKUP($C68,Config!$A$2:$Y$4,10,FALSE))</x:f>
      </x:c>
      <x:c r="AF68" s="14">
        <x:f>IF($C68="","",VLOOKUP($C68,Config!$A$2:$Y$4,11,FALSE))</x:f>
      </x:c>
      <x:c r="AG68" s="14">
        <x:f>IF($C68="","",VLOOKUP($C68,Config!$A$2:$Y$4,12,FALSE))</x:f>
      </x:c>
      <x:c r="AH68" s="14">
        <x:f>IF($C68="","",VLOOKUP($C68,Config!$A$2:$Y$4,13,FALSE))</x:f>
      </x:c>
      <x:c r="AI68" s="14">
        <x:f>IF($C68="","",VLOOKUP($C68,Config!$A$2:$Y$4,14,FALSE))</x:f>
      </x:c>
      <x:c r="AJ68" s="14">
        <x:f>IF($C68="","",VLOOKUP($C68,Config!$A$2:$Y$4,15,FALSE))</x:f>
      </x:c>
      <x:c r="AK68" s="14">
        <x:f>IF($C68="","",VLOOKUP($C68,Config!$A$2:$Y$4,16,FALSE))</x:f>
      </x:c>
      <x:c r="AL68" s="14">
        <x:f>IF($C68="","",VLOOKUP($C68,Config!$A$2:$Y$4,17,FALSE))</x:f>
      </x:c>
      <x:c r="AM68" s="14">
        <x:f>IF($C68="","",VLOOKUP($C68,Config!$A$2:$Y$4,18,FALSE))</x:f>
      </x:c>
      <x:c r="AN68" s="14">
        <x:f>IF($C68="","",VLOOKUP($C68,Config!$A$2:$Y$4,19,FALSE))</x:f>
      </x:c>
      <x:c r="AO68" s="14">
        <x:f>IF($C68="","",VLOOKUP($C68,Config!$A$2:$Y$4,20,FALSE))</x:f>
      </x:c>
      <x:c r="AP68" s="14">
        <x:f>IF($C68="","",VLOOKUP($C68,Config!$A$2:$Y$4,21,FALSE))</x:f>
      </x:c>
      <x:c r="AQ68" s="14">
        <x:f>IF($C68="","",VLOOKUP($C68,Config!$A$2:$Y$4,22,FALSE))</x:f>
      </x:c>
      <x:c r="AR68" s="14">
        <x:f>IF($C68="","",VLOOKUP($C68,Config!$A$2:$Y$4,23,FALSE))</x:f>
      </x:c>
      <x:c r="AS68" s="13">
        <x:f>IF($C68="","",IF($H68="Extra",3,IF($H68="I",2,IF($H68="II",1,0)))&gt;=IF($AA68="Extra",3,IF($AA68="I",2,IF($AA68="II",1,0))))</x:f>
      </x:c>
      <x:c r="AT68" s="13">
        <x:f>IF($C68="","",IF($I68="",FALSE,$I68&gt;=$AB68))</x:f>
      </x:c>
      <x:c r="AU68" s="13">
        <x:f>IF($C68="","",IF($AC68="",TRUE,IF($J68="",FALSE,$J68&lt;=$AC68)))</x:f>
      </x:c>
      <x:c r="AV68" s="13">
        <x:f>IF($C68="","",IF($AD68="",TRUE,IF($K68="",FALSE,$K68&lt;=$AD68)))</x:f>
      </x:c>
      <x:c r="AW68" s="13">
        <x:f>IF($C68="","",IF($AE68="",TRUE,IF($L68="",FALSE,$L68&lt;=$AE68)))</x:f>
      </x:c>
      <x:c r="AX68" s="13">
        <x:f>IF($C68="","",IF($AF68="",TRUE,IF($M68="",FALSE,$M68&lt;=$AF68)))</x:f>
      </x:c>
      <x:c r="AY68" s="13">
        <x:f>IF($C68="","",IF($AG68="",TRUE,IF($N68="",FALSE,$N68&gt;=$AG68)))</x:f>
      </x:c>
      <x:c r="AZ68" s="13">
        <x:f>IF($C68="","",IF(OR($AH68="",$AI68=""),TRUE,IF($O68="",FALSE,AND($O68&gt;=$AH68,$O68&lt;=$AI68))))</x:f>
      </x:c>
      <x:c r="BA68" s="13">
        <x:f>IF($C68="","",IF($AJ68="Y",$P68="Y",TRUE))</x:f>
      </x:c>
      <x:c r="BB68" s="13">
        <x:f>IF($C68="","",IF($AK68="Y",$Q68="Y",TRUE))</x:f>
      </x:c>
      <x:c r="BC68" s="13">
        <x:f>IF($C68="","",IF($AL68="Y",$R68="Y",TRUE))</x:f>
      </x:c>
      <x:c r="BD68" s="13">
        <x:f>IF($C68="","",IF($AM68="Y",$S68="Y",TRUE))</x:f>
      </x:c>
      <x:c r="BE68" s="13">
        <x:f>IF($C68="","",IF($AN68="Y",$T68="Y",TRUE))</x:f>
      </x:c>
      <x:c r="BF68" s="13">
        <x:f>IF($C68="","",IF($AO68="",TRUE,IF($U68="",FALSE,$U68&lt;=$AO68)))</x:f>
      </x:c>
      <x:c r="BG68" s="13">
        <x:f>IF($C68="","",IF($AP68="",TRUE,IF($V68="",FALSE,$V68&lt;=$AP68)))</x:f>
      </x:c>
      <x:c r="BH68" s="13">
        <x:f>IF($C68="","",IF($AQ68="",TRUE,IF($W68="",FALSE,$W68&lt;=$AQ68)))</x:f>
      </x:c>
      <x:c r="BI68" s="13">
        <x:f>IF($C68="","",IF($AR68="",TRUE,IF($X68="",FALSE,$X68&lt;=$AR68)))</x:f>
      </x:c>
      <x:c r="BJ68" s="15">
        <x:f>IF($C68="","",IF($Y68="",0,$Y68)+IF($AS68,10,0)+IF($AT68,8,0)+IF($AU68,5,0)+IF($AV68,8,0)+IF($AW68,15,0)+IF($AX68,4,0)+IF($AY68,5,0)+IF($AZ68,10,0)+IF($BA68,8,0)+IF($BB68,4,0)+IF($BC68,6,0)+IF($BD68,3,0)+IF($BE68,2,0)+IF($BF68,2,0)+IF($BG68,2,0)+IF($BH68,2,0)+IF($BI68,1,0))</x:f>
      </x:c>
      <x:c r="BK68" s="15">
        <x:f>IF($C68="","",IF(NOT($AS68),1,0)+IF(NOT($AW68),1,0)+IF(NOT($AZ68),1,0)+IF(NOT($BA68),1,0)+IF(NOT($BB68),1,0)+IF(NOT($BC68),1,0))</x:f>
      </x:c>
      <x:c r="BL68" s="13">
        <x:f>IF($C68="","",IF($BK68&gt;0,"REJECT",IF(COUNTIF($AS68:$BI68,FALSE)=0,"ACCEPT",IF($BJ68&gt;=85,"ACCEPT WITH SORTING / DISCOUNT","REJECT"))))</x:f>
      </x:c>
    </x:row>
    <x:row r="69" ht="24" customHeight="1">
      <x:c r="A69" s="10" t="n"/>
      <x:c r="B69" s="11" t="n"/>
      <x:c r="C69" s="11" t="n"/>
      <x:c r="D69" s="11" t="n"/>
      <x:c r="E69" s="11" t="n"/>
      <x:c r="F69" s="11" t="n"/>
      <x:c r="G69" s="11" t="n"/>
      <x:c r="H69" s="11" t="n"/>
      <x:c r="I69" s="12" t="n"/>
      <x:c r="J69" s="12" t="n"/>
      <x:c r="K69" s="12" t="n"/>
      <x:c r="L69" s="12" t="n"/>
      <x:c r="M69" s="12" t="n"/>
      <x:c r="N69" s="12" t="n"/>
      <x:c r="O69" s="12" t="n"/>
      <x:c r="P69" s="11" t="n"/>
      <x:c r="Q69" s="11" t="n"/>
      <x:c r="R69" s="11" t="n"/>
      <x:c r="S69" s="11" t="n"/>
      <x:c r="T69" s="11" t="n"/>
      <x:c r="U69" s="12" t="n"/>
      <x:c r="V69" s="12" t="n"/>
      <x:c r="W69" s="12" t="n"/>
      <x:c r="X69" s="12" t="n"/>
      <x:c r="Y69" s="12" t="n"/>
      <x:c r="Z69" s="13">
        <x:f>IF($C69="","",VLOOKUP($C69,Config!$A$2:$Y$4,2,FALSE))</x:f>
      </x:c>
      <x:c r="AA69" s="13">
        <x:f>IF($C69="","",VLOOKUP($C69,Config!$A$2:$Y$4,5,FALSE))</x:f>
      </x:c>
      <x:c r="AB69" s="14">
        <x:f>IF($C69="","",VLOOKUP($C69,Config!$A$2:$Y$4,7,FALSE))</x:f>
      </x:c>
      <x:c r="AC69" s="14">
        <x:f>IF($C69="","",VLOOKUP($C69,Config!$A$2:$Y$4,8,FALSE))</x:f>
      </x:c>
      <x:c r="AD69" s="14">
        <x:f>IF($C69="","",VLOOKUP($C69,Config!$A$2:$Y$4,9,FALSE))</x:f>
      </x:c>
      <x:c r="AE69" s="14">
        <x:f>IF($C69="","",VLOOKUP($C69,Config!$A$2:$Y$4,10,FALSE))</x:f>
      </x:c>
      <x:c r="AF69" s="14">
        <x:f>IF($C69="","",VLOOKUP($C69,Config!$A$2:$Y$4,11,FALSE))</x:f>
      </x:c>
      <x:c r="AG69" s="14">
        <x:f>IF($C69="","",VLOOKUP($C69,Config!$A$2:$Y$4,12,FALSE))</x:f>
      </x:c>
      <x:c r="AH69" s="14">
        <x:f>IF($C69="","",VLOOKUP($C69,Config!$A$2:$Y$4,13,FALSE))</x:f>
      </x:c>
      <x:c r="AI69" s="14">
        <x:f>IF($C69="","",VLOOKUP($C69,Config!$A$2:$Y$4,14,FALSE))</x:f>
      </x:c>
      <x:c r="AJ69" s="14">
        <x:f>IF($C69="","",VLOOKUP($C69,Config!$A$2:$Y$4,15,FALSE))</x:f>
      </x:c>
      <x:c r="AK69" s="14">
        <x:f>IF($C69="","",VLOOKUP($C69,Config!$A$2:$Y$4,16,FALSE))</x:f>
      </x:c>
      <x:c r="AL69" s="14">
        <x:f>IF($C69="","",VLOOKUP($C69,Config!$A$2:$Y$4,17,FALSE))</x:f>
      </x:c>
      <x:c r="AM69" s="14">
        <x:f>IF($C69="","",VLOOKUP($C69,Config!$A$2:$Y$4,18,FALSE))</x:f>
      </x:c>
      <x:c r="AN69" s="14">
        <x:f>IF($C69="","",VLOOKUP($C69,Config!$A$2:$Y$4,19,FALSE))</x:f>
      </x:c>
      <x:c r="AO69" s="14">
        <x:f>IF($C69="","",VLOOKUP($C69,Config!$A$2:$Y$4,20,FALSE))</x:f>
      </x:c>
      <x:c r="AP69" s="14">
        <x:f>IF($C69="","",VLOOKUP($C69,Config!$A$2:$Y$4,21,FALSE))</x:f>
      </x:c>
      <x:c r="AQ69" s="14">
        <x:f>IF($C69="","",VLOOKUP($C69,Config!$A$2:$Y$4,22,FALSE))</x:f>
      </x:c>
      <x:c r="AR69" s="14">
        <x:f>IF($C69="","",VLOOKUP($C69,Config!$A$2:$Y$4,23,FALSE))</x:f>
      </x:c>
      <x:c r="AS69" s="13">
        <x:f>IF($C69="","",IF($H69="Extra",3,IF($H69="I",2,IF($H69="II",1,0)))&gt;=IF($AA69="Extra",3,IF($AA69="I",2,IF($AA69="II",1,0))))</x:f>
      </x:c>
      <x:c r="AT69" s="13">
        <x:f>IF($C69="","",IF($I69="",FALSE,$I69&gt;=$AB69))</x:f>
      </x:c>
      <x:c r="AU69" s="13">
        <x:f>IF($C69="","",IF($AC69="",TRUE,IF($J69="",FALSE,$J69&lt;=$AC69)))</x:f>
      </x:c>
      <x:c r="AV69" s="13">
        <x:f>IF($C69="","",IF($AD69="",TRUE,IF($K69="",FALSE,$K69&lt;=$AD69)))</x:f>
      </x:c>
      <x:c r="AW69" s="13">
        <x:f>IF($C69="","",IF($AE69="",TRUE,IF($L69="",FALSE,$L69&lt;=$AE69)))</x:f>
      </x:c>
      <x:c r="AX69" s="13">
        <x:f>IF($C69="","",IF($AF69="",TRUE,IF($M69="",FALSE,$M69&lt;=$AF69)))</x:f>
      </x:c>
      <x:c r="AY69" s="13">
        <x:f>IF($C69="","",IF($AG69="",TRUE,IF($N69="",FALSE,$N69&gt;=$AG69)))</x:f>
      </x:c>
      <x:c r="AZ69" s="13">
        <x:f>IF($C69="","",IF(OR($AH69="",$AI69=""),TRUE,IF($O69="",FALSE,AND($O69&gt;=$AH69,$O69&lt;=$AI69))))</x:f>
      </x:c>
      <x:c r="BA69" s="13">
        <x:f>IF($C69="","",IF($AJ69="Y",$P69="Y",TRUE))</x:f>
      </x:c>
      <x:c r="BB69" s="13">
        <x:f>IF($C69="","",IF($AK69="Y",$Q69="Y",TRUE))</x:f>
      </x:c>
      <x:c r="BC69" s="13">
        <x:f>IF($C69="","",IF($AL69="Y",$R69="Y",TRUE))</x:f>
      </x:c>
      <x:c r="BD69" s="13">
        <x:f>IF($C69="","",IF($AM69="Y",$S69="Y",TRUE))</x:f>
      </x:c>
      <x:c r="BE69" s="13">
        <x:f>IF($C69="","",IF($AN69="Y",$T69="Y",TRUE))</x:f>
      </x:c>
      <x:c r="BF69" s="13">
        <x:f>IF($C69="","",IF($AO69="",TRUE,IF($U69="",FALSE,$U69&lt;=$AO69)))</x:f>
      </x:c>
      <x:c r="BG69" s="13">
        <x:f>IF($C69="","",IF($AP69="",TRUE,IF($V69="",FALSE,$V69&lt;=$AP69)))</x:f>
      </x:c>
      <x:c r="BH69" s="13">
        <x:f>IF($C69="","",IF($AQ69="",TRUE,IF($W69="",FALSE,$W69&lt;=$AQ69)))</x:f>
      </x:c>
      <x:c r="BI69" s="13">
        <x:f>IF($C69="","",IF($AR69="",TRUE,IF($X69="",FALSE,$X69&lt;=$AR69)))</x:f>
      </x:c>
      <x:c r="BJ69" s="15">
        <x:f>IF($C69="","",IF($Y69="",0,$Y69)+IF($AS69,10,0)+IF($AT69,8,0)+IF($AU69,5,0)+IF($AV69,8,0)+IF($AW69,15,0)+IF($AX69,4,0)+IF($AY69,5,0)+IF($AZ69,10,0)+IF($BA69,8,0)+IF($BB69,4,0)+IF($BC69,6,0)+IF($BD69,3,0)+IF($BE69,2,0)+IF($BF69,2,0)+IF($BG69,2,0)+IF($BH69,2,0)+IF($BI69,1,0))</x:f>
      </x:c>
      <x:c r="BK69" s="15">
        <x:f>IF($C69="","",IF(NOT($AS69),1,0)+IF(NOT($AW69),1,0)+IF(NOT($AZ69),1,0)+IF(NOT($BA69),1,0)+IF(NOT($BB69),1,0)+IF(NOT($BC69),1,0))</x:f>
      </x:c>
      <x:c r="BL69" s="13">
        <x:f>IF($C69="","",IF($BK69&gt;0,"REJECT",IF(COUNTIF($AS69:$BI69,FALSE)=0,"ACCEPT",IF($BJ69&gt;=85,"ACCEPT WITH SORTING / DISCOUNT","REJECT"))))</x:f>
      </x:c>
    </x:row>
    <x:row r="70" ht="24" customHeight="1">
      <x:c r="A70" s="10" t="n"/>
      <x:c r="B70" s="11" t="n"/>
      <x:c r="C70" s="11" t="n"/>
      <x:c r="D70" s="11" t="n"/>
      <x:c r="E70" s="11" t="n"/>
      <x:c r="F70" s="11" t="n"/>
      <x:c r="G70" s="11" t="n"/>
      <x:c r="H70" s="11" t="n"/>
      <x:c r="I70" s="12" t="n"/>
      <x:c r="J70" s="12" t="n"/>
      <x:c r="K70" s="12" t="n"/>
      <x:c r="L70" s="12" t="n"/>
      <x:c r="M70" s="12" t="n"/>
      <x:c r="N70" s="12" t="n"/>
      <x:c r="O70" s="12" t="n"/>
      <x:c r="P70" s="11" t="n"/>
      <x:c r="Q70" s="11" t="n"/>
      <x:c r="R70" s="11" t="n"/>
      <x:c r="S70" s="11" t="n"/>
      <x:c r="T70" s="11" t="n"/>
      <x:c r="U70" s="12" t="n"/>
      <x:c r="V70" s="12" t="n"/>
      <x:c r="W70" s="12" t="n"/>
      <x:c r="X70" s="12" t="n"/>
      <x:c r="Y70" s="12" t="n"/>
      <x:c r="Z70" s="13">
        <x:f>IF($C70="","",VLOOKUP($C70,Config!$A$2:$Y$4,2,FALSE))</x:f>
      </x:c>
      <x:c r="AA70" s="13">
        <x:f>IF($C70="","",VLOOKUP($C70,Config!$A$2:$Y$4,5,FALSE))</x:f>
      </x:c>
      <x:c r="AB70" s="14">
        <x:f>IF($C70="","",VLOOKUP($C70,Config!$A$2:$Y$4,7,FALSE))</x:f>
      </x:c>
      <x:c r="AC70" s="14">
        <x:f>IF($C70="","",VLOOKUP($C70,Config!$A$2:$Y$4,8,FALSE))</x:f>
      </x:c>
      <x:c r="AD70" s="14">
        <x:f>IF($C70="","",VLOOKUP($C70,Config!$A$2:$Y$4,9,FALSE))</x:f>
      </x:c>
      <x:c r="AE70" s="14">
        <x:f>IF($C70="","",VLOOKUP($C70,Config!$A$2:$Y$4,10,FALSE))</x:f>
      </x:c>
      <x:c r="AF70" s="14">
        <x:f>IF($C70="","",VLOOKUP($C70,Config!$A$2:$Y$4,11,FALSE))</x:f>
      </x:c>
      <x:c r="AG70" s="14">
        <x:f>IF($C70="","",VLOOKUP($C70,Config!$A$2:$Y$4,12,FALSE))</x:f>
      </x:c>
      <x:c r="AH70" s="14">
        <x:f>IF($C70="","",VLOOKUP($C70,Config!$A$2:$Y$4,13,FALSE))</x:f>
      </x:c>
      <x:c r="AI70" s="14">
        <x:f>IF($C70="","",VLOOKUP($C70,Config!$A$2:$Y$4,14,FALSE))</x:f>
      </x:c>
      <x:c r="AJ70" s="14">
        <x:f>IF($C70="","",VLOOKUP($C70,Config!$A$2:$Y$4,15,FALSE))</x:f>
      </x:c>
      <x:c r="AK70" s="14">
        <x:f>IF($C70="","",VLOOKUP($C70,Config!$A$2:$Y$4,16,FALSE))</x:f>
      </x:c>
      <x:c r="AL70" s="14">
        <x:f>IF($C70="","",VLOOKUP($C70,Config!$A$2:$Y$4,17,FALSE))</x:f>
      </x:c>
      <x:c r="AM70" s="14">
        <x:f>IF($C70="","",VLOOKUP($C70,Config!$A$2:$Y$4,18,FALSE))</x:f>
      </x:c>
      <x:c r="AN70" s="14">
        <x:f>IF($C70="","",VLOOKUP($C70,Config!$A$2:$Y$4,19,FALSE))</x:f>
      </x:c>
      <x:c r="AO70" s="14">
        <x:f>IF($C70="","",VLOOKUP($C70,Config!$A$2:$Y$4,20,FALSE))</x:f>
      </x:c>
      <x:c r="AP70" s="14">
        <x:f>IF($C70="","",VLOOKUP($C70,Config!$A$2:$Y$4,21,FALSE))</x:f>
      </x:c>
      <x:c r="AQ70" s="14">
        <x:f>IF($C70="","",VLOOKUP($C70,Config!$A$2:$Y$4,22,FALSE))</x:f>
      </x:c>
      <x:c r="AR70" s="14">
        <x:f>IF($C70="","",VLOOKUP($C70,Config!$A$2:$Y$4,23,FALSE))</x:f>
      </x:c>
      <x:c r="AS70" s="13">
        <x:f>IF($C70="","",IF($H70="Extra",3,IF($H70="I",2,IF($H70="II",1,0)))&gt;=IF($AA70="Extra",3,IF($AA70="I",2,IF($AA70="II",1,0))))</x:f>
      </x:c>
      <x:c r="AT70" s="13">
        <x:f>IF($C70="","",IF($I70="",FALSE,$I70&gt;=$AB70))</x:f>
      </x:c>
      <x:c r="AU70" s="13">
        <x:f>IF($C70="","",IF($AC70="",TRUE,IF($J70="",FALSE,$J70&lt;=$AC70)))</x:f>
      </x:c>
      <x:c r="AV70" s="13">
        <x:f>IF($C70="","",IF($AD70="",TRUE,IF($K70="",FALSE,$K70&lt;=$AD70)))</x:f>
      </x:c>
      <x:c r="AW70" s="13">
        <x:f>IF($C70="","",IF($AE70="",TRUE,IF($L70="",FALSE,$L70&lt;=$AE70)))</x:f>
      </x:c>
      <x:c r="AX70" s="13">
        <x:f>IF($C70="","",IF($AF70="",TRUE,IF($M70="",FALSE,$M70&lt;=$AF70)))</x:f>
      </x:c>
      <x:c r="AY70" s="13">
        <x:f>IF($C70="","",IF($AG70="",TRUE,IF($N70="",FALSE,$N70&gt;=$AG70)))</x:f>
      </x:c>
      <x:c r="AZ70" s="13">
        <x:f>IF($C70="","",IF(OR($AH70="",$AI70=""),TRUE,IF($O70="",FALSE,AND($O70&gt;=$AH70,$O70&lt;=$AI70))))</x:f>
      </x:c>
      <x:c r="BA70" s="13">
        <x:f>IF($C70="","",IF($AJ70="Y",$P70="Y",TRUE))</x:f>
      </x:c>
      <x:c r="BB70" s="13">
        <x:f>IF($C70="","",IF($AK70="Y",$Q70="Y",TRUE))</x:f>
      </x:c>
      <x:c r="BC70" s="13">
        <x:f>IF($C70="","",IF($AL70="Y",$R70="Y",TRUE))</x:f>
      </x:c>
      <x:c r="BD70" s="13">
        <x:f>IF($C70="","",IF($AM70="Y",$S70="Y",TRUE))</x:f>
      </x:c>
      <x:c r="BE70" s="13">
        <x:f>IF($C70="","",IF($AN70="Y",$T70="Y",TRUE))</x:f>
      </x:c>
      <x:c r="BF70" s="13">
        <x:f>IF($C70="","",IF($AO70="",TRUE,IF($U70="",FALSE,$U70&lt;=$AO70)))</x:f>
      </x:c>
      <x:c r="BG70" s="13">
        <x:f>IF($C70="","",IF($AP70="",TRUE,IF($V70="",FALSE,$V70&lt;=$AP70)))</x:f>
      </x:c>
      <x:c r="BH70" s="13">
        <x:f>IF($C70="","",IF($AQ70="",TRUE,IF($W70="",FALSE,$W70&lt;=$AQ70)))</x:f>
      </x:c>
      <x:c r="BI70" s="13">
        <x:f>IF($C70="","",IF($AR70="",TRUE,IF($X70="",FALSE,$X70&lt;=$AR70)))</x:f>
      </x:c>
      <x:c r="BJ70" s="15">
        <x:f>IF($C70="","",IF($Y70="",0,$Y70)+IF($AS70,10,0)+IF($AT70,8,0)+IF($AU70,5,0)+IF($AV70,8,0)+IF($AW70,15,0)+IF($AX70,4,0)+IF($AY70,5,0)+IF($AZ70,10,0)+IF($BA70,8,0)+IF($BB70,4,0)+IF($BC70,6,0)+IF($BD70,3,0)+IF($BE70,2,0)+IF($BF70,2,0)+IF($BG70,2,0)+IF($BH70,2,0)+IF($BI70,1,0))</x:f>
      </x:c>
      <x:c r="BK70" s="15">
        <x:f>IF($C70="","",IF(NOT($AS70),1,0)+IF(NOT($AW70),1,0)+IF(NOT($AZ70),1,0)+IF(NOT($BA70),1,0)+IF(NOT($BB70),1,0)+IF(NOT($BC70),1,0))</x:f>
      </x:c>
      <x:c r="BL70" s="13">
        <x:f>IF($C70="","",IF($BK70&gt;0,"REJECT",IF(COUNTIF($AS70:$BI70,FALSE)=0,"ACCEPT",IF($BJ70&gt;=85,"ACCEPT WITH SORTING / DISCOUNT","REJECT"))))</x:f>
      </x:c>
    </x:row>
    <x:row r="71" ht="24" customHeight="1">
      <x:c r="A71" s="10" t="n"/>
      <x:c r="B71" s="11" t="n"/>
      <x:c r="C71" s="11" t="n"/>
      <x:c r="D71" s="11" t="n"/>
      <x:c r="E71" s="11" t="n"/>
      <x:c r="F71" s="11" t="n"/>
      <x:c r="G71" s="11" t="n"/>
      <x:c r="H71" s="11" t="n"/>
      <x:c r="I71" s="12" t="n"/>
      <x:c r="J71" s="12" t="n"/>
      <x:c r="K71" s="12" t="n"/>
      <x:c r="L71" s="12" t="n"/>
      <x:c r="M71" s="12" t="n"/>
      <x:c r="N71" s="12" t="n"/>
      <x:c r="O71" s="12" t="n"/>
      <x:c r="P71" s="11" t="n"/>
      <x:c r="Q71" s="11" t="n"/>
      <x:c r="R71" s="11" t="n"/>
      <x:c r="S71" s="11" t="n"/>
      <x:c r="T71" s="11" t="n"/>
      <x:c r="U71" s="12" t="n"/>
      <x:c r="V71" s="12" t="n"/>
      <x:c r="W71" s="12" t="n"/>
      <x:c r="X71" s="12" t="n"/>
      <x:c r="Y71" s="12" t="n"/>
      <x:c r="Z71" s="13">
        <x:f>IF($C71="","",VLOOKUP($C71,Config!$A$2:$Y$4,2,FALSE))</x:f>
      </x:c>
      <x:c r="AA71" s="13">
        <x:f>IF($C71="","",VLOOKUP($C71,Config!$A$2:$Y$4,5,FALSE))</x:f>
      </x:c>
      <x:c r="AB71" s="14">
        <x:f>IF($C71="","",VLOOKUP($C71,Config!$A$2:$Y$4,7,FALSE))</x:f>
      </x:c>
      <x:c r="AC71" s="14">
        <x:f>IF($C71="","",VLOOKUP($C71,Config!$A$2:$Y$4,8,FALSE))</x:f>
      </x:c>
      <x:c r="AD71" s="14">
        <x:f>IF($C71="","",VLOOKUP($C71,Config!$A$2:$Y$4,9,FALSE))</x:f>
      </x:c>
      <x:c r="AE71" s="14">
        <x:f>IF($C71="","",VLOOKUP($C71,Config!$A$2:$Y$4,10,FALSE))</x:f>
      </x:c>
      <x:c r="AF71" s="14">
        <x:f>IF($C71="","",VLOOKUP($C71,Config!$A$2:$Y$4,11,FALSE))</x:f>
      </x:c>
      <x:c r="AG71" s="14">
        <x:f>IF($C71="","",VLOOKUP($C71,Config!$A$2:$Y$4,12,FALSE))</x:f>
      </x:c>
      <x:c r="AH71" s="14">
        <x:f>IF($C71="","",VLOOKUP($C71,Config!$A$2:$Y$4,13,FALSE))</x:f>
      </x:c>
      <x:c r="AI71" s="14">
        <x:f>IF($C71="","",VLOOKUP($C71,Config!$A$2:$Y$4,14,FALSE))</x:f>
      </x:c>
      <x:c r="AJ71" s="14">
        <x:f>IF($C71="","",VLOOKUP($C71,Config!$A$2:$Y$4,15,FALSE))</x:f>
      </x:c>
      <x:c r="AK71" s="14">
        <x:f>IF($C71="","",VLOOKUP($C71,Config!$A$2:$Y$4,16,FALSE))</x:f>
      </x:c>
      <x:c r="AL71" s="14">
        <x:f>IF($C71="","",VLOOKUP($C71,Config!$A$2:$Y$4,17,FALSE))</x:f>
      </x:c>
      <x:c r="AM71" s="14">
        <x:f>IF($C71="","",VLOOKUP($C71,Config!$A$2:$Y$4,18,FALSE))</x:f>
      </x:c>
      <x:c r="AN71" s="14">
        <x:f>IF($C71="","",VLOOKUP($C71,Config!$A$2:$Y$4,19,FALSE))</x:f>
      </x:c>
      <x:c r="AO71" s="14">
        <x:f>IF($C71="","",VLOOKUP($C71,Config!$A$2:$Y$4,20,FALSE))</x:f>
      </x:c>
      <x:c r="AP71" s="14">
        <x:f>IF($C71="","",VLOOKUP($C71,Config!$A$2:$Y$4,21,FALSE))</x:f>
      </x:c>
      <x:c r="AQ71" s="14">
        <x:f>IF($C71="","",VLOOKUP($C71,Config!$A$2:$Y$4,22,FALSE))</x:f>
      </x:c>
      <x:c r="AR71" s="14">
        <x:f>IF($C71="","",VLOOKUP($C71,Config!$A$2:$Y$4,23,FALSE))</x:f>
      </x:c>
      <x:c r="AS71" s="13">
        <x:f>IF($C71="","",IF($H71="Extra",3,IF($H71="I",2,IF($H71="II",1,0)))&gt;=IF($AA71="Extra",3,IF($AA71="I",2,IF($AA71="II",1,0))))</x:f>
      </x:c>
      <x:c r="AT71" s="13">
        <x:f>IF($C71="","",IF($I71="",FALSE,$I71&gt;=$AB71))</x:f>
      </x:c>
      <x:c r="AU71" s="13">
        <x:f>IF($C71="","",IF($AC71="",TRUE,IF($J71="",FALSE,$J71&lt;=$AC71)))</x:f>
      </x:c>
      <x:c r="AV71" s="13">
        <x:f>IF($C71="","",IF($AD71="",TRUE,IF($K71="",FALSE,$K71&lt;=$AD71)))</x:f>
      </x:c>
      <x:c r="AW71" s="13">
        <x:f>IF($C71="","",IF($AE71="",TRUE,IF($L71="",FALSE,$L71&lt;=$AE71)))</x:f>
      </x:c>
      <x:c r="AX71" s="13">
        <x:f>IF($C71="","",IF($AF71="",TRUE,IF($M71="",FALSE,$M71&lt;=$AF71)))</x:f>
      </x:c>
      <x:c r="AY71" s="13">
        <x:f>IF($C71="","",IF($AG71="",TRUE,IF($N71="",FALSE,$N71&gt;=$AG71)))</x:f>
      </x:c>
      <x:c r="AZ71" s="13">
        <x:f>IF($C71="","",IF(OR($AH71="",$AI71=""),TRUE,IF($O71="",FALSE,AND($O71&gt;=$AH71,$O71&lt;=$AI71))))</x:f>
      </x:c>
      <x:c r="BA71" s="13">
        <x:f>IF($C71="","",IF($AJ71="Y",$P71="Y",TRUE))</x:f>
      </x:c>
      <x:c r="BB71" s="13">
        <x:f>IF($C71="","",IF($AK71="Y",$Q71="Y",TRUE))</x:f>
      </x:c>
      <x:c r="BC71" s="13">
        <x:f>IF($C71="","",IF($AL71="Y",$R71="Y",TRUE))</x:f>
      </x:c>
      <x:c r="BD71" s="13">
        <x:f>IF($C71="","",IF($AM71="Y",$S71="Y",TRUE))</x:f>
      </x:c>
      <x:c r="BE71" s="13">
        <x:f>IF($C71="","",IF($AN71="Y",$T71="Y",TRUE))</x:f>
      </x:c>
      <x:c r="BF71" s="13">
        <x:f>IF($C71="","",IF($AO71="",TRUE,IF($U71="",FALSE,$U71&lt;=$AO71)))</x:f>
      </x:c>
      <x:c r="BG71" s="13">
        <x:f>IF($C71="","",IF($AP71="",TRUE,IF($V71="",FALSE,$V71&lt;=$AP71)))</x:f>
      </x:c>
      <x:c r="BH71" s="13">
        <x:f>IF($C71="","",IF($AQ71="",TRUE,IF($W71="",FALSE,$W71&lt;=$AQ71)))</x:f>
      </x:c>
      <x:c r="BI71" s="13">
        <x:f>IF($C71="","",IF($AR71="",TRUE,IF($X71="",FALSE,$X71&lt;=$AR71)))</x:f>
      </x:c>
      <x:c r="BJ71" s="15">
        <x:f>IF($C71="","",IF($Y71="",0,$Y71)+IF($AS71,10,0)+IF($AT71,8,0)+IF($AU71,5,0)+IF($AV71,8,0)+IF($AW71,15,0)+IF($AX71,4,0)+IF($AY71,5,0)+IF($AZ71,10,0)+IF($BA71,8,0)+IF($BB71,4,0)+IF($BC71,6,0)+IF($BD71,3,0)+IF($BE71,2,0)+IF($BF71,2,0)+IF($BG71,2,0)+IF($BH71,2,0)+IF($BI71,1,0))</x:f>
      </x:c>
      <x:c r="BK71" s="15">
        <x:f>IF($C71="","",IF(NOT($AS71),1,0)+IF(NOT($AW71),1,0)+IF(NOT($AZ71),1,0)+IF(NOT($BA71),1,0)+IF(NOT($BB71),1,0)+IF(NOT($BC71),1,0))</x:f>
      </x:c>
      <x:c r="BL71" s="13">
        <x:f>IF($C71="","",IF($BK71&gt;0,"REJECT",IF(COUNTIF($AS71:$BI71,FALSE)=0,"ACCEPT",IF($BJ71&gt;=85,"ACCEPT WITH SORTING / DISCOUNT","REJECT"))))</x:f>
      </x:c>
    </x:row>
    <x:row r="72" ht="24" customHeight="1">
      <x:c r="A72" s="10" t="n"/>
      <x:c r="B72" s="11" t="n"/>
      <x:c r="C72" s="11" t="n"/>
      <x:c r="D72" s="11" t="n"/>
      <x:c r="E72" s="11" t="n"/>
      <x:c r="F72" s="11" t="n"/>
      <x:c r="G72" s="11" t="n"/>
      <x:c r="H72" s="11" t="n"/>
      <x:c r="I72" s="12" t="n"/>
      <x:c r="J72" s="12" t="n"/>
      <x:c r="K72" s="12" t="n"/>
      <x:c r="L72" s="12" t="n"/>
      <x:c r="M72" s="12" t="n"/>
      <x:c r="N72" s="12" t="n"/>
      <x:c r="O72" s="12" t="n"/>
      <x:c r="P72" s="11" t="n"/>
      <x:c r="Q72" s="11" t="n"/>
      <x:c r="R72" s="11" t="n"/>
      <x:c r="S72" s="11" t="n"/>
      <x:c r="T72" s="11" t="n"/>
      <x:c r="U72" s="12" t="n"/>
      <x:c r="V72" s="12" t="n"/>
      <x:c r="W72" s="12" t="n"/>
      <x:c r="X72" s="12" t="n"/>
      <x:c r="Y72" s="12" t="n"/>
      <x:c r="Z72" s="13">
        <x:f>IF($C72="","",VLOOKUP($C72,Config!$A$2:$Y$4,2,FALSE))</x:f>
      </x:c>
      <x:c r="AA72" s="13">
        <x:f>IF($C72="","",VLOOKUP($C72,Config!$A$2:$Y$4,5,FALSE))</x:f>
      </x:c>
      <x:c r="AB72" s="14">
        <x:f>IF($C72="","",VLOOKUP($C72,Config!$A$2:$Y$4,7,FALSE))</x:f>
      </x:c>
      <x:c r="AC72" s="14">
        <x:f>IF($C72="","",VLOOKUP($C72,Config!$A$2:$Y$4,8,FALSE))</x:f>
      </x:c>
      <x:c r="AD72" s="14">
        <x:f>IF($C72="","",VLOOKUP($C72,Config!$A$2:$Y$4,9,FALSE))</x:f>
      </x:c>
      <x:c r="AE72" s="14">
        <x:f>IF($C72="","",VLOOKUP($C72,Config!$A$2:$Y$4,10,FALSE))</x:f>
      </x:c>
      <x:c r="AF72" s="14">
        <x:f>IF($C72="","",VLOOKUP($C72,Config!$A$2:$Y$4,11,FALSE))</x:f>
      </x:c>
      <x:c r="AG72" s="14">
        <x:f>IF($C72="","",VLOOKUP($C72,Config!$A$2:$Y$4,12,FALSE))</x:f>
      </x:c>
      <x:c r="AH72" s="14">
        <x:f>IF($C72="","",VLOOKUP($C72,Config!$A$2:$Y$4,13,FALSE))</x:f>
      </x:c>
      <x:c r="AI72" s="14">
        <x:f>IF($C72="","",VLOOKUP($C72,Config!$A$2:$Y$4,14,FALSE))</x:f>
      </x:c>
      <x:c r="AJ72" s="14">
        <x:f>IF($C72="","",VLOOKUP($C72,Config!$A$2:$Y$4,15,FALSE))</x:f>
      </x:c>
      <x:c r="AK72" s="14">
        <x:f>IF($C72="","",VLOOKUP($C72,Config!$A$2:$Y$4,16,FALSE))</x:f>
      </x:c>
      <x:c r="AL72" s="14">
        <x:f>IF($C72="","",VLOOKUP($C72,Config!$A$2:$Y$4,17,FALSE))</x:f>
      </x:c>
      <x:c r="AM72" s="14">
        <x:f>IF($C72="","",VLOOKUP($C72,Config!$A$2:$Y$4,18,FALSE))</x:f>
      </x:c>
      <x:c r="AN72" s="14">
        <x:f>IF($C72="","",VLOOKUP($C72,Config!$A$2:$Y$4,19,FALSE))</x:f>
      </x:c>
      <x:c r="AO72" s="14">
        <x:f>IF($C72="","",VLOOKUP($C72,Config!$A$2:$Y$4,20,FALSE))</x:f>
      </x:c>
      <x:c r="AP72" s="14">
        <x:f>IF($C72="","",VLOOKUP($C72,Config!$A$2:$Y$4,21,FALSE))</x:f>
      </x:c>
      <x:c r="AQ72" s="14">
        <x:f>IF($C72="","",VLOOKUP($C72,Config!$A$2:$Y$4,22,FALSE))</x:f>
      </x:c>
      <x:c r="AR72" s="14">
        <x:f>IF($C72="","",VLOOKUP($C72,Config!$A$2:$Y$4,23,FALSE))</x:f>
      </x:c>
      <x:c r="AS72" s="13">
        <x:f>IF($C72="","",IF($H72="Extra",3,IF($H72="I",2,IF($H72="II",1,0)))&gt;=IF($AA72="Extra",3,IF($AA72="I",2,IF($AA72="II",1,0))))</x:f>
      </x:c>
      <x:c r="AT72" s="13">
        <x:f>IF($C72="","",IF($I72="",FALSE,$I72&gt;=$AB72))</x:f>
      </x:c>
      <x:c r="AU72" s="13">
        <x:f>IF($C72="","",IF($AC72="",TRUE,IF($J72="",FALSE,$J72&lt;=$AC72)))</x:f>
      </x:c>
      <x:c r="AV72" s="13">
        <x:f>IF($C72="","",IF($AD72="",TRUE,IF($K72="",FALSE,$K72&lt;=$AD72)))</x:f>
      </x:c>
      <x:c r="AW72" s="13">
        <x:f>IF($C72="","",IF($AE72="",TRUE,IF($L72="",FALSE,$L72&lt;=$AE72)))</x:f>
      </x:c>
      <x:c r="AX72" s="13">
        <x:f>IF($C72="","",IF($AF72="",TRUE,IF($M72="",FALSE,$M72&lt;=$AF72)))</x:f>
      </x:c>
      <x:c r="AY72" s="13">
        <x:f>IF($C72="","",IF($AG72="",TRUE,IF($N72="",FALSE,$N72&gt;=$AG72)))</x:f>
      </x:c>
      <x:c r="AZ72" s="13">
        <x:f>IF($C72="","",IF(OR($AH72="",$AI72=""),TRUE,IF($O72="",FALSE,AND($O72&gt;=$AH72,$O72&lt;=$AI72))))</x:f>
      </x:c>
      <x:c r="BA72" s="13">
        <x:f>IF($C72="","",IF($AJ72="Y",$P72="Y",TRUE))</x:f>
      </x:c>
      <x:c r="BB72" s="13">
        <x:f>IF($C72="","",IF($AK72="Y",$Q72="Y",TRUE))</x:f>
      </x:c>
      <x:c r="BC72" s="13">
        <x:f>IF($C72="","",IF($AL72="Y",$R72="Y",TRUE))</x:f>
      </x:c>
      <x:c r="BD72" s="13">
        <x:f>IF($C72="","",IF($AM72="Y",$S72="Y",TRUE))</x:f>
      </x:c>
      <x:c r="BE72" s="13">
        <x:f>IF($C72="","",IF($AN72="Y",$T72="Y",TRUE))</x:f>
      </x:c>
      <x:c r="BF72" s="13">
        <x:f>IF($C72="","",IF($AO72="",TRUE,IF($U72="",FALSE,$U72&lt;=$AO72)))</x:f>
      </x:c>
      <x:c r="BG72" s="13">
        <x:f>IF($C72="","",IF($AP72="",TRUE,IF($V72="",FALSE,$V72&lt;=$AP72)))</x:f>
      </x:c>
      <x:c r="BH72" s="13">
        <x:f>IF($C72="","",IF($AQ72="",TRUE,IF($W72="",FALSE,$W72&lt;=$AQ72)))</x:f>
      </x:c>
      <x:c r="BI72" s="13">
        <x:f>IF($C72="","",IF($AR72="",TRUE,IF($X72="",FALSE,$X72&lt;=$AR72)))</x:f>
      </x:c>
      <x:c r="BJ72" s="15">
        <x:f>IF($C72="","",IF($Y72="",0,$Y72)+IF($AS72,10,0)+IF($AT72,8,0)+IF($AU72,5,0)+IF($AV72,8,0)+IF($AW72,15,0)+IF($AX72,4,0)+IF($AY72,5,0)+IF($AZ72,10,0)+IF($BA72,8,0)+IF($BB72,4,0)+IF($BC72,6,0)+IF($BD72,3,0)+IF($BE72,2,0)+IF($BF72,2,0)+IF($BG72,2,0)+IF($BH72,2,0)+IF($BI72,1,0))</x:f>
      </x:c>
      <x:c r="BK72" s="15">
        <x:f>IF($C72="","",IF(NOT($AS72),1,0)+IF(NOT($AW72),1,0)+IF(NOT($AZ72),1,0)+IF(NOT($BA72),1,0)+IF(NOT($BB72),1,0)+IF(NOT($BC72),1,0))</x:f>
      </x:c>
      <x:c r="BL72" s="13">
        <x:f>IF($C72="","",IF($BK72&gt;0,"REJECT",IF(COUNTIF($AS72:$BI72,FALSE)=0,"ACCEPT",IF($BJ72&gt;=85,"ACCEPT WITH SORTING / DISCOUNT","REJECT"))))</x:f>
      </x:c>
    </x:row>
    <x:row r="73" ht="24" customHeight="1">
      <x:c r="A73" s="10" t="n"/>
      <x:c r="B73" s="11" t="n"/>
      <x:c r="C73" s="11" t="n"/>
      <x:c r="D73" s="11" t="n"/>
      <x:c r="E73" s="11" t="n"/>
      <x:c r="F73" s="11" t="n"/>
      <x:c r="G73" s="11" t="n"/>
      <x:c r="H73" s="11" t="n"/>
      <x:c r="I73" s="12" t="n"/>
      <x:c r="J73" s="12" t="n"/>
      <x:c r="K73" s="12" t="n"/>
      <x:c r="L73" s="12" t="n"/>
      <x:c r="M73" s="12" t="n"/>
      <x:c r="N73" s="12" t="n"/>
      <x:c r="O73" s="12" t="n"/>
      <x:c r="P73" s="11" t="n"/>
      <x:c r="Q73" s="11" t="n"/>
      <x:c r="R73" s="11" t="n"/>
      <x:c r="S73" s="11" t="n"/>
      <x:c r="T73" s="11" t="n"/>
      <x:c r="U73" s="12" t="n"/>
      <x:c r="V73" s="12" t="n"/>
      <x:c r="W73" s="12" t="n"/>
      <x:c r="X73" s="12" t="n"/>
      <x:c r="Y73" s="12" t="n"/>
      <x:c r="Z73" s="13">
        <x:f>IF($C73="","",VLOOKUP($C73,Config!$A$2:$Y$4,2,FALSE))</x:f>
      </x:c>
      <x:c r="AA73" s="13">
        <x:f>IF($C73="","",VLOOKUP($C73,Config!$A$2:$Y$4,5,FALSE))</x:f>
      </x:c>
      <x:c r="AB73" s="14">
        <x:f>IF($C73="","",VLOOKUP($C73,Config!$A$2:$Y$4,7,FALSE))</x:f>
      </x:c>
      <x:c r="AC73" s="14">
        <x:f>IF($C73="","",VLOOKUP($C73,Config!$A$2:$Y$4,8,FALSE))</x:f>
      </x:c>
      <x:c r="AD73" s="14">
        <x:f>IF($C73="","",VLOOKUP($C73,Config!$A$2:$Y$4,9,FALSE))</x:f>
      </x:c>
      <x:c r="AE73" s="14">
        <x:f>IF($C73="","",VLOOKUP($C73,Config!$A$2:$Y$4,10,FALSE))</x:f>
      </x:c>
      <x:c r="AF73" s="14">
        <x:f>IF($C73="","",VLOOKUP($C73,Config!$A$2:$Y$4,11,FALSE))</x:f>
      </x:c>
      <x:c r="AG73" s="14">
        <x:f>IF($C73="","",VLOOKUP($C73,Config!$A$2:$Y$4,12,FALSE))</x:f>
      </x:c>
      <x:c r="AH73" s="14">
        <x:f>IF($C73="","",VLOOKUP($C73,Config!$A$2:$Y$4,13,FALSE))</x:f>
      </x:c>
      <x:c r="AI73" s="14">
        <x:f>IF($C73="","",VLOOKUP($C73,Config!$A$2:$Y$4,14,FALSE))</x:f>
      </x:c>
      <x:c r="AJ73" s="14">
        <x:f>IF($C73="","",VLOOKUP($C73,Config!$A$2:$Y$4,15,FALSE))</x:f>
      </x:c>
      <x:c r="AK73" s="14">
        <x:f>IF($C73="","",VLOOKUP($C73,Config!$A$2:$Y$4,16,FALSE))</x:f>
      </x:c>
      <x:c r="AL73" s="14">
        <x:f>IF($C73="","",VLOOKUP($C73,Config!$A$2:$Y$4,17,FALSE))</x:f>
      </x:c>
      <x:c r="AM73" s="14">
        <x:f>IF($C73="","",VLOOKUP($C73,Config!$A$2:$Y$4,18,FALSE))</x:f>
      </x:c>
      <x:c r="AN73" s="14">
        <x:f>IF($C73="","",VLOOKUP($C73,Config!$A$2:$Y$4,19,FALSE))</x:f>
      </x:c>
      <x:c r="AO73" s="14">
        <x:f>IF($C73="","",VLOOKUP($C73,Config!$A$2:$Y$4,20,FALSE))</x:f>
      </x:c>
      <x:c r="AP73" s="14">
        <x:f>IF($C73="","",VLOOKUP($C73,Config!$A$2:$Y$4,21,FALSE))</x:f>
      </x:c>
      <x:c r="AQ73" s="14">
        <x:f>IF($C73="","",VLOOKUP($C73,Config!$A$2:$Y$4,22,FALSE))</x:f>
      </x:c>
      <x:c r="AR73" s="14">
        <x:f>IF($C73="","",VLOOKUP($C73,Config!$A$2:$Y$4,23,FALSE))</x:f>
      </x:c>
      <x:c r="AS73" s="13">
        <x:f>IF($C73="","",IF($H73="Extra",3,IF($H73="I",2,IF($H73="II",1,0)))&gt;=IF($AA73="Extra",3,IF($AA73="I",2,IF($AA73="II",1,0))))</x:f>
      </x:c>
      <x:c r="AT73" s="13">
        <x:f>IF($C73="","",IF($I73="",FALSE,$I73&gt;=$AB73))</x:f>
      </x:c>
      <x:c r="AU73" s="13">
        <x:f>IF($C73="","",IF($AC73="",TRUE,IF($J73="",FALSE,$J73&lt;=$AC73)))</x:f>
      </x:c>
      <x:c r="AV73" s="13">
        <x:f>IF($C73="","",IF($AD73="",TRUE,IF($K73="",FALSE,$K73&lt;=$AD73)))</x:f>
      </x:c>
      <x:c r="AW73" s="13">
        <x:f>IF($C73="","",IF($AE73="",TRUE,IF($L73="",FALSE,$L73&lt;=$AE73)))</x:f>
      </x:c>
      <x:c r="AX73" s="13">
        <x:f>IF($C73="","",IF($AF73="",TRUE,IF($M73="",FALSE,$M73&lt;=$AF73)))</x:f>
      </x:c>
      <x:c r="AY73" s="13">
        <x:f>IF($C73="","",IF($AG73="",TRUE,IF($N73="",FALSE,$N73&gt;=$AG73)))</x:f>
      </x:c>
      <x:c r="AZ73" s="13">
        <x:f>IF($C73="","",IF(OR($AH73="",$AI73=""),TRUE,IF($O73="",FALSE,AND($O73&gt;=$AH73,$O73&lt;=$AI73))))</x:f>
      </x:c>
      <x:c r="BA73" s="13">
        <x:f>IF($C73="","",IF($AJ73="Y",$P73="Y",TRUE))</x:f>
      </x:c>
      <x:c r="BB73" s="13">
        <x:f>IF($C73="","",IF($AK73="Y",$Q73="Y",TRUE))</x:f>
      </x:c>
      <x:c r="BC73" s="13">
        <x:f>IF($C73="","",IF($AL73="Y",$R73="Y",TRUE))</x:f>
      </x:c>
      <x:c r="BD73" s="13">
        <x:f>IF($C73="","",IF($AM73="Y",$S73="Y",TRUE))</x:f>
      </x:c>
      <x:c r="BE73" s="13">
        <x:f>IF($C73="","",IF($AN73="Y",$T73="Y",TRUE))</x:f>
      </x:c>
      <x:c r="BF73" s="13">
        <x:f>IF($C73="","",IF($AO73="",TRUE,IF($U73="",FALSE,$U73&lt;=$AO73)))</x:f>
      </x:c>
      <x:c r="BG73" s="13">
        <x:f>IF($C73="","",IF($AP73="",TRUE,IF($V73="",FALSE,$V73&lt;=$AP73)))</x:f>
      </x:c>
      <x:c r="BH73" s="13">
        <x:f>IF($C73="","",IF($AQ73="",TRUE,IF($W73="",FALSE,$W73&lt;=$AQ73)))</x:f>
      </x:c>
      <x:c r="BI73" s="13">
        <x:f>IF($C73="","",IF($AR73="",TRUE,IF($X73="",FALSE,$X73&lt;=$AR73)))</x:f>
      </x:c>
      <x:c r="BJ73" s="15">
        <x:f>IF($C73="","",IF($Y73="",0,$Y73)+IF($AS73,10,0)+IF($AT73,8,0)+IF($AU73,5,0)+IF($AV73,8,0)+IF($AW73,15,0)+IF($AX73,4,0)+IF($AY73,5,0)+IF($AZ73,10,0)+IF($BA73,8,0)+IF($BB73,4,0)+IF($BC73,6,0)+IF($BD73,3,0)+IF($BE73,2,0)+IF($BF73,2,0)+IF($BG73,2,0)+IF($BH73,2,0)+IF($BI73,1,0))</x:f>
      </x:c>
      <x:c r="BK73" s="15">
        <x:f>IF($C73="","",IF(NOT($AS73),1,0)+IF(NOT($AW73),1,0)+IF(NOT($AZ73),1,0)+IF(NOT($BA73),1,0)+IF(NOT($BB73),1,0)+IF(NOT($BC73),1,0))</x:f>
      </x:c>
      <x:c r="BL73" s="13">
        <x:f>IF($C73="","",IF($BK73&gt;0,"REJECT",IF(COUNTIF($AS73:$BI73,FALSE)=0,"ACCEPT",IF($BJ73&gt;=85,"ACCEPT WITH SORTING / DISCOUNT","REJECT"))))</x:f>
      </x:c>
    </x:row>
    <x:row r="74" ht="24" customHeight="1">
      <x:c r="A74" s="10" t="n"/>
      <x:c r="B74" s="11" t="n"/>
      <x:c r="C74" s="11" t="n"/>
      <x:c r="D74" s="11" t="n"/>
      <x:c r="E74" s="11" t="n"/>
      <x:c r="F74" s="11" t="n"/>
      <x:c r="G74" s="11" t="n"/>
      <x:c r="H74" s="11" t="n"/>
      <x:c r="I74" s="12" t="n"/>
      <x:c r="J74" s="12" t="n"/>
      <x:c r="K74" s="12" t="n"/>
      <x:c r="L74" s="12" t="n"/>
      <x:c r="M74" s="12" t="n"/>
      <x:c r="N74" s="12" t="n"/>
      <x:c r="O74" s="12" t="n"/>
      <x:c r="P74" s="11" t="n"/>
      <x:c r="Q74" s="11" t="n"/>
      <x:c r="R74" s="11" t="n"/>
      <x:c r="S74" s="11" t="n"/>
      <x:c r="T74" s="11" t="n"/>
      <x:c r="U74" s="12" t="n"/>
      <x:c r="V74" s="12" t="n"/>
      <x:c r="W74" s="12" t="n"/>
      <x:c r="X74" s="12" t="n"/>
      <x:c r="Y74" s="12" t="n"/>
      <x:c r="Z74" s="13">
        <x:f>IF($C74="","",VLOOKUP($C74,Config!$A$2:$Y$4,2,FALSE))</x:f>
      </x:c>
      <x:c r="AA74" s="13">
        <x:f>IF($C74="","",VLOOKUP($C74,Config!$A$2:$Y$4,5,FALSE))</x:f>
      </x:c>
      <x:c r="AB74" s="14">
        <x:f>IF($C74="","",VLOOKUP($C74,Config!$A$2:$Y$4,7,FALSE))</x:f>
      </x:c>
      <x:c r="AC74" s="14">
        <x:f>IF($C74="","",VLOOKUP($C74,Config!$A$2:$Y$4,8,FALSE))</x:f>
      </x:c>
      <x:c r="AD74" s="14">
        <x:f>IF($C74="","",VLOOKUP($C74,Config!$A$2:$Y$4,9,FALSE))</x:f>
      </x:c>
      <x:c r="AE74" s="14">
        <x:f>IF($C74="","",VLOOKUP($C74,Config!$A$2:$Y$4,10,FALSE))</x:f>
      </x:c>
      <x:c r="AF74" s="14">
        <x:f>IF($C74="","",VLOOKUP($C74,Config!$A$2:$Y$4,11,FALSE))</x:f>
      </x:c>
      <x:c r="AG74" s="14">
        <x:f>IF($C74="","",VLOOKUP($C74,Config!$A$2:$Y$4,12,FALSE))</x:f>
      </x:c>
      <x:c r="AH74" s="14">
        <x:f>IF($C74="","",VLOOKUP($C74,Config!$A$2:$Y$4,13,FALSE))</x:f>
      </x:c>
      <x:c r="AI74" s="14">
        <x:f>IF($C74="","",VLOOKUP($C74,Config!$A$2:$Y$4,14,FALSE))</x:f>
      </x:c>
      <x:c r="AJ74" s="14">
        <x:f>IF($C74="","",VLOOKUP($C74,Config!$A$2:$Y$4,15,FALSE))</x:f>
      </x:c>
      <x:c r="AK74" s="14">
        <x:f>IF($C74="","",VLOOKUP($C74,Config!$A$2:$Y$4,16,FALSE))</x:f>
      </x:c>
      <x:c r="AL74" s="14">
        <x:f>IF($C74="","",VLOOKUP($C74,Config!$A$2:$Y$4,17,FALSE))</x:f>
      </x:c>
      <x:c r="AM74" s="14">
        <x:f>IF($C74="","",VLOOKUP($C74,Config!$A$2:$Y$4,18,FALSE))</x:f>
      </x:c>
      <x:c r="AN74" s="14">
        <x:f>IF($C74="","",VLOOKUP($C74,Config!$A$2:$Y$4,19,FALSE))</x:f>
      </x:c>
      <x:c r="AO74" s="14">
        <x:f>IF($C74="","",VLOOKUP($C74,Config!$A$2:$Y$4,20,FALSE))</x:f>
      </x:c>
      <x:c r="AP74" s="14">
        <x:f>IF($C74="","",VLOOKUP($C74,Config!$A$2:$Y$4,21,FALSE))</x:f>
      </x:c>
      <x:c r="AQ74" s="14">
        <x:f>IF($C74="","",VLOOKUP($C74,Config!$A$2:$Y$4,22,FALSE))</x:f>
      </x:c>
      <x:c r="AR74" s="14">
        <x:f>IF($C74="","",VLOOKUP($C74,Config!$A$2:$Y$4,23,FALSE))</x:f>
      </x:c>
      <x:c r="AS74" s="13">
        <x:f>IF($C74="","",IF($H74="Extra",3,IF($H74="I",2,IF($H74="II",1,0)))&gt;=IF($AA74="Extra",3,IF($AA74="I",2,IF($AA74="II",1,0))))</x:f>
      </x:c>
      <x:c r="AT74" s="13">
        <x:f>IF($C74="","",IF($I74="",FALSE,$I74&gt;=$AB74))</x:f>
      </x:c>
      <x:c r="AU74" s="13">
        <x:f>IF($C74="","",IF($AC74="",TRUE,IF($J74="",FALSE,$J74&lt;=$AC74)))</x:f>
      </x:c>
      <x:c r="AV74" s="13">
        <x:f>IF($C74="","",IF($AD74="",TRUE,IF($K74="",FALSE,$K74&lt;=$AD74)))</x:f>
      </x:c>
      <x:c r="AW74" s="13">
        <x:f>IF($C74="","",IF($AE74="",TRUE,IF($L74="",FALSE,$L74&lt;=$AE74)))</x:f>
      </x:c>
      <x:c r="AX74" s="13">
        <x:f>IF($C74="","",IF($AF74="",TRUE,IF($M74="",FALSE,$M74&lt;=$AF74)))</x:f>
      </x:c>
      <x:c r="AY74" s="13">
        <x:f>IF($C74="","",IF($AG74="",TRUE,IF($N74="",FALSE,$N74&gt;=$AG74)))</x:f>
      </x:c>
      <x:c r="AZ74" s="13">
        <x:f>IF($C74="","",IF(OR($AH74="",$AI74=""),TRUE,IF($O74="",FALSE,AND($O74&gt;=$AH74,$O74&lt;=$AI74))))</x:f>
      </x:c>
      <x:c r="BA74" s="13">
        <x:f>IF($C74="","",IF($AJ74="Y",$P74="Y",TRUE))</x:f>
      </x:c>
      <x:c r="BB74" s="13">
        <x:f>IF($C74="","",IF($AK74="Y",$Q74="Y",TRUE))</x:f>
      </x:c>
      <x:c r="BC74" s="13">
        <x:f>IF($C74="","",IF($AL74="Y",$R74="Y",TRUE))</x:f>
      </x:c>
      <x:c r="BD74" s="13">
        <x:f>IF($C74="","",IF($AM74="Y",$S74="Y",TRUE))</x:f>
      </x:c>
      <x:c r="BE74" s="13">
        <x:f>IF($C74="","",IF($AN74="Y",$T74="Y",TRUE))</x:f>
      </x:c>
      <x:c r="BF74" s="13">
        <x:f>IF($C74="","",IF($AO74="",TRUE,IF($U74="",FALSE,$U74&lt;=$AO74)))</x:f>
      </x:c>
      <x:c r="BG74" s="13">
        <x:f>IF($C74="","",IF($AP74="",TRUE,IF($V74="",FALSE,$V74&lt;=$AP74)))</x:f>
      </x:c>
      <x:c r="BH74" s="13">
        <x:f>IF($C74="","",IF($AQ74="",TRUE,IF($W74="",FALSE,$W74&lt;=$AQ74)))</x:f>
      </x:c>
      <x:c r="BI74" s="13">
        <x:f>IF($C74="","",IF($AR74="",TRUE,IF($X74="",FALSE,$X74&lt;=$AR74)))</x:f>
      </x:c>
      <x:c r="BJ74" s="15">
        <x:f>IF($C74="","",IF($Y74="",0,$Y74)+IF($AS74,10,0)+IF($AT74,8,0)+IF($AU74,5,0)+IF($AV74,8,0)+IF($AW74,15,0)+IF($AX74,4,0)+IF($AY74,5,0)+IF($AZ74,10,0)+IF($BA74,8,0)+IF($BB74,4,0)+IF($BC74,6,0)+IF($BD74,3,0)+IF($BE74,2,0)+IF($BF74,2,0)+IF($BG74,2,0)+IF($BH74,2,0)+IF($BI74,1,0))</x:f>
      </x:c>
      <x:c r="BK74" s="15">
        <x:f>IF($C74="","",IF(NOT($AS74),1,0)+IF(NOT($AW74),1,0)+IF(NOT($AZ74),1,0)+IF(NOT($BA74),1,0)+IF(NOT($BB74),1,0)+IF(NOT($BC74),1,0))</x:f>
      </x:c>
      <x:c r="BL74" s="13">
        <x:f>IF($C74="","",IF($BK74&gt;0,"REJECT",IF(COUNTIF($AS74:$BI74,FALSE)=0,"ACCEPT",IF($BJ74&gt;=85,"ACCEPT WITH SORTING / DISCOUNT","REJECT"))))</x:f>
      </x:c>
    </x:row>
    <x:row r="75" ht="24" customHeight="1">
      <x:c r="A75" s="10" t="n"/>
      <x:c r="B75" s="11" t="n"/>
      <x:c r="C75" s="11" t="n"/>
      <x:c r="D75" s="11" t="n"/>
      <x:c r="E75" s="11" t="n"/>
      <x:c r="F75" s="11" t="n"/>
      <x:c r="G75" s="11" t="n"/>
      <x:c r="H75" s="11" t="n"/>
      <x:c r="I75" s="12" t="n"/>
      <x:c r="J75" s="12" t="n"/>
      <x:c r="K75" s="12" t="n"/>
      <x:c r="L75" s="12" t="n"/>
      <x:c r="M75" s="12" t="n"/>
      <x:c r="N75" s="12" t="n"/>
      <x:c r="O75" s="12" t="n"/>
      <x:c r="P75" s="11" t="n"/>
      <x:c r="Q75" s="11" t="n"/>
      <x:c r="R75" s="11" t="n"/>
      <x:c r="S75" s="11" t="n"/>
      <x:c r="T75" s="11" t="n"/>
      <x:c r="U75" s="12" t="n"/>
      <x:c r="V75" s="12" t="n"/>
      <x:c r="W75" s="12" t="n"/>
      <x:c r="X75" s="12" t="n"/>
      <x:c r="Y75" s="12" t="n"/>
      <x:c r="Z75" s="13">
        <x:f>IF($C75="","",VLOOKUP($C75,Config!$A$2:$Y$4,2,FALSE))</x:f>
      </x:c>
      <x:c r="AA75" s="13">
        <x:f>IF($C75="","",VLOOKUP($C75,Config!$A$2:$Y$4,5,FALSE))</x:f>
      </x:c>
      <x:c r="AB75" s="14">
        <x:f>IF($C75="","",VLOOKUP($C75,Config!$A$2:$Y$4,7,FALSE))</x:f>
      </x:c>
      <x:c r="AC75" s="14">
        <x:f>IF($C75="","",VLOOKUP($C75,Config!$A$2:$Y$4,8,FALSE))</x:f>
      </x:c>
      <x:c r="AD75" s="14">
        <x:f>IF($C75="","",VLOOKUP($C75,Config!$A$2:$Y$4,9,FALSE))</x:f>
      </x:c>
      <x:c r="AE75" s="14">
        <x:f>IF($C75="","",VLOOKUP($C75,Config!$A$2:$Y$4,10,FALSE))</x:f>
      </x:c>
      <x:c r="AF75" s="14">
        <x:f>IF($C75="","",VLOOKUP($C75,Config!$A$2:$Y$4,11,FALSE))</x:f>
      </x:c>
      <x:c r="AG75" s="14">
        <x:f>IF($C75="","",VLOOKUP($C75,Config!$A$2:$Y$4,12,FALSE))</x:f>
      </x:c>
      <x:c r="AH75" s="14">
        <x:f>IF($C75="","",VLOOKUP($C75,Config!$A$2:$Y$4,13,FALSE))</x:f>
      </x:c>
      <x:c r="AI75" s="14">
        <x:f>IF($C75="","",VLOOKUP($C75,Config!$A$2:$Y$4,14,FALSE))</x:f>
      </x:c>
      <x:c r="AJ75" s="14">
        <x:f>IF($C75="","",VLOOKUP($C75,Config!$A$2:$Y$4,15,FALSE))</x:f>
      </x:c>
      <x:c r="AK75" s="14">
        <x:f>IF($C75="","",VLOOKUP($C75,Config!$A$2:$Y$4,16,FALSE))</x:f>
      </x:c>
      <x:c r="AL75" s="14">
        <x:f>IF($C75="","",VLOOKUP($C75,Config!$A$2:$Y$4,17,FALSE))</x:f>
      </x:c>
      <x:c r="AM75" s="14">
        <x:f>IF($C75="","",VLOOKUP($C75,Config!$A$2:$Y$4,18,FALSE))</x:f>
      </x:c>
      <x:c r="AN75" s="14">
        <x:f>IF($C75="","",VLOOKUP($C75,Config!$A$2:$Y$4,19,FALSE))</x:f>
      </x:c>
      <x:c r="AO75" s="14">
        <x:f>IF($C75="","",VLOOKUP($C75,Config!$A$2:$Y$4,20,FALSE))</x:f>
      </x:c>
      <x:c r="AP75" s="14">
        <x:f>IF($C75="","",VLOOKUP($C75,Config!$A$2:$Y$4,21,FALSE))</x:f>
      </x:c>
      <x:c r="AQ75" s="14">
        <x:f>IF($C75="","",VLOOKUP($C75,Config!$A$2:$Y$4,22,FALSE))</x:f>
      </x:c>
      <x:c r="AR75" s="14">
        <x:f>IF($C75="","",VLOOKUP($C75,Config!$A$2:$Y$4,23,FALSE))</x:f>
      </x:c>
      <x:c r="AS75" s="13">
        <x:f>IF($C75="","",IF($H75="Extra",3,IF($H75="I",2,IF($H75="II",1,0)))&gt;=IF($AA75="Extra",3,IF($AA75="I",2,IF($AA75="II",1,0))))</x:f>
      </x:c>
      <x:c r="AT75" s="13">
        <x:f>IF($C75="","",IF($I75="",FALSE,$I75&gt;=$AB75))</x:f>
      </x:c>
      <x:c r="AU75" s="13">
        <x:f>IF($C75="","",IF($AC75="",TRUE,IF($J75="",FALSE,$J75&lt;=$AC75)))</x:f>
      </x:c>
      <x:c r="AV75" s="13">
        <x:f>IF($C75="","",IF($AD75="",TRUE,IF($K75="",FALSE,$K75&lt;=$AD75)))</x:f>
      </x:c>
      <x:c r="AW75" s="13">
        <x:f>IF($C75="","",IF($AE75="",TRUE,IF($L75="",FALSE,$L75&lt;=$AE75)))</x:f>
      </x:c>
      <x:c r="AX75" s="13">
        <x:f>IF($C75="","",IF($AF75="",TRUE,IF($M75="",FALSE,$M75&lt;=$AF75)))</x:f>
      </x:c>
      <x:c r="AY75" s="13">
        <x:f>IF($C75="","",IF($AG75="",TRUE,IF($N75="",FALSE,$N75&gt;=$AG75)))</x:f>
      </x:c>
      <x:c r="AZ75" s="13">
        <x:f>IF($C75="","",IF(OR($AH75="",$AI75=""),TRUE,IF($O75="",FALSE,AND($O75&gt;=$AH75,$O75&lt;=$AI75))))</x:f>
      </x:c>
      <x:c r="BA75" s="13">
        <x:f>IF($C75="","",IF($AJ75="Y",$P75="Y",TRUE))</x:f>
      </x:c>
      <x:c r="BB75" s="13">
        <x:f>IF($C75="","",IF($AK75="Y",$Q75="Y",TRUE))</x:f>
      </x:c>
      <x:c r="BC75" s="13">
        <x:f>IF($C75="","",IF($AL75="Y",$R75="Y",TRUE))</x:f>
      </x:c>
      <x:c r="BD75" s="13">
        <x:f>IF($C75="","",IF($AM75="Y",$S75="Y",TRUE))</x:f>
      </x:c>
      <x:c r="BE75" s="13">
        <x:f>IF($C75="","",IF($AN75="Y",$T75="Y",TRUE))</x:f>
      </x:c>
      <x:c r="BF75" s="13">
        <x:f>IF($C75="","",IF($AO75="",TRUE,IF($U75="",FALSE,$U75&lt;=$AO75)))</x:f>
      </x:c>
      <x:c r="BG75" s="13">
        <x:f>IF($C75="","",IF($AP75="",TRUE,IF($V75="",FALSE,$V75&lt;=$AP75)))</x:f>
      </x:c>
      <x:c r="BH75" s="13">
        <x:f>IF($C75="","",IF($AQ75="",TRUE,IF($W75="",FALSE,$W75&lt;=$AQ75)))</x:f>
      </x:c>
      <x:c r="BI75" s="13">
        <x:f>IF($C75="","",IF($AR75="",TRUE,IF($X75="",FALSE,$X75&lt;=$AR75)))</x:f>
      </x:c>
      <x:c r="BJ75" s="15">
        <x:f>IF($C75="","",IF($Y75="",0,$Y75)+IF($AS75,10,0)+IF($AT75,8,0)+IF($AU75,5,0)+IF($AV75,8,0)+IF($AW75,15,0)+IF($AX75,4,0)+IF($AY75,5,0)+IF($AZ75,10,0)+IF($BA75,8,0)+IF($BB75,4,0)+IF($BC75,6,0)+IF($BD75,3,0)+IF($BE75,2,0)+IF($BF75,2,0)+IF($BG75,2,0)+IF($BH75,2,0)+IF($BI75,1,0))</x:f>
      </x:c>
      <x:c r="BK75" s="15">
        <x:f>IF($C75="","",IF(NOT($AS75),1,0)+IF(NOT($AW75),1,0)+IF(NOT($AZ75),1,0)+IF(NOT($BA75),1,0)+IF(NOT($BB75),1,0)+IF(NOT($BC75),1,0))</x:f>
      </x:c>
      <x:c r="BL75" s="13">
        <x:f>IF($C75="","",IF($BK75&gt;0,"REJECT",IF(COUNTIF($AS75:$BI75,FALSE)=0,"ACCEPT",IF($BJ75&gt;=85,"ACCEPT WITH SORTING / DISCOUNT","REJECT"))))</x:f>
      </x:c>
    </x:row>
    <x:row r="76" ht="24" customHeight="1">
      <x:c r="A76" s="10" t="n"/>
      <x:c r="B76" s="11" t="n"/>
      <x:c r="C76" s="11" t="n"/>
      <x:c r="D76" s="11" t="n"/>
      <x:c r="E76" s="11" t="n"/>
      <x:c r="F76" s="11" t="n"/>
      <x:c r="G76" s="11" t="n"/>
      <x:c r="H76" s="11" t="n"/>
      <x:c r="I76" s="12" t="n"/>
      <x:c r="J76" s="12" t="n"/>
      <x:c r="K76" s="12" t="n"/>
      <x:c r="L76" s="12" t="n"/>
      <x:c r="M76" s="12" t="n"/>
      <x:c r="N76" s="12" t="n"/>
      <x:c r="O76" s="12" t="n"/>
      <x:c r="P76" s="11" t="n"/>
      <x:c r="Q76" s="11" t="n"/>
      <x:c r="R76" s="11" t="n"/>
      <x:c r="S76" s="11" t="n"/>
      <x:c r="T76" s="11" t="n"/>
      <x:c r="U76" s="12" t="n"/>
      <x:c r="V76" s="12" t="n"/>
      <x:c r="W76" s="12" t="n"/>
      <x:c r="X76" s="12" t="n"/>
      <x:c r="Y76" s="12" t="n"/>
      <x:c r="Z76" s="13">
        <x:f>IF($C76="","",VLOOKUP($C76,Config!$A$2:$Y$4,2,FALSE))</x:f>
      </x:c>
      <x:c r="AA76" s="13">
        <x:f>IF($C76="","",VLOOKUP($C76,Config!$A$2:$Y$4,5,FALSE))</x:f>
      </x:c>
      <x:c r="AB76" s="14">
        <x:f>IF($C76="","",VLOOKUP($C76,Config!$A$2:$Y$4,7,FALSE))</x:f>
      </x:c>
      <x:c r="AC76" s="14">
        <x:f>IF($C76="","",VLOOKUP($C76,Config!$A$2:$Y$4,8,FALSE))</x:f>
      </x:c>
      <x:c r="AD76" s="14">
        <x:f>IF($C76="","",VLOOKUP($C76,Config!$A$2:$Y$4,9,FALSE))</x:f>
      </x:c>
      <x:c r="AE76" s="14">
        <x:f>IF($C76="","",VLOOKUP($C76,Config!$A$2:$Y$4,10,FALSE))</x:f>
      </x:c>
      <x:c r="AF76" s="14">
        <x:f>IF($C76="","",VLOOKUP($C76,Config!$A$2:$Y$4,11,FALSE))</x:f>
      </x:c>
      <x:c r="AG76" s="14">
        <x:f>IF($C76="","",VLOOKUP($C76,Config!$A$2:$Y$4,12,FALSE))</x:f>
      </x:c>
      <x:c r="AH76" s="14">
        <x:f>IF($C76="","",VLOOKUP($C76,Config!$A$2:$Y$4,13,FALSE))</x:f>
      </x:c>
      <x:c r="AI76" s="14">
        <x:f>IF($C76="","",VLOOKUP($C76,Config!$A$2:$Y$4,14,FALSE))</x:f>
      </x:c>
      <x:c r="AJ76" s="14">
        <x:f>IF($C76="","",VLOOKUP($C76,Config!$A$2:$Y$4,15,FALSE))</x:f>
      </x:c>
      <x:c r="AK76" s="14">
        <x:f>IF($C76="","",VLOOKUP($C76,Config!$A$2:$Y$4,16,FALSE))</x:f>
      </x:c>
      <x:c r="AL76" s="14">
        <x:f>IF($C76="","",VLOOKUP($C76,Config!$A$2:$Y$4,17,FALSE))</x:f>
      </x:c>
      <x:c r="AM76" s="14">
        <x:f>IF($C76="","",VLOOKUP($C76,Config!$A$2:$Y$4,18,FALSE))</x:f>
      </x:c>
      <x:c r="AN76" s="14">
        <x:f>IF($C76="","",VLOOKUP($C76,Config!$A$2:$Y$4,19,FALSE))</x:f>
      </x:c>
      <x:c r="AO76" s="14">
        <x:f>IF($C76="","",VLOOKUP($C76,Config!$A$2:$Y$4,20,FALSE))</x:f>
      </x:c>
      <x:c r="AP76" s="14">
        <x:f>IF($C76="","",VLOOKUP($C76,Config!$A$2:$Y$4,21,FALSE))</x:f>
      </x:c>
      <x:c r="AQ76" s="14">
        <x:f>IF($C76="","",VLOOKUP($C76,Config!$A$2:$Y$4,22,FALSE))</x:f>
      </x:c>
      <x:c r="AR76" s="14">
        <x:f>IF($C76="","",VLOOKUP($C76,Config!$A$2:$Y$4,23,FALSE))</x:f>
      </x:c>
      <x:c r="AS76" s="13">
        <x:f>IF($C76="","",IF($H76="Extra",3,IF($H76="I",2,IF($H76="II",1,0)))&gt;=IF($AA76="Extra",3,IF($AA76="I",2,IF($AA76="II",1,0))))</x:f>
      </x:c>
      <x:c r="AT76" s="13">
        <x:f>IF($C76="","",IF($I76="",FALSE,$I76&gt;=$AB76))</x:f>
      </x:c>
      <x:c r="AU76" s="13">
        <x:f>IF($C76="","",IF($AC76="",TRUE,IF($J76="",FALSE,$J76&lt;=$AC76)))</x:f>
      </x:c>
      <x:c r="AV76" s="13">
        <x:f>IF($C76="","",IF($AD76="",TRUE,IF($K76="",FALSE,$K76&lt;=$AD76)))</x:f>
      </x:c>
      <x:c r="AW76" s="13">
        <x:f>IF($C76="","",IF($AE76="",TRUE,IF($L76="",FALSE,$L76&lt;=$AE76)))</x:f>
      </x:c>
      <x:c r="AX76" s="13">
        <x:f>IF($C76="","",IF($AF76="",TRUE,IF($M76="",FALSE,$M76&lt;=$AF76)))</x:f>
      </x:c>
      <x:c r="AY76" s="13">
        <x:f>IF($C76="","",IF($AG76="",TRUE,IF($N76="",FALSE,$N76&gt;=$AG76)))</x:f>
      </x:c>
      <x:c r="AZ76" s="13">
        <x:f>IF($C76="","",IF(OR($AH76="",$AI76=""),TRUE,IF($O76="",FALSE,AND($O76&gt;=$AH76,$O76&lt;=$AI76))))</x:f>
      </x:c>
      <x:c r="BA76" s="13">
        <x:f>IF($C76="","",IF($AJ76="Y",$P76="Y",TRUE))</x:f>
      </x:c>
      <x:c r="BB76" s="13">
        <x:f>IF($C76="","",IF($AK76="Y",$Q76="Y",TRUE))</x:f>
      </x:c>
      <x:c r="BC76" s="13">
        <x:f>IF($C76="","",IF($AL76="Y",$R76="Y",TRUE))</x:f>
      </x:c>
      <x:c r="BD76" s="13">
        <x:f>IF($C76="","",IF($AM76="Y",$S76="Y",TRUE))</x:f>
      </x:c>
      <x:c r="BE76" s="13">
        <x:f>IF($C76="","",IF($AN76="Y",$T76="Y",TRUE))</x:f>
      </x:c>
      <x:c r="BF76" s="13">
        <x:f>IF($C76="","",IF($AO76="",TRUE,IF($U76="",FALSE,$U76&lt;=$AO76)))</x:f>
      </x:c>
      <x:c r="BG76" s="13">
        <x:f>IF($C76="","",IF($AP76="",TRUE,IF($V76="",FALSE,$V76&lt;=$AP76)))</x:f>
      </x:c>
      <x:c r="BH76" s="13">
        <x:f>IF($C76="","",IF($AQ76="",TRUE,IF($W76="",FALSE,$W76&lt;=$AQ76)))</x:f>
      </x:c>
      <x:c r="BI76" s="13">
        <x:f>IF($C76="","",IF($AR76="",TRUE,IF($X76="",FALSE,$X76&lt;=$AR76)))</x:f>
      </x:c>
      <x:c r="BJ76" s="15">
        <x:f>IF($C76="","",IF($Y76="",0,$Y76)+IF($AS76,10,0)+IF($AT76,8,0)+IF($AU76,5,0)+IF($AV76,8,0)+IF($AW76,15,0)+IF($AX76,4,0)+IF($AY76,5,0)+IF($AZ76,10,0)+IF($BA76,8,0)+IF($BB76,4,0)+IF($BC76,6,0)+IF($BD76,3,0)+IF($BE76,2,0)+IF($BF76,2,0)+IF($BG76,2,0)+IF($BH76,2,0)+IF($BI76,1,0))</x:f>
      </x:c>
      <x:c r="BK76" s="15">
        <x:f>IF($C76="","",IF(NOT($AS76),1,0)+IF(NOT($AW76),1,0)+IF(NOT($AZ76),1,0)+IF(NOT($BA76),1,0)+IF(NOT($BB76),1,0)+IF(NOT($BC76),1,0))</x:f>
      </x:c>
      <x:c r="BL76" s="13">
        <x:f>IF($C76="","",IF($BK76&gt;0,"REJECT",IF(COUNTIF($AS76:$BI76,FALSE)=0,"ACCEPT",IF($BJ76&gt;=85,"ACCEPT WITH SORTING / DISCOUNT","REJECT"))))</x:f>
      </x:c>
    </x:row>
    <x:row r="77" ht="24" customHeight="1">
      <x:c r="A77" s="10" t="n"/>
      <x:c r="B77" s="11" t="n"/>
      <x:c r="C77" s="11" t="n"/>
      <x:c r="D77" s="11" t="n"/>
      <x:c r="E77" s="11" t="n"/>
      <x:c r="F77" s="11" t="n"/>
      <x:c r="G77" s="11" t="n"/>
      <x:c r="H77" s="11" t="n"/>
      <x:c r="I77" s="12" t="n"/>
      <x:c r="J77" s="12" t="n"/>
      <x:c r="K77" s="12" t="n"/>
      <x:c r="L77" s="12" t="n"/>
      <x:c r="M77" s="12" t="n"/>
      <x:c r="N77" s="12" t="n"/>
      <x:c r="O77" s="12" t="n"/>
      <x:c r="P77" s="11" t="n"/>
      <x:c r="Q77" s="11" t="n"/>
      <x:c r="R77" s="11" t="n"/>
      <x:c r="S77" s="11" t="n"/>
      <x:c r="T77" s="11" t="n"/>
      <x:c r="U77" s="12" t="n"/>
      <x:c r="V77" s="12" t="n"/>
      <x:c r="W77" s="12" t="n"/>
      <x:c r="X77" s="12" t="n"/>
      <x:c r="Y77" s="12" t="n"/>
      <x:c r="Z77" s="13">
        <x:f>IF($C77="","",VLOOKUP($C77,Config!$A$2:$Y$4,2,FALSE))</x:f>
      </x:c>
      <x:c r="AA77" s="13">
        <x:f>IF($C77="","",VLOOKUP($C77,Config!$A$2:$Y$4,5,FALSE))</x:f>
      </x:c>
      <x:c r="AB77" s="14">
        <x:f>IF($C77="","",VLOOKUP($C77,Config!$A$2:$Y$4,7,FALSE))</x:f>
      </x:c>
      <x:c r="AC77" s="14">
        <x:f>IF($C77="","",VLOOKUP($C77,Config!$A$2:$Y$4,8,FALSE))</x:f>
      </x:c>
      <x:c r="AD77" s="14">
        <x:f>IF($C77="","",VLOOKUP($C77,Config!$A$2:$Y$4,9,FALSE))</x:f>
      </x:c>
      <x:c r="AE77" s="14">
        <x:f>IF($C77="","",VLOOKUP($C77,Config!$A$2:$Y$4,10,FALSE))</x:f>
      </x:c>
      <x:c r="AF77" s="14">
        <x:f>IF($C77="","",VLOOKUP($C77,Config!$A$2:$Y$4,11,FALSE))</x:f>
      </x:c>
      <x:c r="AG77" s="14">
        <x:f>IF($C77="","",VLOOKUP($C77,Config!$A$2:$Y$4,12,FALSE))</x:f>
      </x:c>
      <x:c r="AH77" s="14">
        <x:f>IF($C77="","",VLOOKUP($C77,Config!$A$2:$Y$4,13,FALSE))</x:f>
      </x:c>
      <x:c r="AI77" s="14">
        <x:f>IF($C77="","",VLOOKUP($C77,Config!$A$2:$Y$4,14,FALSE))</x:f>
      </x:c>
      <x:c r="AJ77" s="14">
        <x:f>IF($C77="","",VLOOKUP($C77,Config!$A$2:$Y$4,15,FALSE))</x:f>
      </x:c>
      <x:c r="AK77" s="14">
        <x:f>IF($C77="","",VLOOKUP($C77,Config!$A$2:$Y$4,16,FALSE))</x:f>
      </x:c>
      <x:c r="AL77" s="14">
        <x:f>IF($C77="","",VLOOKUP($C77,Config!$A$2:$Y$4,17,FALSE))</x:f>
      </x:c>
      <x:c r="AM77" s="14">
        <x:f>IF($C77="","",VLOOKUP($C77,Config!$A$2:$Y$4,18,FALSE))</x:f>
      </x:c>
      <x:c r="AN77" s="14">
        <x:f>IF($C77="","",VLOOKUP($C77,Config!$A$2:$Y$4,19,FALSE))</x:f>
      </x:c>
      <x:c r="AO77" s="14">
        <x:f>IF($C77="","",VLOOKUP($C77,Config!$A$2:$Y$4,20,FALSE))</x:f>
      </x:c>
      <x:c r="AP77" s="14">
        <x:f>IF($C77="","",VLOOKUP($C77,Config!$A$2:$Y$4,21,FALSE))</x:f>
      </x:c>
      <x:c r="AQ77" s="14">
        <x:f>IF($C77="","",VLOOKUP($C77,Config!$A$2:$Y$4,22,FALSE))</x:f>
      </x:c>
      <x:c r="AR77" s="14">
        <x:f>IF($C77="","",VLOOKUP($C77,Config!$A$2:$Y$4,23,FALSE))</x:f>
      </x:c>
      <x:c r="AS77" s="13">
        <x:f>IF($C77="","",IF($H77="Extra",3,IF($H77="I",2,IF($H77="II",1,0)))&gt;=IF($AA77="Extra",3,IF($AA77="I",2,IF($AA77="II",1,0))))</x:f>
      </x:c>
      <x:c r="AT77" s="13">
        <x:f>IF($C77="","",IF($I77="",FALSE,$I77&gt;=$AB77))</x:f>
      </x:c>
      <x:c r="AU77" s="13">
        <x:f>IF($C77="","",IF($AC77="",TRUE,IF($J77="",FALSE,$J77&lt;=$AC77)))</x:f>
      </x:c>
      <x:c r="AV77" s="13">
        <x:f>IF($C77="","",IF($AD77="",TRUE,IF($K77="",FALSE,$K77&lt;=$AD77)))</x:f>
      </x:c>
      <x:c r="AW77" s="13">
        <x:f>IF($C77="","",IF($AE77="",TRUE,IF($L77="",FALSE,$L77&lt;=$AE77)))</x:f>
      </x:c>
      <x:c r="AX77" s="13">
        <x:f>IF($C77="","",IF($AF77="",TRUE,IF($M77="",FALSE,$M77&lt;=$AF77)))</x:f>
      </x:c>
      <x:c r="AY77" s="13">
        <x:f>IF($C77="","",IF($AG77="",TRUE,IF($N77="",FALSE,$N77&gt;=$AG77)))</x:f>
      </x:c>
      <x:c r="AZ77" s="13">
        <x:f>IF($C77="","",IF(OR($AH77="",$AI77=""),TRUE,IF($O77="",FALSE,AND($O77&gt;=$AH77,$O77&lt;=$AI77))))</x:f>
      </x:c>
      <x:c r="BA77" s="13">
        <x:f>IF($C77="","",IF($AJ77="Y",$P77="Y",TRUE))</x:f>
      </x:c>
      <x:c r="BB77" s="13">
        <x:f>IF($C77="","",IF($AK77="Y",$Q77="Y",TRUE))</x:f>
      </x:c>
      <x:c r="BC77" s="13">
        <x:f>IF($C77="","",IF($AL77="Y",$R77="Y",TRUE))</x:f>
      </x:c>
      <x:c r="BD77" s="13">
        <x:f>IF($C77="","",IF($AM77="Y",$S77="Y",TRUE))</x:f>
      </x:c>
      <x:c r="BE77" s="13">
        <x:f>IF($C77="","",IF($AN77="Y",$T77="Y",TRUE))</x:f>
      </x:c>
      <x:c r="BF77" s="13">
        <x:f>IF($C77="","",IF($AO77="",TRUE,IF($U77="",FALSE,$U77&lt;=$AO77)))</x:f>
      </x:c>
      <x:c r="BG77" s="13">
        <x:f>IF($C77="","",IF($AP77="",TRUE,IF($V77="",FALSE,$V77&lt;=$AP77)))</x:f>
      </x:c>
      <x:c r="BH77" s="13">
        <x:f>IF($C77="","",IF($AQ77="",TRUE,IF($W77="",FALSE,$W77&lt;=$AQ77)))</x:f>
      </x:c>
      <x:c r="BI77" s="13">
        <x:f>IF($C77="","",IF($AR77="",TRUE,IF($X77="",FALSE,$X77&lt;=$AR77)))</x:f>
      </x:c>
      <x:c r="BJ77" s="15">
        <x:f>IF($C77="","",IF($Y77="",0,$Y77)+IF($AS77,10,0)+IF($AT77,8,0)+IF($AU77,5,0)+IF($AV77,8,0)+IF($AW77,15,0)+IF($AX77,4,0)+IF($AY77,5,0)+IF($AZ77,10,0)+IF($BA77,8,0)+IF($BB77,4,0)+IF($BC77,6,0)+IF($BD77,3,0)+IF($BE77,2,0)+IF($BF77,2,0)+IF($BG77,2,0)+IF($BH77,2,0)+IF($BI77,1,0))</x:f>
      </x:c>
      <x:c r="BK77" s="15">
        <x:f>IF($C77="","",IF(NOT($AS77),1,0)+IF(NOT($AW77),1,0)+IF(NOT($AZ77),1,0)+IF(NOT($BA77),1,0)+IF(NOT($BB77),1,0)+IF(NOT($BC77),1,0))</x:f>
      </x:c>
      <x:c r="BL77" s="13">
        <x:f>IF($C77="","",IF($BK77&gt;0,"REJECT",IF(COUNTIF($AS77:$BI77,FALSE)=0,"ACCEPT",IF($BJ77&gt;=85,"ACCEPT WITH SORTING / DISCOUNT","REJECT"))))</x:f>
      </x:c>
    </x:row>
    <x:row r="78" ht="24" customHeight="1">
      <x:c r="A78" s="10" t="n"/>
      <x:c r="B78" s="11" t="n"/>
      <x:c r="C78" s="11" t="n"/>
      <x:c r="D78" s="11" t="n"/>
      <x:c r="E78" s="11" t="n"/>
      <x:c r="F78" s="11" t="n"/>
      <x:c r="G78" s="11" t="n"/>
      <x:c r="H78" s="11" t="n"/>
      <x:c r="I78" s="12" t="n"/>
      <x:c r="J78" s="12" t="n"/>
      <x:c r="K78" s="12" t="n"/>
      <x:c r="L78" s="12" t="n"/>
      <x:c r="M78" s="12" t="n"/>
      <x:c r="N78" s="12" t="n"/>
      <x:c r="O78" s="12" t="n"/>
      <x:c r="P78" s="11" t="n"/>
      <x:c r="Q78" s="11" t="n"/>
      <x:c r="R78" s="11" t="n"/>
      <x:c r="S78" s="11" t="n"/>
      <x:c r="T78" s="11" t="n"/>
      <x:c r="U78" s="12" t="n"/>
      <x:c r="V78" s="12" t="n"/>
      <x:c r="W78" s="12" t="n"/>
      <x:c r="X78" s="12" t="n"/>
      <x:c r="Y78" s="12" t="n"/>
      <x:c r="Z78" s="13">
        <x:f>IF($C78="","",VLOOKUP($C78,Config!$A$2:$Y$4,2,FALSE))</x:f>
      </x:c>
      <x:c r="AA78" s="13">
        <x:f>IF($C78="","",VLOOKUP($C78,Config!$A$2:$Y$4,5,FALSE))</x:f>
      </x:c>
      <x:c r="AB78" s="14">
        <x:f>IF($C78="","",VLOOKUP($C78,Config!$A$2:$Y$4,7,FALSE))</x:f>
      </x:c>
      <x:c r="AC78" s="14">
        <x:f>IF($C78="","",VLOOKUP($C78,Config!$A$2:$Y$4,8,FALSE))</x:f>
      </x:c>
      <x:c r="AD78" s="14">
        <x:f>IF($C78="","",VLOOKUP($C78,Config!$A$2:$Y$4,9,FALSE))</x:f>
      </x:c>
      <x:c r="AE78" s="14">
        <x:f>IF($C78="","",VLOOKUP($C78,Config!$A$2:$Y$4,10,FALSE))</x:f>
      </x:c>
      <x:c r="AF78" s="14">
        <x:f>IF($C78="","",VLOOKUP($C78,Config!$A$2:$Y$4,11,FALSE))</x:f>
      </x:c>
      <x:c r="AG78" s="14">
        <x:f>IF($C78="","",VLOOKUP($C78,Config!$A$2:$Y$4,12,FALSE))</x:f>
      </x:c>
      <x:c r="AH78" s="14">
        <x:f>IF($C78="","",VLOOKUP($C78,Config!$A$2:$Y$4,13,FALSE))</x:f>
      </x:c>
      <x:c r="AI78" s="14">
        <x:f>IF($C78="","",VLOOKUP($C78,Config!$A$2:$Y$4,14,FALSE))</x:f>
      </x:c>
      <x:c r="AJ78" s="14">
        <x:f>IF($C78="","",VLOOKUP($C78,Config!$A$2:$Y$4,15,FALSE))</x:f>
      </x:c>
      <x:c r="AK78" s="14">
        <x:f>IF($C78="","",VLOOKUP($C78,Config!$A$2:$Y$4,16,FALSE))</x:f>
      </x:c>
      <x:c r="AL78" s="14">
        <x:f>IF($C78="","",VLOOKUP($C78,Config!$A$2:$Y$4,17,FALSE))</x:f>
      </x:c>
      <x:c r="AM78" s="14">
        <x:f>IF($C78="","",VLOOKUP($C78,Config!$A$2:$Y$4,18,FALSE))</x:f>
      </x:c>
      <x:c r="AN78" s="14">
        <x:f>IF($C78="","",VLOOKUP($C78,Config!$A$2:$Y$4,19,FALSE))</x:f>
      </x:c>
      <x:c r="AO78" s="14">
        <x:f>IF($C78="","",VLOOKUP($C78,Config!$A$2:$Y$4,20,FALSE))</x:f>
      </x:c>
      <x:c r="AP78" s="14">
        <x:f>IF($C78="","",VLOOKUP($C78,Config!$A$2:$Y$4,21,FALSE))</x:f>
      </x:c>
      <x:c r="AQ78" s="14">
        <x:f>IF($C78="","",VLOOKUP($C78,Config!$A$2:$Y$4,22,FALSE))</x:f>
      </x:c>
      <x:c r="AR78" s="14">
        <x:f>IF($C78="","",VLOOKUP($C78,Config!$A$2:$Y$4,23,FALSE))</x:f>
      </x:c>
      <x:c r="AS78" s="13">
        <x:f>IF($C78="","",IF($H78="Extra",3,IF($H78="I",2,IF($H78="II",1,0)))&gt;=IF($AA78="Extra",3,IF($AA78="I",2,IF($AA78="II",1,0))))</x:f>
      </x:c>
      <x:c r="AT78" s="13">
        <x:f>IF($C78="","",IF($I78="",FALSE,$I78&gt;=$AB78))</x:f>
      </x:c>
      <x:c r="AU78" s="13">
        <x:f>IF($C78="","",IF($AC78="",TRUE,IF($J78="",FALSE,$J78&lt;=$AC78)))</x:f>
      </x:c>
      <x:c r="AV78" s="13">
        <x:f>IF($C78="","",IF($AD78="",TRUE,IF($K78="",FALSE,$K78&lt;=$AD78)))</x:f>
      </x:c>
      <x:c r="AW78" s="13">
        <x:f>IF($C78="","",IF($AE78="",TRUE,IF($L78="",FALSE,$L78&lt;=$AE78)))</x:f>
      </x:c>
      <x:c r="AX78" s="13">
        <x:f>IF($C78="","",IF($AF78="",TRUE,IF($M78="",FALSE,$M78&lt;=$AF78)))</x:f>
      </x:c>
      <x:c r="AY78" s="13">
        <x:f>IF($C78="","",IF($AG78="",TRUE,IF($N78="",FALSE,$N78&gt;=$AG78)))</x:f>
      </x:c>
      <x:c r="AZ78" s="13">
        <x:f>IF($C78="","",IF(OR($AH78="",$AI78=""),TRUE,IF($O78="",FALSE,AND($O78&gt;=$AH78,$O78&lt;=$AI78))))</x:f>
      </x:c>
      <x:c r="BA78" s="13">
        <x:f>IF($C78="","",IF($AJ78="Y",$P78="Y",TRUE))</x:f>
      </x:c>
      <x:c r="BB78" s="13">
        <x:f>IF($C78="","",IF($AK78="Y",$Q78="Y",TRUE))</x:f>
      </x:c>
      <x:c r="BC78" s="13">
        <x:f>IF($C78="","",IF($AL78="Y",$R78="Y",TRUE))</x:f>
      </x:c>
      <x:c r="BD78" s="13">
        <x:f>IF($C78="","",IF($AM78="Y",$S78="Y",TRUE))</x:f>
      </x:c>
      <x:c r="BE78" s="13">
        <x:f>IF($C78="","",IF($AN78="Y",$T78="Y",TRUE))</x:f>
      </x:c>
      <x:c r="BF78" s="13">
        <x:f>IF($C78="","",IF($AO78="",TRUE,IF($U78="",FALSE,$U78&lt;=$AO78)))</x:f>
      </x:c>
      <x:c r="BG78" s="13">
        <x:f>IF($C78="","",IF($AP78="",TRUE,IF($V78="",FALSE,$V78&lt;=$AP78)))</x:f>
      </x:c>
      <x:c r="BH78" s="13">
        <x:f>IF($C78="","",IF($AQ78="",TRUE,IF($W78="",FALSE,$W78&lt;=$AQ78)))</x:f>
      </x:c>
      <x:c r="BI78" s="13">
        <x:f>IF($C78="","",IF($AR78="",TRUE,IF($X78="",FALSE,$X78&lt;=$AR78)))</x:f>
      </x:c>
      <x:c r="BJ78" s="15">
        <x:f>IF($C78="","",IF($Y78="",0,$Y78)+IF($AS78,10,0)+IF($AT78,8,0)+IF($AU78,5,0)+IF($AV78,8,0)+IF($AW78,15,0)+IF($AX78,4,0)+IF($AY78,5,0)+IF($AZ78,10,0)+IF($BA78,8,0)+IF($BB78,4,0)+IF($BC78,6,0)+IF($BD78,3,0)+IF($BE78,2,0)+IF($BF78,2,0)+IF($BG78,2,0)+IF($BH78,2,0)+IF($BI78,1,0))</x:f>
      </x:c>
      <x:c r="BK78" s="15">
        <x:f>IF($C78="","",IF(NOT($AS78),1,0)+IF(NOT($AW78),1,0)+IF(NOT($AZ78),1,0)+IF(NOT($BA78),1,0)+IF(NOT($BB78),1,0)+IF(NOT($BC78),1,0))</x:f>
      </x:c>
      <x:c r="BL78" s="13">
        <x:f>IF($C78="","",IF($BK78&gt;0,"REJECT",IF(COUNTIF($AS78:$BI78,FALSE)=0,"ACCEPT",IF($BJ78&gt;=85,"ACCEPT WITH SORTING / DISCOUNT","REJECT"))))</x:f>
      </x:c>
    </x:row>
    <x:row r="79" ht="24" customHeight="1">
      <x:c r="A79" s="10" t="n"/>
      <x:c r="B79" s="11" t="n"/>
      <x:c r="C79" s="11" t="n"/>
      <x:c r="D79" s="11" t="n"/>
      <x:c r="E79" s="11" t="n"/>
      <x:c r="F79" s="11" t="n"/>
      <x:c r="G79" s="11" t="n"/>
      <x:c r="H79" s="11" t="n"/>
      <x:c r="I79" s="12" t="n"/>
      <x:c r="J79" s="12" t="n"/>
      <x:c r="K79" s="12" t="n"/>
      <x:c r="L79" s="12" t="n"/>
      <x:c r="M79" s="12" t="n"/>
      <x:c r="N79" s="12" t="n"/>
      <x:c r="O79" s="12" t="n"/>
      <x:c r="P79" s="11" t="n"/>
      <x:c r="Q79" s="11" t="n"/>
      <x:c r="R79" s="11" t="n"/>
      <x:c r="S79" s="11" t="n"/>
      <x:c r="T79" s="11" t="n"/>
      <x:c r="U79" s="12" t="n"/>
      <x:c r="V79" s="12" t="n"/>
      <x:c r="W79" s="12" t="n"/>
      <x:c r="X79" s="12" t="n"/>
      <x:c r="Y79" s="12" t="n"/>
      <x:c r="Z79" s="13">
        <x:f>IF($C79="","",VLOOKUP($C79,Config!$A$2:$Y$4,2,FALSE))</x:f>
      </x:c>
      <x:c r="AA79" s="13">
        <x:f>IF($C79="","",VLOOKUP($C79,Config!$A$2:$Y$4,5,FALSE))</x:f>
      </x:c>
      <x:c r="AB79" s="14">
        <x:f>IF($C79="","",VLOOKUP($C79,Config!$A$2:$Y$4,7,FALSE))</x:f>
      </x:c>
      <x:c r="AC79" s="14">
        <x:f>IF($C79="","",VLOOKUP($C79,Config!$A$2:$Y$4,8,FALSE))</x:f>
      </x:c>
      <x:c r="AD79" s="14">
        <x:f>IF($C79="","",VLOOKUP($C79,Config!$A$2:$Y$4,9,FALSE))</x:f>
      </x:c>
      <x:c r="AE79" s="14">
        <x:f>IF($C79="","",VLOOKUP($C79,Config!$A$2:$Y$4,10,FALSE))</x:f>
      </x:c>
      <x:c r="AF79" s="14">
        <x:f>IF($C79="","",VLOOKUP($C79,Config!$A$2:$Y$4,11,FALSE))</x:f>
      </x:c>
      <x:c r="AG79" s="14">
        <x:f>IF($C79="","",VLOOKUP($C79,Config!$A$2:$Y$4,12,FALSE))</x:f>
      </x:c>
      <x:c r="AH79" s="14">
        <x:f>IF($C79="","",VLOOKUP($C79,Config!$A$2:$Y$4,13,FALSE))</x:f>
      </x:c>
      <x:c r="AI79" s="14">
        <x:f>IF($C79="","",VLOOKUP($C79,Config!$A$2:$Y$4,14,FALSE))</x:f>
      </x:c>
      <x:c r="AJ79" s="14">
        <x:f>IF($C79="","",VLOOKUP($C79,Config!$A$2:$Y$4,15,FALSE))</x:f>
      </x:c>
      <x:c r="AK79" s="14">
        <x:f>IF($C79="","",VLOOKUP($C79,Config!$A$2:$Y$4,16,FALSE))</x:f>
      </x:c>
      <x:c r="AL79" s="14">
        <x:f>IF($C79="","",VLOOKUP($C79,Config!$A$2:$Y$4,17,FALSE))</x:f>
      </x:c>
      <x:c r="AM79" s="14">
        <x:f>IF($C79="","",VLOOKUP($C79,Config!$A$2:$Y$4,18,FALSE))</x:f>
      </x:c>
      <x:c r="AN79" s="14">
        <x:f>IF($C79="","",VLOOKUP($C79,Config!$A$2:$Y$4,19,FALSE))</x:f>
      </x:c>
      <x:c r="AO79" s="14">
        <x:f>IF($C79="","",VLOOKUP($C79,Config!$A$2:$Y$4,20,FALSE))</x:f>
      </x:c>
      <x:c r="AP79" s="14">
        <x:f>IF($C79="","",VLOOKUP($C79,Config!$A$2:$Y$4,21,FALSE))</x:f>
      </x:c>
      <x:c r="AQ79" s="14">
        <x:f>IF($C79="","",VLOOKUP($C79,Config!$A$2:$Y$4,22,FALSE))</x:f>
      </x:c>
      <x:c r="AR79" s="14">
        <x:f>IF($C79="","",VLOOKUP($C79,Config!$A$2:$Y$4,23,FALSE))</x:f>
      </x:c>
      <x:c r="AS79" s="13">
        <x:f>IF($C79="","",IF($H79="Extra",3,IF($H79="I",2,IF($H79="II",1,0)))&gt;=IF($AA79="Extra",3,IF($AA79="I",2,IF($AA79="II",1,0))))</x:f>
      </x:c>
      <x:c r="AT79" s="13">
        <x:f>IF($C79="","",IF($I79="",FALSE,$I79&gt;=$AB79))</x:f>
      </x:c>
      <x:c r="AU79" s="13">
        <x:f>IF($C79="","",IF($AC79="",TRUE,IF($J79="",FALSE,$J79&lt;=$AC79)))</x:f>
      </x:c>
      <x:c r="AV79" s="13">
        <x:f>IF($C79="","",IF($AD79="",TRUE,IF($K79="",FALSE,$K79&lt;=$AD79)))</x:f>
      </x:c>
      <x:c r="AW79" s="13">
        <x:f>IF($C79="","",IF($AE79="",TRUE,IF($L79="",FALSE,$L79&lt;=$AE79)))</x:f>
      </x:c>
      <x:c r="AX79" s="13">
        <x:f>IF($C79="","",IF($AF79="",TRUE,IF($M79="",FALSE,$M79&lt;=$AF79)))</x:f>
      </x:c>
      <x:c r="AY79" s="13">
        <x:f>IF($C79="","",IF($AG79="",TRUE,IF($N79="",FALSE,$N79&gt;=$AG79)))</x:f>
      </x:c>
      <x:c r="AZ79" s="13">
        <x:f>IF($C79="","",IF(OR($AH79="",$AI79=""),TRUE,IF($O79="",FALSE,AND($O79&gt;=$AH79,$O79&lt;=$AI79))))</x:f>
      </x:c>
      <x:c r="BA79" s="13">
        <x:f>IF($C79="","",IF($AJ79="Y",$P79="Y",TRUE))</x:f>
      </x:c>
      <x:c r="BB79" s="13">
        <x:f>IF($C79="","",IF($AK79="Y",$Q79="Y",TRUE))</x:f>
      </x:c>
      <x:c r="BC79" s="13">
        <x:f>IF($C79="","",IF($AL79="Y",$R79="Y",TRUE))</x:f>
      </x:c>
      <x:c r="BD79" s="13">
        <x:f>IF($C79="","",IF($AM79="Y",$S79="Y",TRUE))</x:f>
      </x:c>
      <x:c r="BE79" s="13">
        <x:f>IF($C79="","",IF($AN79="Y",$T79="Y",TRUE))</x:f>
      </x:c>
      <x:c r="BF79" s="13">
        <x:f>IF($C79="","",IF($AO79="",TRUE,IF($U79="",FALSE,$U79&lt;=$AO79)))</x:f>
      </x:c>
      <x:c r="BG79" s="13">
        <x:f>IF($C79="","",IF($AP79="",TRUE,IF($V79="",FALSE,$V79&lt;=$AP79)))</x:f>
      </x:c>
      <x:c r="BH79" s="13">
        <x:f>IF($C79="","",IF($AQ79="",TRUE,IF($W79="",FALSE,$W79&lt;=$AQ79)))</x:f>
      </x:c>
      <x:c r="BI79" s="13">
        <x:f>IF($C79="","",IF($AR79="",TRUE,IF($X79="",FALSE,$X79&lt;=$AR79)))</x:f>
      </x:c>
      <x:c r="BJ79" s="15">
        <x:f>IF($C79="","",IF($Y79="",0,$Y79)+IF($AS79,10,0)+IF($AT79,8,0)+IF($AU79,5,0)+IF($AV79,8,0)+IF($AW79,15,0)+IF($AX79,4,0)+IF($AY79,5,0)+IF($AZ79,10,0)+IF($BA79,8,0)+IF($BB79,4,0)+IF($BC79,6,0)+IF($BD79,3,0)+IF($BE79,2,0)+IF($BF79,2,0)+IF($BG79,2,0)+IF($BH79,2,0)+IF($BI79,1,0))</x:f>
      </x:c>
      <x:c r="BK79" s="15">
        <x:f>IF($C79="","",IF(NOT($AS79),1,0)+IF(NOT($AW79),1,0)+IF(NOT($AZ79),1,0)+IF(NOT($BA79),1,0)+IF(NOT($BB79),1,0)+IF(NOT($BC79),1,0))</x:f>
      </x:c>
      <x:c r="BL79" s="13">
        <x:f>IF($C79="","",IF($BK79&gt;0,"REJECT",IF(COUNTIF($AS79:$BI79,FALSE)=0,"ACCEPT",IF($BJ79&gt;=85,"ACCEPT WITH SORTING / DISCOUNT","REJECT"))))</x:f>
      </x:c>
    </x:row>
    <x:row r="80" ht="24" customHeight="1">
      <x:c r="A80" s="10" t="n"/>
      <x:c r="B80" s="11" t="n"/>
      <x:c r="C80" s="11" t="n"/>
      <x:c r="D80" s="11" t="n"/>
      <x:c r="E80" s="11" t="n"/>
      <x:c r="F80" s="11" t="n"/>
      <x:c r="G80" s="11" t="n"/>
      <x:c r="H80" s="11" t="n"/>
      <x:c r="I80" s="12" t="n"/>
      <x:c r="J80" s="12" t="n"/>
      <x:c r="K80" s="12" t="n"/>
      <x:c r="L80" s="12" t="n"/>
      <x:c r="M80" s="12" t="n"/>
      <x:c r="N80" s="12" t="n"/>
      <x:c r="O80" s="12" t="n"/>
      <x:c r="P80" s="11" t="n"/>
      <x:c r="Q80" s="11" t="n"/>
      <x:c r="R80" s="11" t="n"/>
      <x:c r="S80" s="11" t="n"/>
      <x:c r="T80" s="11" t="n"/>
      <x:c r="U80" s="12" t="n"/>
      <x:c r="V80" s="12" t="n"/>
      <x:c r="W80" s="12" t="n"/>
      <x:c r="X80" s="12" t="n"/>
      <x:c r="Y80" s="12" t="n"/>
      <x:c r="Z80" s="13">
        <x:f>IF($C80="","",VLOOKUP($C80,Config!$A$2:$Y$4,2,FALSE))</x:f>
      </x:c>
      <x:c r="AA80" s="13">
        <x:f>IF($C80="","",VLOOKUP($C80,Config!$A$2:$Y$4,5,FALSE))</x:f>
      </x:c>
      <x:c r="AB80" s="14">
        <x:f>IF($C80="","",VLOOKUP($C80,Config!$A$2:$Y$4,7,FALSE))</x:f>
      </x:c>
      <x:c r="AC80" s="14">
        <x:f>IF($C80="","",VLOOKUP($C80,Config!$A$2:$Y$4,8,FALSE))</x:f>
      </x:c>
      <x:c r="AD80" s="14">
        <x:f>IF($C80="","",VLOOKUP($C80,Config!$A$2:$Y$4,9,FALSE))</x:f>
      </x:c>
      <x:c r="AE80" s="14">
        <x:f>IF($C80="","",VLOOKUP($C80,Config!$A$2:$Y$4,10,FALSE))</x:f>
      </x:c>
      <x:c r="AF80" s="14">
        <x:f>IF($C80="","",VLOOKUP($C80,Config!$A$2:$Y$4,11,FALSE))</x:f>
      </x:c>
      <x:c r="AG80" s="14">
        <x:f>IF($C80="","",VLOOKUP($C80,Config!$A$2:$Y$4,12,FALSE))</x:f>
      </x:c>
      <x:c r="AH80" s="14">
        <x:f>IF($C80="","",VLOOKUP($C80,Config!$A$2:$Y$4,13,FALSE))</x:f>
      </x:c>
      <x:c r="AI80" s="14">
        <x:f>IF($C80="","",VLOOKUP($C80,Config!$A$2:$Y$4,14,FALSE))</x:f>
      </x:c>
      <x:c r="AJ80" s="14">
        <x:f>IF($C80="","",VLOOKUP($C80,Config!$A$2:$Y$4,15,FALSE))</x:f>
      </x:c>
      <x:c r="AK80" s="14">
        <x:f>IF($C80="","",VLOOKUP($C80,Config!$A$2:$Y$4,16,FALSE))</x:f>
      </x:c>
      <x:c r="AL80" s="14">
        <x:f>IF($C80="","",VLOOKUP($C80,Config!$A$2:$Y$4,17,FALSE))</x:f>
      </x:c>
      <x:c r="AM80" s="14">
        <x:f>IF($C80="","",VLOOKUP($C80,Config!$A$2:$Y$4,18,FALSE))</x:f>
      </x:c>
      <x:c r="AN80" s="14">
        <x:f>IF($C80="","",VLOOKUP($C80,Config!$A$2:$Y$4,19,FALSE))</x:f>
      </x:c>
      <x:c r="AO80" s="14">
        <x:f>IF($C80="","",VLOOKUP($C80,Config!$A$2:$Y$4,20,FALSE))</x:f>
      </x:c>
      <x:c r="AP80" s="14">
        <x:f>IF($C80="","",VLOOKUP($C80,Config!$A$2:$Y$4,21,FALSE))</x:f>
      </x:c>
      <x:c r="AQ80" s="14">
        <x:f>IF($C80="","",VLOOKUP($C80,Config!$A$2:$Y$4,22,FALSE))</x:f>
      </x:c>
      <x:c r="AR80" s="14">
        <x:f>IF($C80="","",VLOOKUP($C80,Config!$A$2:$Y$4,23,FALSE))</x:f>
      </x:c>
      <x:c r="AS80" s="13">
        <x:f>IF($C80="","",IF($H80="Extra",3,IF($H80="I",2,IF($H80="II",1,0)))&gt;=IF($AA80="Extra",3,IF($AA80="I",2,IF($AA80="II",1,0))))</x:f>
      </x:c>
      <x:c r="AT80" s="13">
        <x:f>IF($C80="","",IF($I80="",FALSE,$I80&gt;=$AB80))</x:f>
      </x:c>
      <x:c r="AU80" s="13">
        <x:f>IF($C80="","",IF($AC80="",TRUE,IF($J80="",FALSE,$J80&lt;=$AC80)))</x:f>
      </x:c>
      <x:c r="AV80" s="13">
        <x:f>IF($C80="","",IF($AD80="",TRUE,IF($K80="",FALSE,$K80&lt;=$AD80)))</x:f>
      </x:c>
      <x:c r="AW80" s="13">
        <x:f>IF($C80="","",IF($AE80="",TRUE,IF($L80="",FALSE,$L80&lt;=$AE80)))</x:f>
      </x:c>
      <x:c r="AX80" s="13">
        <x:f>IF($C80="","",IF($AF80="",TRUE,IF($M80="",FALSE,$M80&lt;=$AF80)))</x:f>
      </x:c>
      <x:c r="AY80" s="13">
        <x:f>IF($C80="","",IF($AG80="",TRUE,IF($N80="",FALSE,$N80&gt;=$AG80)))</x:f>
      </x:c>
      <x:c r="AZ80" s="13">
        <x:f>IF($C80="","",IF(OR($AH80="",$AI80=""),TRUE,IF($O80="",FALSE,AND($O80&gt;=$AH80,$O80&lt;=$AI80))))</x:f>
      </x:c>
      <x:c r="BA80" s="13">
        <x:f>IF($C80="","",IF($AJ80="Y",$P80="Y",TRUE))</x:f>
      </x:c>
      <x:c r="BB80" s="13">
        <x:f>IF($C80="","",IF($AK80="Y",$Q80="Y",TRUE))</x:f>
      </x:c>
      <x:c r="BC80" s="13">
        <x:f>IF($C80="","",IF($AL80="Y",$R80="Y",TRUE))</x:f>
      </x:c>
      <x:c r="BD80" s="13">
        <x:f>IF($C80="","",IF($AM80="Y",$S80="Y",TRUE))</x:f>
      </x:c>
      <x:c r="BE80" s="13">
        <x:f>IF($C80="","",IF($AN80="Y",$T80="Y",TRUE))</x:f>
      </x:c>
      <x:c r="BF80" s="13">
        <x:f>IF($C80="","",IF($AO80="",TRUE,IF($U80="",FALSE,$U80&lt;=$AO80)))</x:f>
      </x:c>
      <x:c r="BG80" s="13">
        <x:f>IF($C80="","",IF($AP80="",TRUE,IF($V80="",FALSE,$V80&lt;=$AP80)))</x:f>
      </x:c>
      <x:c r="BH80" s="13">
        <x:f>IF($C80="","",IF($AQ80="",TRUE,IF($W80="",FALSE,$W80&lt;=$AQ80)))</x:f>
      </x:c>
      <x:c r="BI80" s="13">
        <x:f>IF($C80="","",IF($AR80="",TRUE,IF($X80="",FALSE,$X80&lt;=$AR80)))</x:f>
      </x:c>
      <x:c r="BJ80" s="15">
        <x:f>IF($C80="","",IF($Y80="",0,$Y80)+IF($AS80,10,0)+IF($AT80,8,0)+IF($AU80,5,0)+IF($AV80,8,0)+IF($AW80,15,0)+IF($AX80,4,0)+IF($AY80,5,0)+IF($AZ80,10,0)+IF($BA80,8,0)+IF($BB80,4,0)+IF($BC80,6,0)+IF($BD80,3,0)+IF($BE80,2,0)+IF($BF80,2,0)+IF($BG80,2,0)+IF($BH80,2,0)+IF($BI80,1,0))</x:f>
      </x:c>
      <x:c r="BK80" s="15">
        <x:f>IF($C80="","",IF(NOT($AS80),1,0)+IF(NOT($AW80),1,0)+IF(NOT($AZ80),1,0)+IF(NOT($BA80),1,0)+IF(NOT($BB80),1,0)+IF(NOT($BC80),1,0))</x:f>
      </x:c>
      <x:c r="BL80" s="13">
        <x:f>IF($C80="","",IF($BK80&gt;0,"REJECT",IF(COUNTIF($AS80:$BI80,FALSE)=0,"ACCEPT",IF($BJ80&gt;=85,"ACCEPT WITH SORTING / DISCOUNT","REJECT"))))</x:f>
      </x:c>
    </x:row>
    <x:row r="81" ht="24" customHeight="1">
      <x:c r="A81" s="10" t="n"/>
      <x:c r="B81" s="11" t="n"/>
      <x:c r="C81" s="11" t="n"/>
      <x:c r="D81" s="11" t="n"/>
      <x:c r="E81" s="11" t="n"/>
      <x:c r="F81" s="11" t="n"/>
      <x:c r="G81" s="11" t="n"/>
      <x:c r="H81" s="11" t="n"/>
      <x:c r="I81" s="12" t="n"/>
      <x:c r="J81" s="12" t="n"/>
      <x:c r="K81" s="12" t="n"/>
      <x:c r="L81" s="12" t="n"/>
      <x:c r="M81" s="12" t="n"/>
      <x:c r="N81" s="12" t="n"/>
      <x:c r="O81" s="12" t="n"/>
      <x:c r="P81" s="11" t="n"/>
      <x:c r="Q81" s="11" t="n"/>
      <x:c r="R81" s="11" t="n"/>
      <x:c r="S81" s="11" t="n"/>
      <x:c r="T81" s="11" t="n"/>
      <x:c r="U81" s="12" t="n"/>
      <x:c r="V81" s="12" t="n"/>
      <x:c r="W81" s="12" t="n"/>
      <x:c r="X81" s="12" t="n"/>
      <x:c r="Y81" s="12" t="n"/>
      <x:c r="Z81" s="13">
        <x:f>IF($C81="","",VLOOKUP($C81,Config!$A$2:$Y$4,2,FALSE))</x:f>
      </x:c>
      <x:c r="AA81" s="13">
        <x:f>IF($C81="","",VLOOKUP($C81,Config!$A$2:$Y$4,5,FALSE))</x:f>
      </x:c>
      <x:c r="AB81" s="14">
        <x:f>IF($C81="","",VLOOKUP($C81,Config!$A$2:$Y$4,7,FALSE))</x:f>
      </x:c>
      <x:c r="AC81" s="14">
        <x:f>IF($C81="","",VLOOKUP($C81,Config!$A$2:$Y$4,8,FALSE))</x:f>
      </x:c>
      <x:c r="AD81" s="14">
        <x:f>IF($C81="","",VLOOKUP($C81,Config!$A$2:$Y$4,9,FALSE))</x:f>
      </x:c>
      <x:c r="AE81" s="14">
        <x:f>IF($C81="","",VLOOKUP($C81,Config!$A$2:$Y$4,10,FALSE))</x:f>
      </x:c>
      <x:c r="AF81" s="14">
        <x:f>IF($C81="","",VLOOKUP($C81,Config!$A$2:$Y$4,11,FALSE))</x:f>
      </x:c>
      <x:c r="AG81" s="14">
        <x:f>IF($C81="","",VLOOKUP($C81,Config!$A$2:$Y$4,12,FALSE))</x:f>
      </x:c>
      <x:c r="AH81" s="14">
        <x:f>IF($C81="","",VLOOKUP($C81,Config!$A$2:$Y$4,13,FALSE))</x:f>
      </x:c>
      <x:c r="AI81" s="14">
        <x:f>IF($C81="","",VLOOKUP($C81,Config!$A$2:$Y$4,14,FALSE))</x:f>
      </x:c>
      <x:c r="AJ81" s="14">
        <x:f>IF($C81="","",VLOOKUP($C81,Config!$A$2:$Y$4,15,FALSE))</x:f>
      </x:c>
      <x:c r="AK81" s="14">
        <x:f>IF($C81="","",VLOOKUP($C81,Config!$A$2:$Y$4,16,FALSE))</x:f>
      </x:c>
      <x:c r="AL81" s="14">
        <x:f>IF($C81="","",VLOOKUP($C81,Config!$A$2:$Y$4,17,FALSE))</x:f>
      </x:c>
      <x:c r="AM81" s="14">
        <x:f>IF($C81="","",VLOOKUP($C81,Config!$A$2:$Y$4,18,FALSE))</x:f>
      </x:c>
      <x:c r="AN81" s="14">
        <x:f>IF($C81="","",VLOOKUP($C81,Config!$A$2:$Y$4,19,FALSE))</x:f>
      </x:c>
      <x:c r="AO81" s="14">
        <x:f>IF($C81="","",VLOOKUP($C81,Config!$A$2:$Y$4,20,FALSE))</x:f>
      </x:c>
      <x:c r="AP81" s="14">
        <x:f>IF($C81="","",VLOOKUP($C81,Config!$A$2:$Y$4,21,FALSE))</x:f>
      </x:c>
      <x:c r="AQ81" s="14">
        <x:f>IF($C81="","",VLOOKUP($C81,Config!$A$2:$Y$4,22,FALSE))</x:f>
      </x:c>
      <x:c r="AR81" s="14">
        <x:f>IF($C81="","",VLOOKUP($C81,Config!$A$2:$Y$4,23,FALSE))</x:f>
      </x:c>
      <x:c r="AS81" s="13">
        <x:f>IF($C81="","",IF($H81="Extra",3,IF($H81="I",2,IF($H81="II",1,0)))&gt;=IF($AA81="Extra",3,IF($AA81="I",2,IF($AA81="II",1,0))))</x:f>
      </x:c>
      <x:c r="AT81" s="13">
        <x:f>IF($C81="","",IF($I81="",FALSE,$I81&gt;=$AB81))</x:f>
      </x:c>
      <x:c r="AU81" s="13">
        <x:f>IF($C81="","",IF($AC81="",TRUE,IF($J81="",FALSE,$J81&lt;=$AC81)))</x:f>
      </x:c>
      <x:c r="AV81" s="13">
        <x:f>IF($C81="","",IF($AD81="",TRUE,IF($K81="",FALSE,$K81&lt;=$AD81)))</x:f>
      </x:c>
      <x:c r="AW81" s="13">
        <x:f>IF($C81="","",IF($AE81="",TRUE,IF($L81="",FALSE,$L81&lt;=$AE81)))</x:f>
      </x:c>
      <x:c r="AX81" s="13">
        <x:f>IF($C81="","",IF($AF81="",TRUE,IF($M81="",FALSE,$M81&lt;=$AF81)))</x:f>
      </x:c>
      <x:c r="AY81" s="13">
        <x:f>IF($C81="","",IF($AG81="",TRUE,IF($N81="",FALSE,$N81&gt;=$AG81)))</x:f>
      </x:c>
      <x:c r="AZ81" s="13">
        <x:f>IF($C81="","",IF(OR($AH81="",$AI81=""),TRUE,IF($O81="",FALSE,AND($O81&gt;=$AH81,$O81&lt;=$AI81))))</x:f>
      </x:c>
      <x:c r="BA81" s="13">
        <x:f>IF($C81="","",IF($AJ81="Y",$P81="Y",TRUE))</x:f>
      </x:c>
      <x:c r="BB81" s="13">
        <x:f>IF($C81="","",IF($AK81="Y",$Q81="Y",TRUE))</x:f>
      </x:c>
      <x:c r="BC81" s="13">
        <x:f>IF($C81="","",IF($AL81="Y",$R81="Y",TRUE))</x:f>
      </x:c>
      <x:c r="BD81" s="13">
        <x:f>IF($C81="","",IF($AM81="Y",$S81="Y",TRUE))</x:f>
      </x:c>
      <x:c r="BE81" s="13">
        <x:f>IF($C81="","",IF($AN81="Y",$T81="Y",TRUE))</x:f>
      </x:c>
      <x:c r="BF81" s="13">
        <x:f>IF($C81="","",IF($AO81="",TRUE,IF($U81="",FALSE,$U81&lt;=$AO81)))</x:f>
      </x:c>
      <x:c r="BG81" s="13">
        <x:f>IF($C81="","",IF($AP81="",TRUE,IF($V81="",FALSE,$V81&lt;=$AP81)))</x:f>
      </x:c>
      <x:c r="BH81" s="13">
        <x:f>IF($C81="","",IF($AQ81="",TRUE,IF($W81="",FALSE,$W81&lt;=$AQ81)))</x:f>
      </x:c>
      <x:c r="BI81" s="13">
        <x:f>IF($C81="","",IF($AR81="",TRUE,IF($X81="",FALSE,$X81&lt;=$AR81)))</x:f>
      </x:c>
      <x:c r="BJ81" s="15">
        <x:f>IF($C81="","",IF($Y81="",0,$Y81)+IF($AS81,10,0)+IF($AT81,8,0)+IF($AU81,5,0)+IF($AV81,8,0)+IF($AW81,15,0)+IF($AX81,4,0)+IF($AY81,5,0)+IF($AZ81,10,0)+IF($BA81,8,0)+IF($BB81,4,0)+IF($BC81,6,0)+IF($BD81,3,0)+IF($BE81,2,0)+IF($BF81,2,0)+IF($BG81,2,0)+IF($BH81,2,0)+IF($BI81,1,0))</x:f>
      </x:c>
      <x:c r="BK81" s="15">
        <x:f>IF($C81="","",IF(NOT($AS81),1,0)+IF(NOT($AW81),1,0)+IF(NOT($AZ81),1,0)+IF(NOT($BA81),1,0)+IF(NOT($BB81),1,0)+IF(NOT($BC81),1,0))</x:f>
      </x:c>
      <x:c r="BL81" s="13">
        <x:f>IF($C81="","",IF($BK81&gt;0,"REJECT",IF(COUNTIF($AS81:$BI81,FALSE)=0,"ACCEPT",IF($BJ81&gt;=85,"ACCEPT WITH SORTING / DISCOUNT","REJECT"))))</x:f>
      </x:c>
    </x:row>
    <x:row r="82" ht="24" customHeight="1">
      <x:c r="A82" s="10" t="n"/>
      <x:c r="B82" s="11" t="n"/>
      <x:c r="C82" s="11" t="n"/>
      <x:c r="D82" s="11" t="n"/>
      <x:c r="E82" s="11" t="n"/>
      <x:c r="F82" s="11" t="n"/>
      <x:c r="G82" s="11" t="n"/>
      <x:c r="H82" s="11" t="n"/>
      <x:c r="I82" s="12" t="n"/>
      <x:c r="J82" s="12" t="n"/>
      <x:c r="K82" s="12" t="n"/>
      <x:c r="L82" s="12" t="n"/>
      <x:c r="M82" s="12" t="n"/>
      <x:c r="N82" s="12" t="n"/>
      <x:c r="O82" s="12" t="n"/>
      <x:c r="P82" s="11" t="n"/>
      <x:c r="Q82" s="11" t="n"/>
      <x:c r="R82" s="11" t="n"/>
      <x:c r="S82" s="11" t="n"/>
      <x:c r="T82" s="11" t="n"/>
      <x:c r="U82" s="12" t="n"/>
      <x:c r="V82" s="12" t="n"/>
      <x:c r="W82" s="12" t="n"/>
      <x:c r="X82" s="12" t="n"/>
      <x:c r="Y82" s="12" t="n"/>
      <x:c r="Z82" s="13">
        <x:f>IF($C82="","",VLOOKUP($C82,Config!$A$2:$Y$4,2,FALSE))</x:f>
      </x:c>
      <x:c r="AA82" s="13">
        <x:f>IF($C82="","",VLOOKUP($C82,Config!$A$2:$Y$4,5,FALSE))</x:f>
      </x:c>
      <x:c r="AB82" s="14">
        <x:f>IF($C82="","",VLOOKUP($C82,Config!$A$2:$Y$4,7,FALSE))</x:f>
      </x:c>
      <x:c r="AC82" s="14">
        <x:f>IF($C82="","",VLOOKUP($C82,Config!$A$2:$Y$4,8,FALSE))</x:f>
      </x:c>
      <x:c r="AD82" s="14">
        <x:f>IF($C82="","",VLOOKUP($C82,Config!$A$2:$Y$4,9,FALSE))</x:f>
      </x:c>
      <x:c r="AE82" s="14">
        <x:f>IF($C82="","",VLOOKUP($C82,Config!$A$2:$Y$4,10,FALSE))</x:f>
      </x:c>
      <x:c r="AF82" s="14">
        <x:f>IF($C82="","",VLOOKUP($C82,Config!$A$2:$Y$4,11,FALSE))</x:f>
      </x:c>
      <x:c r="AG82" s="14">
        <x:f>IF($C82="","",VLOOKUP($C82,Config!$A$2:$Y$4,12,FALSE))</x:f>
      </x:c>
      <x:c r="AH82" s="14">
        <x:f>IF($C82="","",VLOOKUP($C82,Config!$A$2:$Y$4,13,FALSE))</x:f>
      </x:c>
      <x:c r="AI82" s="14">
        <x:f>IF($C82="","",VLOOKUP($C82,Config!$A$2:$Y$4,14,FALSE))</x:f>
      </x:c>
      <x:c r="AJ82" s="14">
        <x:f>IF($C82="","",VLOOKUP($C82,Config!$A$2:$Y$4,15,FALSE))</x:f>
      </x:c>
      <x:c r="AK82" s="14">
        <x:f>IF($C82="","",VLOOKUP($C82,Config!$A$2:$Y$4,16,FALSE))</x:f>
      </x:c>
      <x:c r="AL82" s="14">
        <x:f>IF($C82="","",VLOOKUP($C82,Config!$A$2:$Y$4,17,FALSE))</x:f>
      </x:c>
      <x:c r="AM82" s="14">
        <x:f>IF($C82="","",VLOOKUP($C82,Config!$A$2:$Y$4,18,FALSE))</x:f>
      </x:c>
      <x:c r="AN82" s="14">
        <x:f>IF($C82="","",VLOOKUP($C82,Config!$A$2:$Y$4,19,FALSE))</x:f>
      </x:c>
      <x:c r="AO82" s="14">
        <x:f>IF($C82="","",VLOOKUP($C82,Config!$A$2:$Y$4,20,FALSE))</x:f>
      </x:c>
      <x:c r="AP82" s="14">
        <x:f>IF($C82="","",VLOOKUP($C82,Config!$A$2:$Y$4,21,FALSE))</x:f>
      </x:c>
      <x:c r="AQ82" s="14">
        <x:f>IF($C82="","",VLOOKUP($C82,Config!$A$2:$Y$4,22,FALSE))</x:f>
      </x:c>
      <x:c r="AR82" s="14">
        <x:f>IF($C82="","",VLOOKUP($C82,Config!$A$2:$Y$4,23,FALSE))</x:f>
      </x:c>
      <x:c r="AS82" s="13">
        <x:f>IF($C82="","",IF($H82="Extra",3,IF($H82="I",2,IF($H82="II",1,0)))&gt;=IF($AA82="Extra",3,IF($AA82="I",2,IF($AA82="II",1,0))))</x:f>
      </x:c>
      <x:c r="AT82" s="13">
        <x:f>IF($C82="","",IF($I82="",FALSE,$I82&gt;=$AB82))</x:f>
      </x:c>
      <x:c r="AU82" s="13">
        <x:f>IF($C82="","",IF($AC82="",TRUE,IF($J82="",FALSE,$J82&lt;=$AC82)))</x:f>
      </x:c>
      <x:c r="AV82" s="13">
        <x:f>IF($C82="","",IF($AD82="",TRUE,IF($K82="",FALSE,$K82&lt;=$AD82)))</x:f>
      </x:c>
      <x:c r="AW82" s="13">
        <x:f>IF($C82="","",IF($AE82="",TRUE,IF($L82="",FALSE,$L82&lt;=$AE82)))</x:f>
      </x:c>
      <x:c r="AX82" s="13">
        <x:f>IF($C82="","",IF($AF82="",TRUE,IF($M82="",FALSE,$M82&lt;=$AF82)))</x:f>
      </x:c>
      <x:c r="AY82" s="13">
        <x:f>IF($C82="","",IF($AG82="",TRUE,IF($N82="",FALSE,$N82&gt;=$AG82)))</x:f>
      </x:c>
      <x:c r="AZ82" s="13">
        <x:f>IF($C82="","",IF(OR($AH82="",$AI82=""),TRUE,IF($O82="",FALSE,AND($O82&gt;=$AH82,$O82&lt;=$AI82))))</x:f>
      </x:c>
      <x:c r="BA82" s="13">
        <x:f>IF($C82="","",IF($AJ82="Y",$P82="Y",TRUE))</x:f>
      </x:c>
      <x:c r="BB82" s="13">
        <x:f>IF($C82="","",IF($AK82="Y",$Q82="Y",TRUE))</x:f>
      </x:c>
      <x:c r="BC82" s="13">
        <x:f>IF($C82="","",IF($AL82="Y",$R82="Y",TRUE))</x:f>
      </x:c>
      <x:c r="BD82" s="13">
        <x:f>IF($C82="","",IF($AM82="Y",$S82="Y",TRUE))</x:f>
      </x:c>
      <x:c r="BE82" s="13">
        <x:f>IF($C82="","",IF($AN82="Y",$T82="Y",TRUE))</x:f>
      </x:c>
      <x:c r="BF82" s="13">
        <x:f>IF($C82="","",IF($AO82="",TRUE,IF($U82="",FALSE,$U82&lt;=$AO82)))</x:f>
      </x:c>
      <x:c r="BG82" s="13">
        <x:f>IF($C82="","",IF($AP82="",TRUE,IF($V82="",FALSE,$V82&lt;=$AP82)))</x:f>
      </x:c>
      <x:c r="BH82" s="13">
        <x:f>IF($C82="","",IF($AQ82="",TRUE,IF($W82="",FALSE,$W82&lt;=$AQ82)))</x:f>
      </x:c>
      <x:c r="BI82" s="13">
        <x:f>IF($C82="","",IF($AR82="",TRUE,IF($X82="",FALSE,$X82&lt;=$AR82)))</x:f>
      </x:c>
      <x:c r="BJ82" s="15">
        <x:f>IF($C82="","",IF($Y82="",0,$Y82)+IF($AS82,10,0)+IF($AT82,8,0)+IF($AU82,5,0)+IF($AV82,8,0)+IF($AW82,15,0)+IF($AX82,4,0)+IF($AY82,5,0)+IF($AZ82,10,0)+IF($BA82,8,0)+IF($BB82,4,0)+IF($BC82,6,0)+IF($BD82,3,0)+IF($BE82,2,0)+IF($BF82,2,0)+IF($BG82,2,0)+IF($BH82,2,0)+IF($BI82,1,0))</x:f>
      </x:c>
      <x:c r="BK82" s="15">
        <x:f>IF($C82="","",IF(NOT($AS82),1,0)+IF(NOT($AW82),1,0)+IF(NOT($AZ82),1,0)+IF(NOT($BA82),1,0)+IF(NOT($BB82),1,0)+IF(NOT($BC82),1,0))</x:f>
      </x:c>
      <x:c r="BL82" s="13">
        <x:f>IF($C82="","",IF($BK82&gt;0,"REJECT",IF(COUNTIF($AS82:$BI82,FALSE)=0,"ACCEPT",IF($BJ82&gt;=85,"ACCEPT WITH SORTING / DISCOUNT","REJECT"))))</x:f>
      </x:c>
    </x:row>
    <x:row r="83" ht="24" customHeight="1">
      <x:c r="A83" s="10" t="n"/>
      <x:c r="B83" s="11" t="n"/>
      <x:c r="C83" s="11" t="n"/>
      <x:c r="D83" s="11" t="n"/>
      <x:c r="E83" s="11" t="n"/>
      <x:c r="F83" s="11" t="n"/>
      <x:c r="G83" s="11" t="n"/>
      <x:c r="H83" s="11" t="n"/>
      <x:c r="I83" s="12" t="n"/>
      <x:c r="J83" s="12" t="n"/>
      <x:c r="K83" s="12" t="n"/>
      <x:c r="L83" s="12" t="n"/>
      <x:c r="M83" s="12" t="n"/>
      <x:c r="N83" s="12" t="n"/>
      <x:c r="O83" s="12" t="n"/>
      <x:c r="P83" s="11" t="n"/>
      <x:c r="Q83" s="11" t="n"/>
      <x:c r="R83" s="11" t="n"/>
      <x:c r="S83" s="11" t="n"/>
      <x:c r="T83" s="11" t="n"/>
      <x:c r="U83" s="12" t="n"/>
      <x:c r="V83" s="12" t="n"/>
      <x:c r="W83" s="12" t="n"/>
      <x:c r="X83" s="12" t="n"/>
      <x:c r="Y83" s="12" t="n"/>
      <x:c r="Z83" s="13">
        <x:f>IF($C83="","",VLOOKUP($C83,Config!$A$2:$Y$4,2,FALSE))</x:f>
      </x:c>
      <x:c r="AA83" s="13">
        <x:f>IF($C83="","",VLOOKUP($C83,Config!$A$2:$Y$4,5,FALSE))</x:f>
      </x:c>
      <x:c r="AB83" s="14">
        <x:f>IF($C83="","",VLOOKUP($C83,Config!$A$2:$Y$4,7,FALSE))</x:f>
      </x:c>
      <x:c r="AC83" s="14">
        <x:f>IF($C83="","",VLOOKUP($C83,Config!$A$2:$Y$4,8,FALSE))</x:f>
      </x:c>
      <x:c r="AD83" s="14">
        <x:f>IF($C83="","",VLOOKUP($C83,Config!$A$2:$Y$4,9,FALSE))</x:f>
      </x:c>
      <x:c r="AE83" s="14">
        <x:f>IF($C83="","",VLOOKUP($C83,Config!$A$2:$Y$4,10,FALSE))</x:f>
      </x:c>
      <x:c r="AF83" s="14">
        <x:f>IF($C83="","",VLOOKUP($C83,Config!$A$2:$Y$4,11,FALSE))</x:f>
      </x:c>
      <x:c r="AG83" s="14">
        <x:f>IF($C83="","",VLOOKUP($C83,Config!$A$2:$Y$4,12,FALSE))</x:f>
      </x:c>
      <x:c r="AH83" s="14">
        <x:f>IF($C83="","",VLOOKUP($C83,Config!$A$2:$Y$4,13,FALSE))</x:f>
      </x:c>
      <x:c r="AI83" s="14">
        <x:f>IF($C83="","",VLOOKUP($C83,Config!$A$2:$Y$4,14,FALSE))</x:f>
      </x:c>
      <x:c r="AJ83" s="14">
        <x:f>IF($C83="","",VLOOKUP($C83,Config!$A$2:$Y$4,15,FALSE))</x:f>
      </x:c>
      <x:c r="AK83" s="14">
        <x:f>IF($C83="","",VLOOKUP($C83,Config!$A$2:$Y$4,16,FALSE))</x:f>
      </x:c>
      <x:c r="AL83" s="14">
        <x:f>IF($C83="","",VLOOKUP($C83,Config!$A$2:$Y$4,17,FALSE))</x:f>
      </x:c>
      <x:c r="AM83" s="14">
        <x:f>IF($C83="","",VLOOKUP($C83,Config!$A$2:$Y$4,18,FALSE))</x:f>
      </x:c>
      <x:c r="AN83" s="14">
        <x:f>IF($C83="","",VLOOKUP($C83,Config!$A$2:$Y$4,19,FALSE))</x:f>
      </x:c>
      <x:c r="AO83" s="14">
        <x:f>IF($C83="","",VLOOKUP($C83,Config!$A$2:$Y$4,20,FALSE))</x:f>
      </x:c>
      <x:c r="AP83" s="14">
        <x:f>IF($C83="","",VLOOKUP($C83,Config!$A$2:$Y$4,21,FALSE))</x:f>
      </x:c>
      <x:c r="AQ83" s="14">
        <x:f>IF($C83="","",VLOOKUP($C83,Config!$A$2:$Y$4,22,FALSE))</x:f>
      </x:c>
      <x:c r="AR83" s="14">
        <x:f>IF($C83="","",VLOOKUP($C83,Config!$A$2:$Y$4,23,FALSE))</x:f>
      </x:c>
      <x:c r="AS83" s="13">
        <x:f>IF($C83="","",IF($H83="Extra",3,IF($H83="I",2,IF($H83="II",1,0)))&gt;=IF($AA83="Extra",3,IF($AA83="I",2,IF($AA83="II",1,0))))</x:f>
      </x:c>
      <x:c r="AT83" s="13">
        <x:f>IF($C83="","",IF($I83="",FALSE,$I83&gt;=$AB83))</x:f>
      </x:c>
      <x:c r="AU83" s="13">
        <x:f>IF($C83="","",IF($AC83="",TRUE,IF($J83="",FALSE,$J83&lt;=$AC83)))</x:f>
      </x:c>
      <x:c r="AV83" s="13">
        <x:f>IF($C83="","",IF($AD83="",TRUE,IF($K83="",FALSE,$K83&lt;=$AD83)))</x:f>
      </x:c>
      <x:c r="AW83" s="13">
        <x:f>IF($C83="","",IF($AE83="",TRUE,IF($L83="",FALSE,$L83&lt;=$AE83)))</x:f>
      </x:c>
      <x:c r="AX83" s="13">
        <x:f>IF($C83="","",IF($AF83="",TRUE,IF($M83="",FALSE,$M83&lt;=$AF83)))</x:f>
      </x:c>
      <x:c r="AY83" s="13">
        <x:f>IF($C83="","",IF($AG83="",TRUE,IF($N83="",FALSE,$N83&gt;=$AG83)))</x:f>
      </x:c>
      <x:c r="AZ83" s="13">
        <x:f>IF($C83="","",IF(OR($AH83="",$AI83=""),TRUE,IF($O83="",FALSE,AND($O83&gt;=$AH83,$O83&lt;=$AI83))))</x:f>
      </x:c>
      <x:c r="BA83" s="13">
        <x:f>IF($C83="","",IF($AJ83="Y",$P83="Y",TRUE))</x:f>
      </x:c>
      <x:c r="BB83" s="13">
        <x:f>IF($C83="","",IF($AK83="Y",$Q83="Y",TRUE))</x:f>
      </x:c>
      <x:c r="BC83" s="13">
        <x:f>IF($C83="","",IF($AL83="Y",$R83="Y",TRUE))</x:f>
      </x:c>
      <x:c r="BD83" s="13">
        <x:f>IF($C83="","",IF($AM83="Y",$S83="Y",TRUE))</x:f>
      </x:c>
      <x:c r="BE83" s="13">
        <x:f>IF($C83="","",IF($AN83="Y",$T83="Y",TRUE))</x:f>
      </x:c>
      <x:c r="BF83" s="13">
        <x:f>IF($C83="","",IF($AO83="",TRUE,IF($U83="",FALSE,$U83&lt;=$AO83)))</x:f>
      </x:c>
      <x:c r="BG83" s="13">
        <x:f>IF($C83="","",IF($AP83="",TRUE,IF($V83="",FALSE,$V83&lt;=$AP83)))</x:f>
      </x:c>
      <x:c r="BH83" s="13">
        <x:f>IF($C83="","",IF($AQ83="",TRUE,IF($W83="",FALSE,$W83&lt;=$AQ83)))</x:f>
      </x:c>
      <x:c r="BI83" s="13">
        <x:f>IF($C83="","",IF($AR83="",TRUE,IF($X83="",FALSE,$X83&lt;=$AR83)))</x:f>
      </x:c>
      <x:c r="BJ83" s="15">
        <x:f>IF($C83="","",IF($Y83="",0,$Y83)+IF($AS83,10,0)+IF($AT83,8,0)+IF($AU83,5,0)+IF($AV83,8,0)+IF($AW83,15,0)+IF($AX83,4,0)+IF($AY83,5,0)+IF($AZ83,10,0)+IF($BA83,8,0)+IF($BB83,4,0)+IF($BC83,6,0)+IF($BD83,3,0)+IF($BE83,2,0)+IF($BF83,2,0)+IF($BG83,2,0)+IF($BH83,2,0)+IF($BI83,1,0))</x:f>
      </x:c>
      <x:c r="BK83" s="15">
        <x:f>IF($C83="","",IF(NOT($AS83),1,0)+IF(NOT($AW83),1,0)+IF(NOT($AZ83),1,0)+IF(NOT($BA83),1,0)+IF(NOT($BB83),1,0)+IF(NOT($BC83),1,0))</x:f>
      </x:c>
      <x:c r="BL83" s="13">
        <x:f>IF($C83="","",IF($BK83&gt;0,"REJECT",IF(COUNTIF($AS83:$BI83,FALSE)=0,"ACCEPT",IF($BJ83&gt;=85,"ACCEPT WITH SORTING / DISCOUNT","REJECT"))))</x:f>
      </x:c>
    </x:row>
    <x:row r="84" ht="24" customHeight="1">
      <x:c r="A84" s="10" t="n"/>
      <x:c r="B84" s="11" t="n"/>
      <x:c r="C84" s="11" t="n"/>
      <x:c r="D84" s="11" t="n"/>
      <x:c r="E84" s="11" t="n"/>
      <x:c r="F84" s="11" t="n"/>
      <x:c r="G84" s="11" t="n"/>
      <x:c r="H84" s="11" t="n"/>
      <x:c r="I84" s="12" t="n"/>
      <x:c r="J84" s="12" t="n"/>
      <x:c r="K84" s="12" t="n"/>
      <x:c r="L84" s="12" t="n"/>
      <x:c r="M84" s="12" t="n"/>
      <x:c r="N84" s="12" t="n"/>
      <x:c r="O84" s="12" t="n"/>
      <x:c r="P84" s="11" t="n"/>
      <x:c r="Q84" s="11" t="n"/>
      <x:c r="R84" s="11" t="n"/>
      <x:c r="S84" s="11" t="n"/>
      <x:c r="T84" s="11" t="n"/>
      <x:c r="U84" s="12" t="n"/>
      <x:c r="V84" s="12" t="n"/>
      <x:c r="W84" s="12" t="n"/>
      <x:c r="X84" s="12" t="n"/>
      <x:c r="Y84" s="12" t="n"/>
      <x:c r="Z84" s="13">
        <x:f>IF($C84="","",VLOOKUP($C84,Config!$A$2:$Y$4,2,FALSE))</x:f>
      </x:c>
      <x:c r="AA84" s="13">
        <x:f>IF($C84="","",VLOOKUP($C84,Config!$A$2:$Y$4,5,FALSE))</x:f>
      </x:c>
      <x:c r="AB84" s="14">
        <x:f>IF($C84="","",VLOOKUP($C84,Config!$A$2:$Y$4,7,FALSE))</x:f>
      </x:c>
      <x:c r="AC84" s="14">
        <x:f>IF($C84="","",VLOOKUP($C84,Config!$A$2:$Y$4,8,FALSE))</x:f>
      </x:c>
      <x:c r="AD84" s="14">
        <x:f>IF($C84="","",VLOOKUP($C84,Config!$A$2:$Y$4,9,FALSE))</x:f>
      </x:c>
      <x:c r="AE84" s="14">
        <x:f>IF($C84="","",VLOOKUP($C84,Config!$A$2:$Y$4,10,FALSE))</x:f>
      </x:c>
      <x:c r="AF84" s="14">
        <x:f>IF($C84="","",VLOOKUP($C84,Config!$A$2:$Y$4,11,FALSE))</x:f>
      </x:c>
      <x:c r="AG84" s="14">
        <x:f>IF($C84="","",VLOOKUP($C84,Config!$A$2:$Y$4,12,FALSE))</x:f>
      </x:c>
      <x:c r="AH84" s="14">
        <x:f>IF($C84="","",VLOOKUP($C84,Config!$A$2:$Y$4,13,FALSE))</x:f>
      </x:c>
      <x:c r="AI84" s="14">
        <x:f>IF($C84="","",VLOOKUP($C84,Config!$A$2:$Y$4,14,FALSE))</x:f>
      </x:c>
      <x:c r="AJ84" s="14">
        <x:f>IF($C84="","",VLOOKUP($C84,Config!$A$2:$Y$4,15,FALSE))</x:f>
      </x:c>
      <x:c r="AK84" s="14">
        <x:f>IF($C84="","",VLOOKUP($C84,Config!$A$2:$Y$4,16,FALSE))</x:f>
      </x:c>
      <x:c r="AL84" s="14">
        <x:f>IF($C84="","",VLOOKUP($C84,Config!$A$2:$Y$4,17,FALSE))</x:f>
      </x:c>
      <x:c r="AM84" s="14">
        <x:f>IF($C84="","",VLOOKUP($C84,Config!$A$2:$Y$4,18,FALSE))</x:f>
      </x:c>
      <x:c r="AN84" s="14">
        <x:f>IF($C84="","",VLOOKUP($C84,Config!$A$2:$Y$4,19,FALSE))</x:f>
      </x:c>
      <x:c r="AO84" s="14">
        <x:f>IF($C84="","",VLOOKUP($C84,Config!$A$2:$Y$4,20,FALSE))</x:f>
      </x:c>
      <x:c r="AP84" s="14">
        <x:f>IF($C84="","",VLOOKUP($C84,Config!$A$2:$Y$4,21,FALSE))</x:f>
      </x:c>
      <x:c r="AQ84" s="14">
        <x:f>IF($C84="","",VLOOKUP($C84,Config!$A$2:$Y$4,22,FALSE))</x:f>
      </x:c>
      <x:c r="AR84" s="14">
        <x:f>IF($C84="","",VLOOKUP($C84,Config!$A$2:$Y$4,23,FALSE))</x:f>
      </x:c>
      <x:c r="AS84" s="13">
        <x:f>IF($C84="","",IF($H84="Extra",3,IF($H84="I",2,IF($H84="II",1,0)))&gt;=IF($AA84="Extra",3,IF($AA84="I",2,IF($AA84="II",1,0))))</x:f>
      </x:c>
      <x:c r="AT84" s="13">
        <x:f>IF($C84="","",IF($I84="",FALSE,$I84&gt;=$AB84))</x:f>
      </x:c>
      <x:c r="AU84" s="13">
        <x:f>IF($C84="","",IF($AC84="",TRUE,IF($J84="",FALSE,$J84&lt;=$AC84)))</x:f>
      </x:c>
      <x:c r="AV84" s="13">
        <x:f>IF($C84="","",IF($AD84="",TRUE,IF($K84="",FALSE,$K84&lt;=$AD84)))</x:f>
      </x:c>
      <x:c r="AW84" s="13">
        <x:f>IF($C84="","",IF($AE84="",TRUE,IF($L84="",FALSE,$L84&lt;=$AE84)))</x:f>
      </x:c>
      <x:c r="AX84" s="13">
        <x:f>IF($C84="","",IF($AF84="",TRUE,IF($M84="",FALSE,$M84&lt;=$AF84)))</x:f>
      </x:c>
      <x:c r="AY84" s="13">
        <x:f>IF($C84="","",IF($AG84="",TRUE,IF($N84="",FALSE,$N84&gt;=$AG84)))</x:f>
      </x:c>
      <x:c r="AZ84" s="13">
        <x:f>IF($C84="","",IF(OR($AH84="",$AI84=""),TRUE,IF($O84="",FALSE,AND($O84&gt;=$AH84,$O84&lt;=$AI84))))</x:f>
      </x:c>
      <x:c r="BA84" s="13">
        <x:f>IF($C84="","",IF($AJ84="Y",$P84="Y",TRUE))</x:f>
      </x:c>
      <x:c r="BB84" s="13">
        <x:f>IF($C84="","",IF($AK84="Y",$Q84="Y",TRUE))</x:f>
      </x:c>
      <x:c r="BC84" s="13">
        <x:f>IF($C84="","",IF($AL84="Y",$R84="Y",TRUE))</x:f>
      </x:c>
      <x:c r="BD84" s="13">
        <x:f>IF($C84="","",IF($AM84="Y",$S84="Y",TRUE))</x:f>
      </x:c>
      <x:c r="BE84" s="13">
        <x:f>IF($C84="","",IF($AN84="Y",$T84="Y",TRUE))</x:f>
      </x:c>
      <x:c r="BF84" s="13">
        <x:f>IF($C84="","",IF($AO84="",TRUE,IF($U84="",FALSE,$U84&lt;=$AO84)))</x:f>
      </x:c>
      <x:c r="BG84" s="13">
        <x:f>IF($C84="","",IF($AP84="",TRUE,IF($V84="",FALSE,$V84&lt;=$AP84)))</x:f>
      </x:c>
      <x:c r="BH84" s="13">
        <x:f>IF($C84="","",IF($AQ84="",TRUE,IF($W84="",FALSE,$W84&lt;=$AQ84)))</x:f>
      </x:c>
      <x:c r="BI84" s="13">
        <x:f>IF($C84="","",IF($AR84="",TRUE,IF($X84="",FALSE,$X84&lt;=$AR84)))</x:f>
      </x:c>
      <x:c r="BJ84" s="15">
        <x:f>IF($C84="","",IF($Y84="",0,$Y84)+IF($AS84,10,0)+IF($AT84,8,0)+IF($AU84,5,0)+IF($AV84,8,0)+IF($AW84,15,0)+IF($AX84,4,0)+IF($AY84,5,0)+IF($AZ84,10,0)+IF($BA84,8,0)+IF($BB84,4,0)+IF($BC84,6,0)+IF($BD84,3,0)+IF($BE84,2,0)+IF($BF84,2,0)+IF($BG84,2,0)+IF($BH84,2,0)+IF($BI84,1,0))</x:f>
      </x:c>
      <x:c r="BK84" s="15">
        <x:f>IF($C84="","",IF(NOT($AS84),1,0)+IF(NOT($AW84),1,0)+IF(NOT($AZ84),1,0)+IF(NOT($BA84),1,0)+IF(NOT($BB84),1,0)+IF(NOT($BC84),1,0))</x:f>
      </x:c>
      <x:c r="BL84" s="13">
        <x:f>IF($C84="","",IF($BK84&gt;0,"REJECT",IF(COUNTIF($AS84:$BI84,FALSE)=0,"ACCEPT",IF($BJ84&gt;=85,"ACCEPT WITH SORTING / DISCOUNT","REJECT"))))</x:f>
      </x:c>
    </x:row>
    <x:row r="85" ht="24" customHeight="1">
      <x:c r="A85" s="10" t="n"/>
      <x:c r="B85" s="11" t="n"/>
      <x:c r="C85" s="11" t="n"/>
      <x:c r="D85" s="11" t="n"/>
      <x:c r="E85" s="11" t="n"/>
      <x:c r="F85" s="11" t="n"/>
      <x:c r="G85" s="11" t="n"/>
      <x:c r="H85" s="11" t="n"/>
      <x:c r="I85" s="12" t="n"/>
      <x:c r="J85" s="12" t="n"/>
      <x:c r="K85" s="12" t="n"/>
      <x:c r="L85" s="12" t="n"/>
      <x:c r="M85" s="12" t="n"/>
      <x:c r="N85" s="12" t="n"/>
      <x:c r="O85" s="12" t="n"/>
      <x:c r="P85" s="11" t="n"/>
      <x:c r="Q85" s="11" t="n"/>
      <x:c r="R85" s="11" t="n"/>
      <x:c r="S85" s="11" t="n"/>
      <x:c r="T85" s="11" t="n"/>
      <x:c r="U85" s="12" t="n"/>
      <x:c r="V85" s="12" t="n"/>
      <x:c r="W85" s="12" t="n"/>
      <x:c r="X85" s="12" t="n"/>
      <x:c r="Y85" s="12" t="n"/>
      <x:c r="Z85" s="13">
        <x:f>IF($C85="","",VLOOKUP($C85,Config!$A$2:$Y$4,2,FALSE))</x:f>
      </x:c>
      <x:c r="AA85" s="13">
        <x:f>IF($C85="","",VLOOKUP($C85,Config!$A$2:$Y$4,5,FALSE))</x:f>
      </x:c>
      <x:c r="AB85" s="14">
        <x:f>IF($C85="","",VLOOKUP($C85,Config!$A$2:$Y$4,7,FALSE))</x:f>
      </x:c>
      <x:c r="AC85" s="14">
        <x:f>IF($C85="","",VLOOKUP($C85,Config!$A$2:$Y$4,8,FALSE))</x:f>
      </x:c>
      <x:c r="AD85" s="14">
        <x:f>IF($C85="","",VLOOKUP($C85,Config!$A$2:$Y$4,9,FALSE))</x:f>
      </x:c>
      <x:c r="AE85" s="14">
        <x:f>IF($C85="","",VLOOKUP($C85,Config!$A$2:$Y$4,10,FALSE))</x:f>
      </x:c>
      <x:c r="AF85" s="14">
        <x:f>IF($C85="","",VLOOKUP($C85,Config!$A$2:$Y$4,11,FALSE))</x:f>
      </x:c>
      <x:c r="AG85" s="14">
        <x:f>IF($C85="","",VLOOKUP($C85,Config!$A$2:$Y$4,12,FALSE))</x:f>
      </x:c>
      <x:c r="AH85" s="14">
        <x:f>IF($C85="","",VLOOKUP($C85,Config!$A$2:$Y$4,13,FALSE))</x:f>
      </x:c>
      <x:c r="AI85" s="14">
        <x:f>IF($C85="","",VLOOKUP($C85,Config!$A$2:$Y$4,14,FALSE))</x:f>
      </x:c>
      <x:c r="AJ85" s="14">
        <x:f>IF($C85="","",VLOOKUP($C85,Config!$A$2:$Y$4,15,FALSE))</x:f>
      </x:c>
      <x:c r="AK85" s="14">
        <x:f>IF($C85="","",VLOOKUP($C85,Config!$A$2:$Y$4,16,FALSE))</x:f>
      </x:c>
      <x:c r="AL85" s="14">
        <x:f>IF($C85="","",VLOOKUP($C85,Config!$A$2:$Y$4,17,FALSE))</x:f>
      </x:c>
      <x:c r="AM85" s="14">
        <x:f>IF($C85="","",VLOOKUP($C85,Config!$A$2:$Y$4,18,FALSE))</x:f>
      </x:c>
      <x:c r="AN85" s="14">
        <x:f>IF($C85="","",VLOOKUP($C85,Config!$A$2:$Y$4,19,FALSE))</x:f>
      </x:c>
      <x:c r="AO85" s="14">
        <x:f>IF($C85="","",VLOOKUP($C85,Config!$A$2:$Y$4,20,FALSE))</x:f>
      </x:c>
      <x:c r="AP85" s="14">
        <x:f>IF($C85="","",VLOOKUP($C85,Config!$A$2:$Y$4,21,FALSE))</x:f>
      </x:c>
      <x:c r="AQ85" s="14">
        <x:f>IF($C85="","",VLOOKUP($C85,Config!$A$2:$Y$4,22,FALSE))</x:f>
      </x:c>
      <x:c r="AR85" s="14">
        <x:f>IF($C85="","",VLOOKUP($C85,Config!$A$2:$Y$4,23,FALSE))</x:f>
      </x:c>
      <x:c r="AS85" s="13">
        <x:f>IF($C85="","",IF($H85="Extra",3,IF($H85="I",2,IF($H85="II",1,0)))&gt;=IF($AA85="Extra",3,IF($AA85="I",2,IF($AA85="II",1,0))))</x:f>
      </x:c>
      <x:c r="AT85" s="13">
        <x:f>IF($C85="","",IF($I85="",FALSE,$I85&gt;=$AB85))</x:f>
      </x:c>
      <x:c r="AU85" s="13">
        <x:f>IF($C85="","",IF($AC85="",TRUE,IF($J85="",FALSE,$J85&lt;=$AC85)))</x:f>
      </x:c>
      <x:c r="AV85" s="13">
        <x:f>IF($C85="","",IF($AD85="",TRUE,IF($K85="",FALSE,$K85&lt;=$AD85)))</x:f>
      </x:c>
      <x:c r="AW85" s="13">
        <x:f>IF($C85="","",IF($AE85="",TRUE,IF($L85="",FALSE,$L85&lt;=$AE85)))</x:f>
      </x:c>
      <x:c r="AX85" s="13">
        <x:f>IF($C85="","",IF($AF85="",TRUE,IF($M85="",FALSE,$M85&lt;=$AF85)))</x:f>
      </x:c>
      <x:c r="AY85" s="13">
        <x:f>IF($C85="","",IF($AG85="",TRUE,IF($N85="",FALSE,$N85&gt;=$AG85)))</x:f>
      </x:c>
      <x:c r="AZ85" s="13">
        <x:f>IF($C85="","",IF(OR($AH85="",$AI85=""),TRUE,IF($O85="",FALSE,AND($O85&gt;=$AH85,$O85&lt;=$AI85))))</x:f>
      </x:c>
      <x:c r="BA85" s="13">
        <x:f>IF($C85="","",IF($AJ85="Y",$P85="Y",TRUE))</x:f>
      </x:c>
      <x:c r="BB85" s="13">
        <x:f>IF($C85="","",IF($AK85="Y",$Q85="Y",TRUE))</x:f>
      </x:c>
      <x:c r="BC85" s="13">
        <x:f>IF($C85="","",IF($AL85="Y",$R85="Y",TRUE))</x:f>
      </x:c>
      <x:c r="BD85" s="13">
        <x:f>IF($C85="","",IF($AM85="Y",$S85="Y",TRUE))</x:f>
      </x:c>
      <x:c r="BE85" s="13">
        <x:f>IF($C85="","",IF($AN85="Y",$T85="Y",TRUE))</x:f>
      </x:c>
      <x:c r="BF85" s="13">
        <x:f>IF($C85="","",IF($AO85="",TRUE,IF($U85="",FALSE,$U85&lt;=$AO85)))</x:f>
      </x:c>
      <x:c r="BG85" s="13">
        <x:f>IF($C85="","",IF($AP85="",TRUE,IF($V85="",FALSE,$V85&lt;=$AP85)))</x:f>
      </x:c>
      <x:c r="BH85" s="13">
        <x:f>IF($C85="","",IF($AQ85="",TRUE,IF($W85="",FALSE,$W85&lt;=$AQ85)))</x:f>
      </x:c>
      <x:c r="BI85" s="13">
        <x:f>IF($C85="","",IF($AR85="",TRUE,IF($X85="",FALSE,$X85&lt;=$AR85)))</x:f>
      </x:c>
      <x:c r="BJ85" s="15">
        <x:f>IF($C85="","",IF($Y85="",0,$Y85)+IF($AS85,10,0)+IF($AT85,8,0)+IF($AU85,5,0)+IF($AV85,8,0)+IF($AW85,15,0)+IF($AX85,4,0)+IF($AY85,5,0)+IF($AZ85,10,0)+IF($BA85,8,0)+IF($BB85,4,0)+IF($BC85,6,0)+IF($BD85,3,0)+IF($BE85,2,0)+IF($BF85,2,0)+IF($BG85,2,0)+IF($BH85,2,0)+IF($BI85,1,0))</x:f>
      </x:c>
      <x:c r="BK85" s="15">
        <x:f>IF($C85="","",IF(NOT($AS85),1,0)+IF(NOT($AW85),1,0)+IF(NOT($AZ85),1,0)+IF(NOT($BA85),1,0)+IF(NOT($BB85),1,0)+IF(NOT($BC85),1,0))</x:f>
      </x:c>
      <x:c r="BL85" s="13">
        <x:f>IF($C85="","",IF($BK85&gt;0,"REJECT",IF(COUNTIF($AS85:$BI85,FALSE)=0,"ACCEPT",IF($BJ85&gt;=85,"ACCEPT WITH SORTING / DISCOUNT","REJECT"))))</x:f>
      </x:c>
    </x:row>
    <x:row r="86" ht="24" customHeight="1">
      <x:c r="A86" s="10" t="n"/>
      <x:c r="B86" s="11" t="n"/>
      <x:c r="C86" s="11" t="n"/>
      <x:c r="D86" s="11" t="n"/>
      <x:c r="E86" s="11" t="n"/>
      <x:c r="F86" s="11" t="n"/>
      <x:c r="G86" s="11" t="n"/>
      <x:c r="H86" s="11" t="n"/>
      <x:c r="I86" s="12" t="n"/>
      <x:c r="J86" s="12" t="n"/>
      <x:c r="K86" s="12" t="n"/>
      <x:c r="L86" s="12" t="n"/>
      <x:c r="M86" s="12" t="n"/>
      <x:c r="N86" s="12" t="n"/>
      <x:c r="O86" s="12" t="n"/>
      <x:c r="P86" s="11" t="n"/>
      <x:c r="Q86" s="11" t="n"/>
      <x:c r="R86" s="11" t="n"/>
      <x:c r="S86" s="11" t="n"/>
      <x:c r="T86" s="11" t="n"/>
      <x:c r="U86" s="12" t="n"/>
      <x:c r="V86" s="12" t="n"/>
      <x:c r="W86" s="12" t="n"/>
      <x:c r="X86" s="12" t="n"/>
      <x:c r="Y86" s="12" t="n"/>
      <x:c r="Z86" s="13">
        <x:f>IF($C86="","",VLOOKUP($C86,Config!$A$2:$Y$4,2,FALSE))</x:f>
      </x:c>
      <x:c r="AA86" s="13">
        <x:f>IF($C86="","",VLOOKUP($C86,Config!$A$2:$Y$4,5,FALSE))</x:f>
      </x:c>
      <x:c r="AB86" s="14">
        <x:f>IF($C86="","",VLOOKUP($C86,Config!$A$2:$Y$4,7,FALSE))</x:f>
      </x:c>
      <x:c r="AC86" s="14">
        <x:f>IF($C86="","",VLOOKUP($C86,Config!$A$2:$Y$4,8,FALSE))</x:f>
      </x:c>
      <x:c r="AD86" s="14">
        <x:f>IF($C86="","",VLOOKUP($C86,Config!$A$2:$Y$4,9,FALSE))</x:f>
      </x:c>
      <x:c r="AE86" s="14">
        <x:f>IF($C86="","",VLOOKUP($C86,Config!$A$2:$Y$4,10,FALSE))</x:f>
      </x:c>
      <x:c r="AF86" s="14">
        <x:f>IF($C86="","",VLOOKUP($C86,Config!$A$2:$Y$4,11,FALSE))</x:f>
      </x:c>
      <x:c r="AG86" s="14">
        <x:f>IF($C86="","",VLOOKUP($C86,Config!$A$2:$Y$4,12,FALSE))</x:f>
      </x:c>
      <x:c r="AH86" s="14">
        <x:f>IF($C86="","",VLOOKUP($C86,Config!$A$2:$Y$4,13,FALSE))</x:f>
      </x:c>
      <x:c r="AI86" s="14">
        <x:f>IF($C86="","",VLOOKUP($C86,Config!$A$2:$Y$4,14,FALSE))</x:f>
      </x:c>
      <x:c r="AJ86" s="14">
        <x:f>IF($C86="","",VLOOKUP($C86,Config!$A$2:$Y$4,15,FALSE))</x:f>
      </x:c>
      <x:c r="AK86" s="14">
        <x:f>IF($C86="","",VLOOKUP($C86,Config!$A$2:$Y$4,16,FALSE))</x:f>
      </x:c>
      <x:c r="AL86" s="14">
        <x:f>IF($C86="","",VLOOKUP($C86,Config!$A$2:$Y$4,17,FALSE))</x:f>
      </x:c>
      <x:c r="AM86" s="14">
        <x:f>IF($C86="","",VLOOKUP($C86,Config!$A$2:$Y$4,18,FALSE))</x:f>
      </x:c>
      <x:c r="AN86" s="14">
        <x:f>IF($C86="","",VLOOKUP($C86,Config!$A$2:$Y$4,19,FALSE))</x:f>
      </x:c>
      <x:c r="AO86" s="14">
        <x:f>IF($C86="","",VLOOKUP($C86,Config!$A$2:$Y$4,20,FALSE))</x:f>
      </x:c>
      <x:c r="AP86" s="14">
        <x:f>IF($C86="","",VLOOKUP($C86,Config!$A$2:$Y$4,21,FALSE))</x:f>
      </x:c>
      <x:c r="AQ86" s="14">
        <x:f>IF($C86="","",VLOOKUP($C86,Config!$A$2:$Y$4,22,FALSE))</x:f>
      </x:c>
      <x:c r="AR86" s="14">
        <x:f>IF($C86="","",VLOOKUP($C86,Config!$A$2:$Y$4,23,FALSE))</x:f>
      </x:c>
      <x:c r="AS86" s="13">
        <x:f>IF($C86="","",IF($H86="Extra",3,IF($H86="I",2,IF($H86="II",1,0)))&gt;=IF($AA86="Extra",3,IF($AA86="I",2,IF($AA86="II",1,0))))</x:f>
      </x:c>
      <x:c r="AT86" s="13">
        <x:f>IF($C86="","",IF($I86="",FALSE,$I86&gt;=$AB86))</x:f>
      </x:c>
      <x:c r="AU86" s="13">
        <x:f>IF($C86="","",IF($AC86="",TRUE,IF($J86="",FALSE,$J86&lt;=$AC86)))</x:f>
      </x:c>
      <x:c r="AV86" s="13">
        <x:f>IF($C86="","",IF($AD86="",TRUE,IF($K86="",FALSE,$K86&lt;=$AD86)))</x:f>
      </x:c>
      <x:c r="AW86" s="13">
        <x:f>IF($C86="","",IF($AE86="",TRUE,IF($L86="",FALSE,$L86&lt;=$AE86)))</x:f>
      </x:c>
      <x:c r="AX86" s="13">
        <x:f>IF($C86="","",IF($AF86="",TRUE,IF($M86="",FALSE,$M86&lt;=$AF86)))</x:f>
      </x:c>
      <x:c r="AY86" s="13">
        <x:f>IF($C86="","",IF($AG86="",TRUE,IF($N86="",FALSE,$N86&gt;=$AG86)))</x:f>
      </x:c>
      <x:c r="AZ86" s="13">
        <x:f>IF($C86="","",IF(OR($AH86="",$AI86=""),TRUE,IF($O86="",FALSE,AND($O86&gt;=$AH86,$O86&lt;=$AI86))))</x:f>
      </x:c>
      <x:c r="BA86" s="13">
        <x:f>IF($C86="","",IF($AJ86="Y",$P86="Y",TRUE))</x:f>
      </x:c>
      <x:c r="BB86" s="13">
        <x:f>IF($C86="","",IF($AK86="Y",$Q86="Y",TRUE))</x:f>
      </x:c>
      <x:c r="BC86" s="13">
        <x:f>IF($C86="","",IF($AL86="Y",$R86="Y",TRUE))</x:f>
      </x:c>
      <x:c r="BD86" s="13">
        <x:f>IF($C86="","",IF($AM86="Y",$S86="Y",TRUE))</x:f>
      </x:c>
      <x:c r="BE86" s="13">
        <x:f>IF($C86="","",IF($AN86="Y",$T86="Y",TRUE))</x:f>
      </x:c>
      <x:c r="BF86" s="13">
        <x:f>IF($C86="","",IF($AO86="",TRUE,IF($U86="",FALSE,$U86&lt;=$AO86)))</x:f>
      </x:c>
      <x:c r="BG86" s="13">
        <x:f>IF($C86="","",IF($AP86="",TRUE,IF($V86="",FALSE,$V86&lt;=$AP86)))</x:f>
      </x:c>
      <x:c r="BH86" s="13">
        <x:f>IF($C86="","",IF($AQ86="",TRUE,IF($W86="",FALSE,$W86&lt;=$AQ86)))</x:f>
      </x:c>
      <x:c r="BI86" s="13">
        <x:f>IF($C86="","",IF($AR86="",TRUE,IF($X86="",FALSE,$X86&lt;=$AR86)))</x:f>
      </x:c>
      <x:c r="BJ86" s="15">
        <x:f>IF($C86="","",IF($Y86="",0,$Y86)+IF($AS86,10,0)+IF($AT86,8,0)+IF($AU86,5,0)+IF($AV86,8,0)+IF($AW86,15,0)+IF($AX86,4,0)+IF($AY86,5,0)+IF($AZ86,10,0)+IF($BA86,8,0)+IF($BB86,4,0)+IF($BC86,6,0)+IF($BD86,3,0)+IF($BE86,2,0)+IF($BF86,2,0)+IF($BG86,2,0)+IF($BH86,2,0)+IF($BI86,1,0))</x:f>
      </x:c>
      <x:c r="BK86" s="15">
        <x:f>IF($C86="","",IF(NOT($AS86),1,0)+IF(NOT($AW86),1,0)+IF(NOT($AZ86),1,0)+IF(NOT($BA86),1,0)+IF(NOT($BB86),1,0)+IF(NOT($BC86),1,0))</x:f>
      </x:c>
      <x:c r="BL86" s="13">
        <x:f>IF($C86="","",IF($BK86&gt;0,"REJECT",IF(COUNTIF($AS86:$BI86,FALSE)=0,"ACCEPT",IF($BJ86&gt;=85,"ACCEPT WITH SORTING / DISCOUNT","REJECT"))))</x:f>
      </x:c>
    </x:row>
    <x:row r="87" ht="24" customHeight="1">
      <x:c r="A87" s="10" t="n"/>
      <x:c r="B87" s="11" t="n"/>
      <x:c r="C87" s="11" t="n"/>
      <x:c r="D87" s="11" t="n"/>
      <x:c r="E87" s="11" t="n"/>
      <x:c r="F87" s="11" t="n"/>
      <x:c r="G87" s="11" t="n"/>
      <x:c r="H87" s="11" t="n"/>
      <x:c r="I87" s="12" t="n"/>
      <x:c r="J87" s="12" t="n"/>
      <x:c r="K87" s="12" t="n"/>
      <x:c r="L87" s="12" t="n"/>
      <x:c r="M87" s="12" t="n"/>
      <x:c r="N87" s="12" t="n"/>
      <x:c r="O87" s="12" t="n"/>
      <x:c r="P87" s="11" t="n"/>
      <x:c r="Q87" s="11" t="n"/>
      <x:c r="R87" s="11" t="n"/>
      <x:c r="S87" s="11" t="n"/>
      <x:c r="T87" s="11" t="n"/>
      <x:c r="U87" s="12" t="n"/>
      <x:c r="V87" s="12" t="n"/>
      <x:c r="W87" s="12" t="n"/>
      <x:c r="X87" s="12" t="n"/>
      <x:c r="Y87" s="12" t="n"/>
      <x:c r="Z87" s="13">
        <x:f>IF($C87="","",VLOOKUP($C87,Config!$A$2:$Y$4,2,FALSE))</x:f>
      </x:c>
      <x:c r="AA87" s="13">
        <x:f>IF($C87="","",VLOOKUP($C87,Config!$A$2:$Y$4,5,FALSE))</x:f>
      </x:c>
      <x:c r="AB87" s="14">
        <x:f>IF($C87="","",VLOOKUP($C87,Config!$A$2:$Y$4,7,FALSE))</x:f>
      </x:c>
      <x:c r="AC87" s="14">
        <x:f>IF($C87="","",VLOOKUP($C87,Config!$A$2:$Y$4,8,FALSE))</x:f>
      </x:c>
      <x:c r="AD87" s="14">
        <x:f>IF($C87="","",VLOOKUP($C87,Config!$A$2:$Y$4,9,FALSE))</x:f>
      </x:c>
      <x:c r="AE87" s="14">
        <x:f>IF($C87="","",VLOOKUP($C87,Config!$A$2:$Y$4,10,FALSE))</x:f>
      </x:c>
      <x:c r="AF87" s="14">
        <x:f>IF($C87="","",VLOOKUP($C87,Config!$A$2:$Y$4,11,FALSE))</x:f>
      </x:c>
      <x:c r="AG87" s="14">
        <x:f>IF($C87="","",VLOOKUP($C87,Config!$A$2:$Y$4,12,FALSE))</x:f>
      </x:c>
      <x:c r="AH87" s="14">
        <x:f>IF($C87="","",VLOOKUP($C87,Config!$A$2:$Y$4,13,FALSE))</x:f>
      </x:c>
      <x:c r="AI87" s="14">
        <x:f>IF($C87="","",VLOOKUP($C87,Config!$A$2:$Y$4,14,FALSE))</x:f>
      </x:c>
      <x:c r="AJ87" s="14">
        <x:f>IF($C87="","",VLOOKUP($C87,Config!$A$2:$Y$4,15,FALSE))</x:f>
      </x:c>
      <x:c r="AK87" s="14">
        <x:f>IF($C87="","",VLOOKUP($C87,Config!$A$2:$Y$4,16,FALSE))</x:f>
      </x:c>
      <x:c r="AL87" s="14">
        <x:f>IF($C87="","",VLOOKUP($C87,Config!$A$2:$Y$4,17,FALSE))</x:f>
      </x:c>
      <x:c r="AM87" s="14">
        <x:f>IF($C87="","",VLOOKUP($C87,Config!$A$2:$Y$4,18,FALSE))</x:f>
      </x:c>
      <x:c r="AN87" s="14">
        <x:f>IF($C87="","",VLOOKUP($C87,Config!$A$2:$Y$4,19,FALSE))</x:f>
      </x:c>
      <x:c r="AO87" s="14">
        <x:f>IF($C87="","",VLOOKUP($C87,Config!$A$2:$Y$4,20,FALSE))</x:f>
      </x:c>
      <x:c r="AP87" s="14">
        <x:f>IF($C87="","",VLOOKUP($C87,Config!$A$2:$Y$4,21,FALSE))</x:f>
      </x:c>
      <x:c r="AQ87" s="14">
        <x:f>IF($C87="","",VLOOKUP($C87,Config!$A$2:$Y$4,22,FALSE))</x:f>
      </x:c>
      <x:c r="AR87" s="14">
        <x:f>IF($C87="","",VLOOKUP($C87,Config!$A$2:$Y$4,23,FALSE))</x:f>
      </x:c>
      <x:c r="AS87" s="13">
        <x:f>IF($C87="","",IF($H87="Extra",3,IF($H87="I",2,IF($H87="II",1,0)))&gt;=IF($AA87="Extra",3,IF($AA87="I",2,IF($AA87="II",1,0))))</x:f>
      </x:c>
      <x:c r="AT87" s="13">
        <x:f>IF($C87="","",IF($I87="",FALSE,$I87&gt;=$AB87))</x:f>
      </x:c>
      <x:c r="AU87" s="13">
        <x:f>IF($C87="","",IF($AC87="",TRUE,IF($J87="",FALSE,$J87&lt;=$AC87)))</x:f>
      </x:c>
      <x:c r="AV87" s="13">
        <x:f>IF($C87="","",IF($AD87="",TRUE,IF($K87="",FALSE,$K87&lt;=$AD87)))</x:f>
      </x:c>
      <x:c r="AW87" s="13">
        <x:f>IF($C87="","",IF($AE87="",TRUE,IF($L87="",FALSE,$L87&lt;=$AE87)))</x:f>
      </x:c>
      <x:c r="AX87" s="13">
        <x:f>IF($C87="","",IF($AF87="",TRUE,IF($M87="",FALSE,$M87&lt;=$AF87)))</x:f>
      </x:c>
      <x:c r="AY87" s="13">
        <x:f>IF($C87="","",IF($AG87="",TRUE,IF($N87="",FALSE,$N87&gt;=$AG87)))</x:f>
      </x:c>
      <x:c r="AZ87" s="13">
        <x:f>IF($C87="","",IF(OR($AH87="",$AI87=""),TRUE,IF($O87="",FALSE,AND($O87&gt;=$AH87,$O87&lt;=$AI87))))</x:f>
      </x:c>
      <x:c r="BA87" s="13">
        <x:f>IF($C87="","",IF($AJ87="Y",$P87="Y",TRUE))</x:f>
      </x:c>
      <x:c r="BB87" s="13">
        <x:f>IF($C87="","",IF($AK87="Y",$Q87="Y",TRUE))</x:f>
      </x:c>
      <x:c r="BC87" s="13">
        <x:f>IF($C87="","",IF($AL87="Y",$R87="Y",TRUE))</x:f>
      </x:c>
      <x:c r="BD87" s="13">
        <x:f>IF($C87="","",IF($AM87="Y",$S87="Y",TRUE))</x:f>
      </x:c>
      <x:c r="BE87" s="13">
        <x:f>IF($C87="","",IF($AN87="Y",$T87="Y",TRUE))</x:f>
      </x:c>
      <x:c r="BF87" s="13">
        <x:f>IF($C87="","",IF($AO87="",TRUE,IF($U87="",FALSE,$U87&lt;=$AO87)))</x:f>
      </x:c>
      <x:c r="BG87" s="13">
        <x:f>IF($C87="","",IF($AP87="",TRUE,IF($V87="",FALSE,$V87&lt;=$AP87)))</x:f>
      </x:c>
      <x:c r="BH87" s="13">
        <x:f>IF($C87="","",IF($AQ87="",TRUE,IF($W87="",FALSE,$W87&lt;=$AQ87)))</x:f>
      </x:c>
      <x:c r="BI87" s="13">
        <x:f>IF($C87="","",IF($AR87="",TRUE,IF($X87="",FALSE,$X87&lt;=$AR87)))</x:f>
      </x:c>
      <x:c r="BJ87" s="15">
        <x:f>IF($C87="","",IF($Y87="",0,$Y87)+IF($AS87,10,0)+IF($AT87,8,0)+IF($AU87,5,0)+IF($AV87,8,0)+IF($AW87,15,0)+IF($AX87,4,0)+IF($AY87,5,0)+IF($AZ87,10,0)+IF($BA87,8,0)+IF($BB87,4,0)+IF($BC87,6,0)+IF($BD87,3,0)+IF($BE87,2,0)+IF($BF87,2,0)+IF($BG87,2,0)+IF($BH87,2,0)+IF($BI87,1,0))</x:f>
      </x:c>
      <x:c r="BK87" s="15">
        <x:f>IF($C87="","",IF(NOT($AS87),1,0)+IF(NOT($AW87),1,0)+IF(NOT($AZ87),1,0)+IF(NOT($BA87),1,0)+IF(NOT($BB87),1,0)+IF(NOT($BC87),1,0))</x:f>
      </x:c>
      <x:c r="BL87" s="13">
        <x:f>IF($C87="","",IF($BK87&gt;0,"REJECT",IF(COUNTIF($AS87:$BI87,FALSE)=0,"ACCEPT",IF($BJ87&gt;=85,"ACCEPT WITH SORTING / DISCOUNT","REJECT"))))</x:f>
      </x:c>
    </x:row>
    <x:row r="88" ht="24" customHeight="1">
      <x:c r="A88" s="10" t="n"/>
      <x:c r="B88" s="11" t="n"/>
      <x:c r="C88" s="11" t="n"/>
      <x:c r="D88" s="11" t="n"/>
      <x:c r="E88" s="11" t="n"/>
      <x:c r="F88" s="11" t="n"/>
      <x:c r="G88" s="11" t="n"/>
      <x:c r="H88" s="11" t="n"/>
      <x:c r="I88" s="12" t="n"/>
      <x:c r="J88" s="12" t="n"/>
      <x:c r="K88" s="12" t="n"/>
      <x:c r="L88" s="12" t="n"/>
      <x:c r="M88" s="12" t="n"/>
      <x:c r="N88" s="12" t="n"/>
      <x:c r="O88" s="12" t="n"/>
      <x:c r="P88" s="11" t="n"/>
      <x:c r="Q88" s="11" t="n"/>
      <x:c r="R88" s="11" t="n"/>
      <x:c r="S88" s="11" t="n"/>
      <x:c r="T88" s="11" t="n"/>
      <x:c r="U88" s="12" t="n"/>
      <x:c r="V88" s="12" t="n"/>
      <x:c r="W88" s="12" t="n"/>
      <x:c r="X88" s="12" t="n"/>
      <x:c r="Y88" s="12" t="n"/>
      <x:c r="Z88" s="13">
        <x:f>IF($C88="","",VLOOKUP($C88,Config!$A$2:$Y$4,2,FALSE))</x:f>
      </x:c>
      <x:c r="AA88" s="13">
        <x:f>IF($C88="","",VLOOKUP($C88,Config!$A$2:$Y$4,5,FALSE))</x:f>
      </x:c>
      <x:c r="AB88" s="14">
        <x:f>IF($C88="","",VLOOKUP($C88,Config!$A$2:$Y$4,7,FALSE))</x:f>
      </x:c>
      <x:c r="AC88" s="14">
        <x:f>IF($C88="","",VLOOKUP($C88,Config!$A$2:$Y$4,8,FALSE))</x:f>
      </x:c>
      <x:c r="AD88" s="14">
        <x:f>IF($C88="","",VLOOKUP($C88,Config!$A$2:$Y$4,9,FALSE))</x:f>
      </x:c>
      <x:c r="AE88" s="14">
        <x:f>IF($C88="","",VLOOKUP($C88,Config!$A$2:$Y$4,10,FALSE))</x:f>
      </x:c>
      <x:c r="AF88" s="14">
        <x:f>IF($C88="","",VLOOKUP($C88,Config!$A$2:$Y$4,11,FALSE))</x:f>
      </x:c>
      <x:c r="AG88" s="14">
        <x:f>IF($C88="","",VLOOKUP($C88,Config!$A$2:$Y$4,12,FALSE))</x:f>
      </x:c>
      <x:c r="AH88" s="14">
        <x:f>IF($C88="","",VLOOKUP($C88,Config!$A$2:$Y$4,13,FALSE))</x:f>
      </x:c>
      <x:c r="AI88" s="14">
        <x:f>IF($C88="","",VLOOKUP($C88,Config!$A$2:$Y$4,14,FALSE))</x:f>
      </x:c>
      <x:c r="AJ88" s="14">
        <x:f>IF($C88="","",VLOOKUP($C88,Config!$A$2:$Y$4,15,FALSE))</x:f>
      </x:c>
      <x:c r="AK88" s="14">
        <x:f>IF($C88="","",VLOOKUP($C88,Config!$A$2:$Y$4,16,FALSE))</x:f>
      </x:c>
      <x:c r="AL88" s="14">
        <x:f>IF($C88="","",VLOOKUP($C88,Config!$A$2:$Y$4,17,FALSE))</x:f>
      </x:c>
      <x:c r="AM88" s="14">
        <x:f>IF($C88="","",VLOOKUP($C88,Config!$A$2:$Y$4,18,FALSE))</x:f>
      </x:c>
      <x:c r="AN88" s="14">
        <x:f>IF($C88="","",VLOOKUP($C88,Config!$A$2:$Y$4,19,FALSE))</x:f>
      </x:c>
      <x:c r="AO88" s="14">
        <x:f>IF($C88="","",VLOOKUP($C88,Config!$A$2:$Y$4,20,FALSE))</x:f>
      </x:c>
      <x:c r="AP88" s="14">
        <x:f>IF($C88="","",VLOOKUP($C88,Config!$A$2:$Y$4,21,FALSE))</x:f>
      </x:c>
      <x:c r="AQ88" s="14">
        <x:f>IF($C88="","",VLOOKUP($C88,Config!$A$2:$Y$4,22,FALSE))</x:f>
      </x:c>
      <x:c r="AR88" s="14">
        <x:f>IF($C88="","",VLOOKUP($C88,Config!$A$2:$Y$4,23,FALSE))</x:f>
      </x:c>
      <x:c r="AS88" s="13">
        <x:f>IF($C88="","",IF($H88="Extra",3,IF($H88="I",2,IF($H88="II",1,0)))&gt;=IF($AA88="Extra",3,IF($AA88="I",2,IF($AA88="II",1,0))))</x:f>
      </x:c>
      <x:c r="AT88" s="13">
        <x:f>IF($C88="","",IF($I88="",FALSE,$I88&gt;=$AB88))</x:f>
      </x:c>
      <x:c r="AU88" s="13">
        <x:f>IF($C88="","",IF($AC88="",TRUE,IF($J88="",FALSE,$J88&lt;=$AC88)))</x:f>
      </x:c>
      <x:c r="AV88" s="13">
        <x:f>IF($C88="","",IF($AD88="",TRUE,IF($K88="",FALSE,$K88&lt;=$AD88)))</x:f>
      </x:c>
      <x:c r="AW88" s="13">
        <x:f>IF($C88="","",IF($AE88="",TRUE,IF($L88="",FALSE,$L88&lt;=$AE88)))</x:f>
      </x:c>
      <x:c r="AX88" s="13">
        <x:f>IF($C88="","",IF($AF88="",TRUE,IF($M88="",FALSE,$M88&lt;=$AF88)))</x:f>
      </x:c>
      <x:c r="AY88" s="13">
        <x:f>IF($C88="","",IF($AG88="",TRUE,IF($N88="",FALSE,$N88&gt;=$AG88)))</x:f>
      </x:c>
      <x:c r="AZ88" s="13">
        <x:f>IF($C88="","",IF(OR($AH88="",$AI88=""),TRUE,IF($O88="",FALSE,AND($O88&gt;=$AH88,$O88&lt;=$AI88))))</x:f>
      </x:c>
      <x:c r="BA88" s="13">
        <x:f>IF($C88="","",IF($AJ88="Y",$P88="Y",TRUE))</x:f>
      </x:c>
      <x:c r="BB88" s="13">
        <x:f>IF($C88="","",IF($AK88="Y",$Q88="Y",TRUE))</x:f>
      </x:c>
      <x:c r="BC88" s="13">
        <x:f>IF($C88="","",IF($AL88="Y",$R88="Y",TRUE))</x:f>
      </x:c>
      <x:c r="BD88" s="13">
        <x:f>IF($C88="","",IF($AM88="Y",$S88="Y",TRUE))</x:f>
      </x:c>
      <x:c r="BE88" s="13">
        <x:f>IF($C88="","",IF($AN88="Y",$T88="Y",TRUE))</x:f>
      </x:c>
      <x:c r="BF88" s="13">
        <x:f>IF($C88="","",IF($AO88="",TRUE,IF($U88="",FALSE,$U88&lt;=$AO88)))</x:f>
      </x:c>
      <x:c r="BG88" s="13">
        <x:f>IF($C88="","",IF($AP88="",TRUE,IF($V88="",FALSE,$V88&lt;=$AP88)))</x:f>
      </x:c>
      <x:c r="BH88" s="13">
        <x:f>IF($C88="","",IF($AQ88="",TRUE,IF($W88="",FALSE,$W88&lt;=$AQ88)))</x:f>
      </x:c>
      <x:c r="BI88" s="13">
        <x:f>IF($C88="","",IF($AR88="",TRUE,IF($X88="",FALSE,$X88&lt;=$AR88)))</x:f>
      </x:c>
      <x:c r="BJ88" s="15">
        <x:f>IF($C88="","",IF($Y88="",0,$Y88)+IF($AS88,10,0)+IF($AT88,8,0)+IF($AU88,5,0)+IF($AV88,8,0)+IF($AW88,15,0)+IF($AX88,4,0)+IF($AY88,5,0)+IF($AZ88,10,0)+IF($BA88,8,0)+IF($BB88,4,0)+IF($BC88,6,0)+IF($BD88,3,0)+IF($BE88,2,0)+IF($BF88,2,0)+IF($BG88,2,0)+IF($BH88,2,0)+IF($BI88,1,0))</x:f>
      </x:c>
      <x:c r="BK88" s="15">
        <x:f>IF($C88="","",IF(NOT($AS88),1,0)+IF(NOT($AW88),1,0)+IF(NOT($AZ88),1,0)+IF(NOT($BA88),1,0)+IF(NOT($BB88),1,0)+IF(NOT($BC88),1,0))</x:f>
      </x:c>
      <x:c r="BL88" s="13">
        <x:f>IF($C88="","",IF($BK88&gt;0,"REJECT",IF(COUNTIF($AS88:$BI88,FALSE)=0,"ACCEPT",IF($BJ88&gt;=85,"ACCEPT WITH SORTING / DISCOUNT","REJECT"))))</x:f>
      </x:c>
    </x:row>
    <x:row r="89" ht="24" customHeight="1">
      <x:c r="A89" s="10" t="n"/>
      <x:c r="B89" s="11" t="n"/>
      <x:c r="C89" s="11" t="n"/>
      <x:c r="D89" s="11" t="n"/>
      <x:c r="E89" s="11" t="n"/>
      <x:c r="F89" s="11" t="n"/>
      <x:c r="G89" s="11" t="n"/>
      <x:c r="H89" s="11" t="n"/>
      <x:c r="I89" s="12" t="n"/>
      <x:c r="J89" s="12" t="n"/>
      <x:c r="K89" s="12" t="n"/>
      <x:c r="L89" s="12" t="n"/>
      <x:c r="M89" s="12" t="n"/>
      <x:c r="N89" s="12" t="n"/>
      <x:c r="O89" s="12" t="n"/>
      <x:c r="P89" s="11" t="n"/>
      <x:c r="Q89" s="11" t="n"/>
      <x:c r="R89" s="11" t="n"/>
      <x:c r="S89" s="11" t="n"/>
      <x:c r="T89" s="11" t="n"/>
      <x:c r="U89" s="12" t="n"/>
      <x:c r="V89" s="12" t="n"/>
      <x:c r="W89" s="12" t="n"/>
      <x:c r="X89" s="12" t="n"/>
      <x:c r="Y89" s="12" t="n"/>
      <x:c r="Z89" s="13">
        <x:f>IF($C89="","",VLOOKUP($C89,Config!$A$2:$Y$4,2,FALSE))</x:f>
      </x:c>
      <x:c r="AA89" s="13">
        <x:f>IF($C89="","",VLOOKUP($C89,Config!$A$2:$Y$4,5,FALSE))</x:f>
      </x:c>
      <x:c r="AB89" s="14">
        <x:f>IF($C89="","",VLOOKUP($C89,Config!$A$2:$Y$4,7,FALSE))</x:f>
      </x:c>
      <x:c r="AC89" s="14">
        <x:f>IF($C89="","",VLOOKUP($C89,Config!$A$2:$Y$4,8,FALSE))</x:f>
      </x:c>
      <x:c r="AD89" s="14">
        <x:f>IF($C89="","",VLOOKUP($C89,Config!$A$2:$Y$4,9,FALSE))</x:f>
      </x:c>
      <x:c r="AE89" s="14">
        <x:f>IF($C89="","",VLOOKUP($C89,Config!$A$2:$Y$4,10,FALSE))</x:f>
      </x:c>
      <x:c r="AF89" s="14">
        <x:f>IF($C89="","",VLOOKUP($C89,Config!$A$2:$Y$4,11,FALSE))</x:f>
      </x:c>
      <x:c r="AG89" s="14">
        <x:f>IF($C89="","",VLOOKUP($C89,Config!$A$2:$Y$4,12,FALSE))</x:f>
      </x:c>
      <x:c r="AH89" s="14">
        <x:f>IF($C89="","",VLOOKUP($C89,Config!$A$2:$Y$4,13,FALSE))</x:f>
      </x:c>
      <x:c r="AI89" s="14">
        <x:f>IF($C89="","",VLOOKUP($C89,Config!$A$2:$Y$4,14,FALSE))</x:f>
      </x:c>
      <x:c r="AJ89" s="14">
        <x:f>IF($C89="","",VLOOKUP($C89,Config!$A$2:$Y$4,15,FALSE))</x:f>
      </x:c>
      <x:c r="AK89" s="14">
        <x:f>IF($C89="","",VLOOKUP($C89,Config!$A$2:$Y$4,16,FALSE))</x:f>
      </x:c>
      <x:c r="AL89" s="14">
        <x:f>IF($C89="","",VLOOKUP($C89,Config!$A$2:$Y$4,17,FALSE))</x:f>
      </x:c>
      <x:c r="AM89" s="14">
        <x:f>IF($C89="","",VLOOKUP($C89,Config!$A$2:$Y$4,18,FALSE))</x:f>
      </x:c>
      <x:c r="AN89" s="14">
        <x:f>IF($C89="","",VLOOKUP($C89,Config!$A$2:$Y$4,19,FALSE))</x:f>
      </x:c>
      <x:c r="AO89" s="14">
        <x:f>IF($C89="","",VLOOKUP($C89,Config!$A$2:$Y$4,20,FALSE))</x:f>
      </x:c>
      <x:c r="AP89" s="14">
        <x:f>IF($C89="","",VLOOKUP($C89,Config!$A$2:$Y$4,21,FALSE))</x:f>
      </x:c>
      <x:c r="AQ89" s="14">
        <x:f>IF($C89="","",VLOOKUP($C89,Config!$A$2:$Y$4,22,FALSE))</x:f>
      </x:c>
      <x:c r="AR89" s="14">
        <x:f>IF($C89="","",VLOOKUP($C89,Config!$A$2:$Y$4,23,FALSE))</x:f>
      </x:c>
      <x:c r="AS89" s="13">
        <x:f>IF($C89="","",IF($H89="Extra",3,IF($H89="I",2,IF($H89="II",1,0)))&gt;=IF($AA89="Extra",3,IF($AA89="I",2,IF($AA89="II",1,0))))</x:f>
      </x:c>
      <x:c r="AT89" s="13">
        <x:f>IF($C89="","",IF($I89="",FALSE,$I89&gt;=$AB89))</x:f>
      </x:c>
      <x:c r="AU89" s="13">
        <x:f>IF($C89="","",IF($AC89="",TRUE,IF($J89="",FALSE,$J89&lt;=$AC89)))</x:f>
      </x:c>
      <x:c r="AV89" s="13">
        <x:f>IF($C89="","",IF($AD89="",TRUE,IF($K89="",FALSE,$K89&lt;=$AD89)))</x:f>
      </x:c>
      <x:c r="AW89" s="13">
        <x:f>IF($C89="","",IF($AE89="",TRUE,IF($L89="",FALSE,$L89&lt;=$AE89)))</x:f>
      </x:c>
      <x:c r="AX89" s="13">
        <x:f>IF($C89="","",IF($AF89="",TRUE,IF($M89="",FALSE,$M89&lt;=$AF89)))</x:f>
      </x:c>
      <x:c r="AY89" s="13">
        <x:f>IF($C89="","",IF($AG89="",TRUE,IF($N89="",FALSE,$N89&gt;=$AG89)))</x:f>
      </x:c>
      <x:c r="AZ89" s="13">
        <x:f>IF($C89="","",IF(OR($AH89="",$AI89=""),TRUE,IF($O89="",FALSE,AND($O89&gt;=$AH89,$O89&lt;=$AI89))))</x:f>
      </x:c>
      <x:c r="BA89" s="13">
        <x:f>IF($C89="","",IF($AJ89="Y",$P89="Y",TRUE))</x:f>
      </x:c>
      <x:c r="BB89" s="13">
        <x:f>IF($C89="","",IF($AK89="Y",$Q89="Y",TRUE))</x:f>
      </x:c>
      <x:c r="BC89" s="13">
        <x:f>IF($C89="","",IF($AL89="Y",$R89="Y",TRUE))</x:f>
      </x:c>
      <x:c r="BD89" s="13">
        <x:f>IF($C89="","",IF($AM89="Y",$S89="Y",TRUE))</x:f>
      </x:c>
      <x:c r="BE89" s="13">
        <x:f>IF($C89="","",IF($AN89="Y",$T89="Y",TRUE))</x:f>
      </x:c>
      <x:c r="BF89" s="13">
        <x:f>IF($C89="","",IF($AO89="",TRUE,IF($U89="",FALSE,$U89&lt;=$AO89)))</x:f>
      </x:c>
      <x:c r="BG89" s="13">
        <x:f>IF($C89="","",IF($AP89="",TRUE,IF($V89="",FALSE,$V89&lt;=$AP89)))</x:f>
      </x:c>
      <x:c r="BH89" s="13">
        <x:f>IF($C89="","",IF($AQ89="",TRUE,IF($W89="",FALSE,$W89&lt;=$AQ89)))</x:f>
      </x:c>
      <x:c r="BI89" s="13">
        <x:f>IF($C89="","",IF($AR89="",TRUE,IF($X89="",FALSE,$X89&lt;=$AR89)))</x:f>
      </x:c>
      <x:c r="BJ89" s="15">
        <x:f>IF($C89="","",IF($Y89="",0,$Y89)+IF($AS89,10,0)+IF($AT89,8,0)+IF($AU89,5,0)+IF($AV89,8,0)+IF($AW89,15,0)+IF($AX89,4,0)+IF($AY89,5,0)+IF($AZ89,10,0)+IF($BA89,8,0)+IF($BB89,4,0)+IF($BC89,6,0)+IF($BD89,3,0)+IF($BE89,2,0)+IF($BF89,2,0)+IF($BG89,2,0)+IF($BH89,2,0)+IF($BI89,1,0))</x:f>
      </x:c>
      <x:c r="BK89" s="15">
        <x:f>IF($C89="","",IF(NOT($AS89),1,0)+IF(NOT($AW89),1,0)+IF(NOT($AZ89),1,0)+IF(NOT($BA89),1,0)+IF(NOT($BB89),1,0)+IF(NOT($BC89),1,0))</x:f>
      </x:c>
      <x:c r="BL89" s="13">
        <x:f>IF($C89="","",IF($BK89&gt;0,"REJECT",IF(COUNTIF($AS89:$BI89,FALSE)=0,"ACCEPT",IF($BJ89&gt;=85,"ACCEPT WITH SORTING / DISCOUNT","REJECT"))))</x:f>
      </x:c>
    </x:row>
    <x:row r="90" ht="24" customHeight="1">
      <x:c r="A90" s="10" t="n"/>
      <x:c r="B90" s="11" t="n"/>
      <x:c r="C90" s="11" t="n"/>
      <x:c r="D90" s="11" t="n"/>
      <x:c r="E90" s="11" t="n"/>
      <x:c r="F90" s="11" t="n"/>
      <x:c r="G90" s="11" t="n"/>
      <x:c r="H90" s="11" t="n"/>
      <x:c r="I90" s="12" t="n"/>
      <x:c r="J90" s="12" t="n"/>
      <x:c r="K90" s="12" t="n"/>
      <x:c r="L90" s="12" t="n"/>
      <x:c r="M90" s="12" t="n"/>
      <x:c r="N90" s="12" t="n"/>
      <x:c r="O90" s="12" t="n"/>
      <x:c r="P90" s="11" t="n"/>
      <x:c r="Q90" s="11" t="n"/>
      <x:c r="R90" s="11" t="n"/>
      <x:c r="S90" s="11" t="n"/>
      <x:c r="T90" s="11" t="n"/>
      <x:c r="U90" s="12" t="n"/>
      <x:c r="V90" s="12" t="n"/>
      <x:c r="W90" s="12" t="n"/>
      <x:c r="X90" s="12" t="n"/>
      <x:c r="Y90" s="12" t="n"/>
      <x:c r="Z90" s="13">
        <x:f>IF($C90="","",VLOOKUP($C90,Config!$A$2:$Y$4,2,FALSE))</x:f>
      </x:c>
      <x:c r="AA90" s="13">
        <x:f>IF($C90="","",VLOOKUP($C90,Config!$A$2:$Y$4,5,FALSE))</x:f>
      </x:c>
      <x:c r="AB90" s="14">
        <x:f>IF($C90="","",VLOOKUP($C90,Config!$A$2:$Y$4,7,FALSE))</x:f>
      </x:c>
      <x:c r="AC90" s="14">
        <x:f>IF($C90="","",VLOOKUP($C90,Config!$A$2:$Y$4,8,FALSE))</x:f>
      </x:c>
      <x:c r="AD90" s="14">
        <x:f>IF($C90="","",VLOOKUP($C90,Config!$A$2:$Y$4,9,FALSE))</x:f>
      </x:c>
      <x:c r="AE90" s="14">
        <x:f>IF($C90="","",VLOOKUP($C90,Config!$A$2:$Y$4,10,FALSE))</x:f>
      </x:c>
      <x:c r="AF90" s="14">
        <x:f>IF($C90="","",VLOOKUP($C90,Config!$A$2:$Y$4,11,FALSE))</x:f>
      </x:c>
      <x:c r="AG90" s="14">
        <x:f>IF($C90="","",VLOOKUP($C90,Config!$A$2:$Y$4,12,FALSE))</x:f>
      </x:c>
      <x:c r="AH90" s="14">
        <x:f>IF($C90="","",VLOOKUP($C90,Config!$A$2:$Y$4,13,FALSE))</x:f>
      </x:c>
      <x:c r="AI90" s="14">
        <x:f>IF($C90="","",VLOOKUP($C90,Config!$A$2:$Y$4,14,FALSE))</x:f>
      </x:c>
      <x:c r="AJ90" s="14">
        <x:f>IF($C90="","",VLOOKUP($C90,Config!$A$2:$Y$4,15,FALSE))</x:f>
      </x:c>
      <x:c r="AK90" s="14">
        <x:f>IF($C90="","",VLOOKUP($C90,Config!$A$2:$Y$4,16,FALSE))</x:f>
      </x:c>
      <x:c r="AL90" s="14">
        <x:f>IF($C90="","",VLOOKUP($C90,Config!$A$2:$Y$4,17,FALSE))</x:f>
      </x:c>
      <x:c r="AM90" s="14">
        <x:f>IF($C90="","",VLOOKUP($C90,Config!$A$2:$Y$4,18,FALSE))</x:f>
      </x:c>
      <x:c r="AN90" s="14">
        <x:f>IF($C90="","",VLOOKUP($C90,Config!$A$2:$Y$4,19,FALSE))</x:f>
      </x:c>
      <x:c r="AO90" s="14">
        <x:f>IF($C90="","",VLOOKUP($C90,Config!$A$2:$Y$4,20,FALSE))</x:f>
      </x:c>
      <x:c r="AP90" s="14">
        <x:f>IF($C90="","",VLOOKUP($C90,Config!$A$2:$Y$4,21,FALSE))</x:f>
      </x:c>
      <x:c r="AQ90" s="14">
        <x:f>IF($C90="","",VLOOKUP($C90,Config!$A$2:$Y$4,22,FALSE))</x:f>
      </x:c>
      <x:c r="AR90" s="14">
        <x:f>IF($C90="","",VLOOKUP($C90,Config!$A$2:$Y$4,23,FALSE))</x:f>
      </x:c>
      <x:c r="AS90" s="13">
        <x:f>IF($C90="","",IF($H90="Extra",3,IF($H90="I",2,IF($H90="II",1,0)))&gt;=IF($AA90="Extra",3,IF($AA90="I",2,IF($AA90="II",1,0))))</x:f>
      </x:c>
      <x:c r="AT90" s="13">
        <x:f>IF($C90="","",IF($I90="",FALSE,$I90&gt;=$AB90))</x:f>
      </x:c>
      <x:c r="AU90" s="13">
        <x:f>IF($C90="","",IF($AC90="",TRUE,IF($J90="",FALSE,$J90&lt;=$AC90)))</x:f>
      </x:c>
      <x:c r="AV90" s="13">
        <x:f>IF($C90="","",IF($AD90="",TRUE,IF($K90="",FALSE,$K90&lt;=$AD90)))</x:f>
      </x:c>
      <x:c r="AW90" s="13">
        <x:f>IF($C90="","",IF($AE90="",TRUE,IF($L90="",FALSE,$L90&lt;=$AE90)))</x:f>
      </x:c>
      <x:c r="AX90" s="13">
        <x:f>IF($C90="","",IF($AF90="",TRUE,IF($M90="",FALSE,$M90&lt;=$AF90)))</x:f>
      </x:c>
      <x:c r="AY90" s="13">
        <x:f>IF($C90="","",IF($AG90="",TRUE,IF($N90="",FALSE,$N90&gt;=$AG90)))</x:f>
      </x:c>
      <x:c r="AZ90" s="13">
        <x:f>IF($C90="","",IF(OR($AH90="",$AI90=""),TRUE,IF($O90="",FALSE,AND($O90&gt;=$AH90,$O90&lt;=$AI90))))</x:f>
      </x:c>
      <x:c r="BA90" s="13">
        <x:f>IF($C90="","",IF($AJ90="Y",$P90="Y",TRUE))</x:f>
      </x:c>
      <x:c r="BB90" s="13">
        <x:f>IF($C90="","",IF($AK90="Y",$Q90="Y",TRUE))</x:f>
      </x:c>
      <x:c r="BC90" s="13">
        <x:f>IF($C90="","",IF($AL90="Y",$R90="Y",TRUE))</x:f>
      </x:c>
      <x:c r="BD90" s="13">
        <x:f>IF($C90="","",IF($AM90="Y",$S90="Y",TRUE))</x:f>
      </x:c>
      <x:c r="BE90" s="13">
        <x:f>IF($C90="","",IF($AN90="Y",$T90="Y",TRUE))</x:f>
      </x:c>
      <x:c r="BF90" s="13">
        <x:f>IF($C90="","",IF($AO90="",TRUE,IF($U90="",FALSE,$U90&lt;=$AO90)))</x:f>
      </x:c>
      <x:c r="BG90" s="13">
        <x:f>IF($C90="","",IF($AP90="",TRUE,IF($V90="",FALSE,$V90&lt;=$AP90)))</x:f>
      </x:c>
      <x:c r="BH90" s="13">
        <x:f>IF($C90="","",IF($AQ90="",TRUE,IF($W90="",FALSE,$W90&lt;=$AQ90)))</x:f>
      </x:c>
      <x:c r="BI90" s="13">
        <x:f>IF($C90="","",IF($AR90="",TRUE,IF($X90="",FALSE,$X90&lt;=$AR90)))</x:f>
      </x:c>
      <x:c r="BJ90" s="15">
        <x:f>IF($C90="","",IF($Y90="",0,$Y90)+IF($AS90,10,0)+IF($AT90,8,0)+IF($AU90,5,0)+IF($AV90,8,0)+IF($AW90,15,0)+IF($AX90,4,0)+IF($AY90,5,0)+IF($AZ90,10,0)+IF($BA90,8,0)+IF($BB90,4,0)+IF($BC90,6,0)+IF($BD90,3,0)+IF($BE90,2,0)+IF($BF90,2,0)+IF($BG90,2,0)+IF($BH90,2,0)+IF($BI90,1,0))</x:f>
      </x:c>
      <x:c r="BK90" s="15">
        <x:f>IF($C90="","",IF(NOT($AS90),1,0)+IF(NOT($AW90),1,0)+IF(NOT($AZ90),1,0)+IF(NOT($BA90),1,0)+IF(NOT($BB90),1,0)+IF(NOT($BC90),1,0))</x:f>
      </x:c>
      <x:c r="BL90" s="13">
        <x:f>IF($C90="","",IF($BK90&gt;0,"REJECT",IF(COUNTIF($AS90:$BI90,FALSE)=0,"ACCEPT",IF($BJ90&gt;=85,"ACCEPT WITH SORTING / DISCOUNT","REJECT"))))</x:f>
      </x:c>
    </x:row>
    <x:row r="91" ht="24" customHeight="1">
      <x:c r="A91" s="10" t="n"/>
      <x:c r="B91" s="11" t="n"/>
      <x:c r="C91" s="11" t="n"/>
      <x:c r="D91" s="11" t="n"/>
      <x:c r="E91" s="11" t="n"/>
      <x:c r="F91" s="11" t="n"/>
      <x:c r="G91" s="11" t="n"/>
      <x:c r="H91" s="11" t="n"/>
      <x:c r="I91" s="12" t="n"/>
      <x:c r="J91" s="12" t="n"/>
      <x:c r="K91" s="12" t="n"/>
      <x:c r="L91" s="12" t="n"/>
      <x:c r="M91" s="12" t="n"/>
      <x:c r="N91" s="12" t="n"/>
      <x:c r="O91" s="12" t="n"/>
      <x:c r="P91" s="11" t="n"/>
      <x:c r="Q91" s="11" t="n"/>
      <x:c r="R91" s="11" t="n"/>
      <x:c r="S91" s="11" t="n"/>
      <x:c r="T91" s="11" t="n"/>
      <x:c r="U91" s="12" t="n"/>
      <x:c r="V91" s="12" t="n"/>
      <x:c r="W91" s="12" t="n"/>
      <x:c r="X91" s="12" t="n"/>
      <x:c r="Y91" s="12" t="n"/>
      <x:c r="Z91" s="13">
        <x:f>IF($C91="","",VLOOKUP($C91,Config!$A$2:$Y$4,2,FALSE))</x:f>
      </x:c>
      <x:c r="AA91" s="13">
        <x:f>IF($C91="","",VLOOKUP($C91,Config!$A$2:$Y$4,5,FALSE))</x:f>
      </x:c>
      <x:c r="AB91" s="14">
        <x:f>IF($C91="","",VLOOKUP($C91,Config!$A$2:$Y$4,7,FALSE))</x:f>
      </x:c>
      <x:c r="AC91" s="14">
        <x:f>IF($C91="","",VLOOKUP($C91,Config!$A$2:$Y$4,8,FALSE))</x:f>
      </x:c>
      <x:c r="AD91" s="14">
        <x:f>IF($C91="","",VLOOKUP($C91,Config!$A$2:$Y$4,9,FALSE))</x:f>
      </x:c>
      <x:c r="AE91" s="14">
        <x:f>IF($C91="","",VLOOKUP($C91,Config!$A$2:$Y$4,10,FALSE))</x:f>
      </x:c>
      <x:c r="AF91" s="14">
        <x:f>IF($C91="","",VLOOKUP($C91,Config!$A$2:$Y$4,11,FALSE))</x:f>
      </x:c>
      <x:c r="AG91" s="14">
        <x:f>IF($C91="","",VLOOKUP($C91,Config!$A$2:$Y$4,12,FALSE))</x:f>
      </x:c>
      <x:c r="AH91" s="14">
        <x:f>IF($C91="","",VLOOKUP($C91,Config!$A$2:$Y$4,13,FALSE))</x:f>
      </x:c>
      <x:c r="AI91" s="14">
        <x:f>IF($C91="","",VLOOKUP($C91,Config!$A$2:$Y$4,14,FALSE))</x:f>
      </x:c>
      <x:c r="AJ91" s="14">
        <x:f>IF($C91="","",VLOOKUP($C91,Config!$A$2:$Y$4,15,FALSE))</x:f>
      </x:c>
      <x:c r="AK91" s="14">
        <x:f>IF($C91="","",VLOOKUP($C91,Config!$A$2:$Y$4,16,FALSE))</x:f>
      </x:c>
      <x:c r="AL91" s="14">
        <x:f>IF($C91="","",VLOOKUP($C91,Config!$A$2:$Y$4,17,FALSE))</x:f>
      </x:c>
      <x:c r="AM91" s="14">
        <x:f>IF($C91="","",VLOOKUP($C91,Config!$A$2:$Y$4,18,FALSE))</x:f>
      </x:c>
      <x:c r="AN91" s="14">
        <x:f>IF($C91="","",VLOOKUP($C91,Config!$A$2:$Y$4,19,FALSE))</x:f>
      </x:c>
      <x:c r="AO91" s="14">
        <x:f>IF($C91="","",VLOOKUP($C91,Config!$A$2:$Y$4,20,FALSE))</x:f>
      </x:c>
      <x:c r="AP91" s="14">
        <x:f>IF($C91="","",VLOOKUP($C91,Config!$A$2:$Y$4,21,FALSE))</x:f>
      </x:c>
      <x:c r="AQ91" s="14">
        <x:f>IF($C91="","",VLOOKUP($C91,Config!$A$2:$Y$4,22,FALSE))</x:f>
      </x:c>
      <x:c r="AR91" s="14">
        <x:f>IF($C91="","",VLOOKUP($C91,Config!$A$2:$Y$4,23,FALSE))</x:f>
      </x:c>
      <x:c r="AS91" s="13">
        <x:f>IF($C91="","",IF($H91="Extra",3,IF($H91="I",2,IF($H91="II",1,0)))&gt;=IF($AA91="Extra",3,IF($AA91="I",2,IF($AA91="II",1,0))))</x:f>
      </x:c>
      <x:c r="AT91" s="13">
        <x:f>IF($C91="","",IF($I91="",FALSE,$I91&gt;=$AB91))</x:f>
      </x:c>
      <x:c r="AU91" s="13">
        <x:f>IF($C91="","",IF($AC91="",TRUE,IF($J91="",FALSE,$J91&lt;=$AC91)))</x:f>
      </x:c>
      <x:c r="AV91" s="13">
        <x:f>IF($C91="","",IF($AD91="",TRUE,IF($K91="",FALSE,$K91&lt;=$AD91)))</x:f>
      </x:c>
      <x:c r="AW91" s="13">
        <x:f>IF($C91="","",IF($AE91="",TRUE,IF($L91="",FALSE,$L91&lt;=$AE91)))</x:f>
      </x:c>
      <x:c r="AX91" s="13">
        <x:f>IF($C91="","",IF($AF91="",TRUE,IF($M91="",FALSE,$M91&lt;=$AF91)))</x:f>
      </x:c>
      <x:c r="AY91" s="13">
        <x:f>IF($C91="","",IF($AG91="",TRUE,IF($N91="",FALSE,$N91&gt;=$AG91)))</x:f>
      </x:c>
      <x:c r="AZ91" s="13">
        <x:f>IF($C91="","",IF(OR($AH91="",$AI91=""),TRUE,IF($O91="",FALSE,AND($O91&gt;=$AH91,$O91&lt;=$AI91))))</x:f>
      </x:c>
      <x:c r="BA91" s="13">
        <x:f>IF($C91="","",IF($AJ91="Y",$P91="Y",TRUE))</x:f>
      </x:c>
      <x:c r="BB91" s="13">
        <x:f>IF($C91="","",IF($AK91="Y",$Q91="Y",TRUE))</x:f>
      </x:c>
      <x:c r="BC91" s="13">
        <x:f>IF($C91="","",IF($AL91="Y",$R91="Y",TRUE))</x:f>
      </x:c>
      <x:c r="BD91" s="13">
        <x:f>IF($C91="","",IF($AM91="Y",$S91="Y",TRUE))</x:f>
      </x:c>
      <x:c r="BE91" s="13">
        <x:f>IF($C91="","",IF($AN91="Y",$T91="Y",TRUE))</x:f>
      </x:c>
      <x:c r="BF91" s="13">
        <x:f>IF($C91="","",IF($AO91="",TRUE,IF($U91="",FALSE,$U91&lt;=$AO91)))</x:f>
      </x:c>
      <x:c r="BG91" s="13">
        <x:f>IF($C91="","",IF($AP91="",TRUE,IF($V91="",FALSE,$V91&lt;=$AP91)))</x:f>
      </x:c>
      <x:c r="BH91" s="13">
        <x:f>IF($C91="","",IF($AQ91="",TRUE,IF($W91="",FALSE,$W91&lt;=$AQ91)))</x:f>
      </x:c>
      <x:c r="BI91" s="13">
        <x:f>IF($C91="","",IF($AR91="",TRUE,IF($X91="",FALSE,$X91&lt;=$AR91)))</x:f>
      </x:c>
      <x:c r="BJ91" s="15">
        <x:f>IF($C91="","",IF($Y91="",0,$Y91)+IF($AS91,10,0)+IF($AT91,8,0)+IF($AU91,5,0)+IF($AV91,8,0)+IF($AW91,15,0)+IF($AX91,4,0)+IF($AY91,5,0)+IF($AZ91,10,0)+IF($BA91,8,0)+IF($BB91,4,0)+IF($BC91,6,0)+IF($BD91,3,0)+IF($BE91,2,0)+IF($BF91,2,0)+IF($BG91,2,0)+IF($BH91,2,0)+IF($BI91,1,0))</x:f>
      </x:c>
      <x:c r="BK91" s="15">
        <x:f>IF($C91="","",IF(NOT($AS91),1,0)+IF(NOT($AW91),1,0)+IF(NOT($AZ91),1,0)+IF(NOT($BA91),1,0)+IF(NOT($BB91),1,0)+IF(NOT($BC91),1,0))</x:f>
      </x:c>
      <x:c r="BL91" s="13">
        <x:f>IF($C91="","",IF($BK91&gt;0,"REJECT",IF(COUNTIF($AS91:$BI91,FALSE)=0,"ACCEPT",IF($BJ91&gt;=85,"ACCEPT WITH SORTING / DISCOUNT","REJECT"))))</x:f>
      </x:c>
    </x:row>
    <x:row r="92" ht="24" customHeight="1">
      <x:c r="A92" s="10" t="n"/>
      <x:c r="B92" s="11" t="n"/>
      <x:c r="C92" s="11" t="n"/>
      <x:c r="D92" s="11" t="n"/>
      <x:c r="E92" s="11" t="n"/>
      <x:c r="F92" s="11" t="n"/>
      <x:c r="G92" s="11" t="n"/>
      <x:c r="H92" s="11" t="n"/>
      <x:c r="I92" s="12" t="n"/>
      <x:c r="J92" s="12" t="n"/>
      <x:c r="K92" s="12" t="n"/>
      <x:c r="L92" s="12" t="n"/>
      <x:c r="M92" s="12" t="n"/>
      <x:c r="N92" s="12" t="n"/>
      <x:c r="O92" s="12" t="n"/>
      <x:c r="P92" s="11" t="n"/>
      <x:c r="Q92" s="11" t="n"/>
      <x:c r="R92" s="11" t="n"/>
      <x:c r="S92" s="11" t="n"/>
      <x:c r="T92" s="11" t="n"/>
      <x:c r="U92" s="12" t="n"/>
      <x:c r="V92" s="12" t="n"/>
      <x:c r="W92" s="12" t="n"/>
      <x:c r="X92" s="12" t="n"/>
      <x:c r="Y92" s="12" t="n"/>
      <x:c r="Z92" s="13">
        <x:f>IF($C92="","",VLOOKUP($C92,Config!$A$2:$Y$4,2,FALSE))</x:f>
      </x:c>
      <x:c r="AA92" s="13">
        <x:f>IF($C92="","",VLOOKUP($C92,Config!$A$2:$Y$4,5,FALSE))</x:f>
      </x:c>
      <x:c r="AB92" s="14">
        <x:f>IF($C92="","",VLOOKUP($C92,Config!$A$2:$Y$4,7,FALSE))</x:f>
      </x:c>
      <x:c r="AC92" s="14">
        <x:f>IF($C92="","",VLOOKUP($C92,Config!$A$2:$Y$4,8,FALSE))</x:f>
      </x:c>
      <x:c r="AD92" s="14">
        <x:f>IF($C92="","",VLOOKUP($C92,Config!$A$2:$Y$4,9,FALSE))</x:f>
      </x:c>
      <x:c r="AE92" s="14">
        <x:f>IF($C92="","",VLOOKUP($C92,Config!$A$2:$Y$4,10,FALSE))</x:f>
      </x:c>
      <x:c r="AF92" s="14">
        <x:f>IF($C92="","",VLOOKUP($C92,Config!$A$2:$Y$4,11,FALSE))</x:f>
      </x:c>
      <x:c r="AG92" s="14">
        <x:f>IF($C92="","",VLOOKUP($C92,Config!$A$2:$Y$4,12,FALSE))</x:f>
      </x:c>
      <x:c r="AH92" s="14">
        <x:f>IF($C92="","",VLOOKUP($C92,Config!$A$2:$Y$4,13,FALSE))</x:f>
      </x:c>
      <x:c r="AI92" s="14">
        <x:f>IF($C92="","",VLOOKUP($C92,Config!$A$2:$Y$4,14,FALSE))</x:f>
      </x:c>
      <x:c r="AJ92" s="14">
        <x:f>IF($C92="","",VLOOKUP($C92,Config!$A$2:$Y$4,15,FALSE))</x:f>
      </x:c>
      <x:c r="AK92" s="14">
        <x:f>IF($C92="","",VLOOKUP($C92,Config!$A$2:$Y$4,16,FALSE))</x:f>
      </x:c>
      <x:c r="AL92" s="14">
        <x:f>IF($C92="","",VLOOKUP($C92,Config!$A$2:$Y$4,17,FALSE))</x:f>
      </x:c>
      <x:c r="AM92" s="14">
        <x:f>IF($C92="","",VLOOKUP($C92,Config!$A$2:$Y$4,18,FALSE))</x:f>
      </x:c>
      <x:c r="AN92" s="14">
        <x:f>IF($C92="","",VLOOKUP($C92,Config!$A$2:$Y$4,19,FALSE))</x:f>
      </x:c>
      <x:c r="AO92" s="14">
        <x:f>IF($C92="","",VLOOKUP($C92,Config!$A$2:$Y$4,20,FALSE))</x:f>
      </x:c>
      <x:c r="AP92" s="14">
        <x:f>IF($C92="","",VLOOKUP($C92,Config!$A$2:$Y$4,21,FALSE))</x:f>
      </x:c>
      <x:c r="AQ92" s="14">
        <x:f>IF($C92="","",VLOOKUP($C92,Config!$A$2:$Y$4,22,FALSE))</x:f>
      </x:c>
      <x:c r="AR92" s="14">
        <x:f>IF($C92="","",VLOOKUP($C92,Config!$A$2:$Y$4,23,FALSE))</x:f>
      </x:c>
      <x:c r="AS92" s="13">
        <x:f>IF($C92="","",IF($H92="Extra",3,IF($H92="I",2,IF($H92="II",1,0)))&gt;=IF($AA92="Extra",3,IF($AA92="I",2,IF($AA92="II",1,0))))</x:f>
      </x:c>
      <x:c r="AT92" s="13">
        <x:f>IF($C92="","",IF($I92="",FALSE,$I92&gt;=$AB92))</x:f>
      </x:c>
      <x:c r="AU92" s="13">
        <x:f>IF($C92="","",IF($AC92="",TRUE,IF($J92="",FALSE,$J92&lt;=$AC92)))</x:f>
      </x:c>
      <x:c r="AV92" s="13">
        <x:f>IF($C92="","",IF($AD92="",TRUE,IF($K92="",FALSE,$K92&lt;=$AD92)))</x:f>
      </x:c>
      <x:c r="AW92" s="13">
        <x:f>IF($C92="","",IF($AE92="",TRUE,IF($L92="",FALSE,$L92&lt;=$AE92)))</x:f>
      </x:c>
      <x:c r="AX92" s="13">
        <x:f>IF($C92="","",IF($AF92="",TRUE,IF($M92="",FALSE,$M92&lt;=$AF92)))</x:f>
      </x:c>
      <x:c r="AY92" s="13">
        <x:f>IF($C92="","",IF($AG92="",TRUE,IF($N92="",FALSE,$N92&gt;=$AG92)))</x:f>
      </x:c>
      <x:c r="AZ92" s="13">
        <x:f>IF($C92="","",IF(OR($AH92="",$AI92=""),TRUE,IF($O92="",FALSE,AND($O92&gt;=$AH92,$O92&lt;=$AI92))))</x:f>
      </x:c>
      <x:c r="BA92" s="13">
        <x:f>IF($C92="","",IF($AJ92="Y",$P92="Y",TRUE))</x:f>
      </x:c>
      <x:c r="BB92" s="13">
        <x:f>IF($C92="","",IF($AK92="Y",$Q92="Y",TRUE))</x:f>
      </x:c>
      <x:c r="BC92" s="13">
        <x:f>IF($C92="","",IF($AL92="Y",$R92="Y",TRUE))</x:f>
      </x:c>
      <x:c r="BD92" s="13">
        <x:f>IF($C92="","",IF($AM92="Y",$S92="Y",TRUE))</x:f>
      </x:c>
      <x:c r="BE92" s="13">
        <x:f>IF($C92="","",IF($AN92="Y",$T92="Y",TRUE))</x:f>
      </x:c>
      <x:c r="BF92" s="13">
        <x:f>IF($C92="","",IF($AO92="",TRUE,IF($U92="",FALSE,$U92&lt;=$AO92)))</x:f>
      </x:c>
      <x:c r="BG92" s="13">
        <x:f>IF($C92="","",IF($AP92="",TRUE,IF($V92="",FALSE,$V92&lt;=$AP92)))</x:f>
      </x:c>
      <x:c r="BH92" s="13">
        <x:f>IF($C92="","",IF($AQ92="",TRUE,IF($W92="",FALSE,$W92&lt;=$AQ92)))</x:f>
      </x:c>
      <x:c r="BI92" s="13">
        <x:f>IF($C92="","",IF($AR92="",TRUE,IF($X92="",FALSE,$X92&lt;=$AR92)))</x:f>
      </x:c>
      <x:c r="BJ92" s="15">
        <x:f>IF($C92="","",IF($Y92="",0,$Y92)+IF($AS92,10,0)+IF($AT92,8,0)+IF($AU92,5,0)+IF($AV92,8,0)+IF($AW92,15,0)+IF($AX92,4,0)+IF($AY92,5,0)+IF($AZ92,10,0)+IF($BA92,8,0)+IF($BB92,4,0)+IF($BC92,6,0)+IF($BD92,3,0)+IF($BE92,2,0)+IF($BF92,2,0)+IF($BG92,2,0)+IF($BH92,2,0)+IF($BI92,1,0))</x:f>
      </x:c>
      <x:c r="BK92" s="15">
        <x:f>IF($C92="","",IF(NOT($AS92),1,0)+IF(NOT($AW92),1,0)+IF(NOT($AZ92),1,0)+IF(NOT($BA92),1,0)+IF(NOT($BB92),1,0)+IF(NOT($BC92),1,0))</x:f>
      </x:c>
      <x:c r="BL92" s="13">
        <x:f>IF($C92="","",IF($BK92&gt;0,"REJECT",IF(COUNTIF($AS92:$BI92,FALSE)=0,"ACCEPT",IF($BJ92&gt;=85,"ACCEPT WITH SORTING / DISCOUNT","REJECT"))))</x:f>
      </x:c>
    </x:row>
    <x:row r="93" ht="24" customHeight="1">
      <x:c r="A93" s="10" t="n"/>
      <x:c r="B93" s="11" t="n"/>
      <x:c r="C93" s="11" t="n"/>
      <x:c r="D93" s="11" t="n"/>
      <x:c r="E93" s="11" t="n"/>
      <x:c r="F93" s="11" t="n"/>
      <x:c r="G93" s="11" t="n"/>
      <x:c r="H93" s="11" t="n"/>
      <x:c r="I93" s="12" t="n"/>
      <x:c r="J93" s="12" t="n"/>
      <x:c r="K93" s="12" t="n"/>
      <x:c r="L93" s="12" t="n"/>
      <x:c r="M93" s="12" t="n"/>
      <x:c r="N93" s="12" t="n"/>
      <x:c r="O93" s="12" t="n"/>
      <x:c r="P93" s="11" t="n"/>
      <x:c r="Q93" s="11" t="n"/>
      <x:c r="R93" s="11" t="n"/>
      <x:c r="S93" s="11" t="n"/>
      <x:c r="T93" s="11" t="n"/>
      <x:c r="U93" s="12" t="n"/>
      <x:c r="V93" s="12" t="n"/>
      <x:c r="W93" s="12" t="n"/>
      <x:c r="X93" s="12" t="n"/>
      <x:c r="Y93" s="12" t="n"/>
      <x:c r="Z93" s="13">
        <x:f>IF($C93="","",VLOOKUP($C93,Config!$A$2:$Y$4,2,FALSE))</x:f>
      </x:c>
      <x:c r="AA93" s="13">
        <x:f>IF($C93="","",VLOOKUP($C93,Config!$A$2:$Y$4,5,FALSE))</x:f>
      </x:c>
      <x:c r="AB93" s="14">
        <x:f>IF($C93="","",VLOOKUP($C93,Config!$A$2:$Y$4,7,FALSE))</x:f>
      </x:c>
      <x:c r="AC93" s="14">
        <x:f>IF($C93="","",VLOOKUP($C93,Config!$A$2:$Y$4,8,FALSE))</x:f>
      </x:c>
      <x:c r="AD93" s="14">
        <x:f>IF($C93="","",VLOOKUP($C93,Config!$A$2:$Y$4,9,FALSE))</x:f>
      </x:c>
      <x:c r="AE93" s="14">
        <x:f>IF($C93="","",VLOOKUP($C93,Config!$A$2:$Y$4,10,FALSE))</x:f>
      </x:c>
      <x:c r="AF93" s="14">
        <x:f>IF($C93="","",VLOOKUP($C93,Config!$A$2:$Y$4,11,FALSE))</x:f>
      </x:c>
      <x:c r="AG93" s="14">
        <x:f>IF($C93="","",VLOOKUP($C93,Config!$A$2:$Y$4,12,FALSE))</x:f>
      </x:c>
      <x:c r="AH93" s="14">
        <x:f>IF($C93="","",VLOOKUP($C93,Config!$A$2:$Y$4,13,FALSE))</x:f>
      </x:c>
      <x:c r="AI93" s="14">
        <x:f>IF($C93="","",VLOOKUP($C93,Config!$A$2:$Y$4,14,FALSE))</x:f>
      </x:c>
      <x:c r="AJ93" s="14">
        <x:f>IF($C93="","",VLOOKUP($C93,Config!$A$2:$Y$4,15,FALSE))</x:f>
      </x:c>
      <x:c r="AK93" s="14">
        <x:f>IF($C93="","",VLOOKUP($C93,Config!$A$2:$Y$4,16,FALSE))</x:f>
      </x:c>
      <x:c r="AL93" s="14">
        <x:f>IF($C93="","",VLOOKUP($C93,Config!$A$2:$Y$4,17,FALSE))</x:f>
      </x:c>
      <x:c r="AM93" s="14">
        <x:f>IF($C93="","",VLOOKUP($C93,Config!$A$2:$Y$4,18,FALSE))</x:f>
      </x:c>
      <x:c r="AN93" s="14">
        <x:f>IF($C93="","",VLOOKUP($C93,Config!$A$2:$Y$4,19,FALSE))</x:f>
      </x:c>
      <x:c r="AO93" s="14">
        <x:f>IF($C93="","",VLOOKUP($C93,Config!$A$2:$Y$4,20,FALSE))</x:f>
      </x:c>
      <x:c r="AP93" s="14">
        <x:f>IF($C93="","",VLOOKUP($C93,Config!$A$2:$Y$4,21,FALSE))</x:f>
      </x:c>
      <x:c r="AQ93" s="14">
        <x:f>IF($C93="","",VLOOKUP($C93,Config!$A$2:$Y$4,22,FALSE))</x:f>
      </x:c>
      <x:c r="AR93" s="14">
        <x:f>IF($C93="","",VLOOKUP($C93,Config!$A$2:$Y$4,23,FALSE))</x:f>
      </x:c>
      <x:c r="AS93" s="13">
        <x:f>IF($C93="","",IF($H93="Extra",3,IF($H93="I",2,IF($H93="II",1,0)))&gt;=IF($AA93="Extra",3,IF($AA93="I",2,IF($AA93="II",1,0))))</x:f>
      </x:c>
      <x:c r="AT93" s="13">
        <x:f>IF($C93="","",IF($I93="",FALSE,$I93&gt;=$AB93))</x:f>
      </x:c>
      <x:c r="AU93" s="13">
        <x:f>IF($C93="","",IF($AC93="",TRUE,IF($J93="",FALSE,$J93&lt;=$AC93)))</x:f>
      </x:c>
      <x:c r="AV93" s="13">
        <x:f>IF($C93="","",IF($AD93="",TRUE,IF($K93="",FALSE,$K93&lt;=$AD93)))</x:f>
      </x:c>
      <x:c r="AW93" s="13">
        <x:f>IF($C93="","",IF($AE93="",TRUE,IF($L93="",FALSE,$L93&lt;=$AE93)))</x:f>
      </x:c>
      <x:c r="AX93" s="13">
        <x:f>IF($C93="","",IF($AF93="",TRUE,IF($M93="",FALSE,$M93&lt;=$AF93)))</x:f>
      </x:c>
      <x:c r="AY93" s="13">
        <x:f>IF($C93="","",IF($AG93="",TRUE,IF($N93="",FALSE,$N93&gt;=$AG93)))</x:f>
      </x:c>
      <x:c r="AZ93" s="13">
        <x:f>IF($C93="","",IF(OR($AH93="",$AI93=""),TRUE,IF($O93="",FALSE,AND($O93&gt;=$AH93,$O93&lt;=$AI93))))</x:f>
      </x:c>
      <x:c r="BA93" s="13">
        <x:f>IF($C93="","",IF($AJ93="Y",$P93="Y",TRUE))</x:f>
      </x:c>
      <x:c r="BB93" s="13">
        <x:f>IF($C93="","",IF($AK93="Y",$Q93="Y",TRUE))</x:f>
      </x:c>
      <x:c r="BC93" s="13">
        <x:f>IF($C93="","",IF($AL93="Y",$R93="Y",TRUE))</x:f>
      </x:c>
      <x:c r="BD93" s="13">
        <x:f>IF($C93="","",IF($AM93="Y",$S93="Y",TRUE))</x:f>
      </x:c>
      <x:c r="BE93" s="13">
        <x:f>IF($C93="","",IF($AN93="Y",$T93="Y",TRUE))</x:f>
      </x:c>
      <x:c r="BF93" s="13">
        <x:f>IF($C93="","",IF($AO93="",TRUE,IF($U93="",FALSE,$U93&lt;=$AO93)))</x:f>
      </x:c>
      <x:c r="BG93" s="13">
        <x:f>IF($C93="","",IF($AP93="",TRUE,IF($V93="",FALSE,$V93&lt;=$AP93)))</x:f>
      </x:c>
      <x:c r="BH93" s="13">
        <x:f>IF($C93="","",IF($AQ93="",TRUE,IF($W93="",FALSE,$W93&lt;=$AQ93)))</x:f>
      </x:c>
      <x:c r="BI93" s="13">
        <x:f>IF($C93="","",IF($AR93="",TRUE,IF($X93="",FALSE,$X93&lt;=$AR93)))</x:f>
      </x:c>
      <x:c r="BJ93" s="15">
        <x:f>IF($C93="","",IF($Y93="",0,$Y93)+IF($AS93,10,0)+IF($AT93,8,0)+IF($AU93,5,0)+IF($AV93,8,0)+IF($AW93,15,0)+IF($AX93,4,0)+IF($AY93,5,0)+IF($AZ93,10,0)+IF($BA93,8,0)+IF($BB93,4,0)+IF($BC93,6,0)+IF($BD93,3,0)+IF($BE93,2,0)+IF($BF93,2,0)+IF($BG93,2,0)+IF($BH93,2,0)+IF($BI93,1,0))</x:f>
      </x:c>
      <x:c r="BK93" s="15">
        <x:f>IF($C93="","",IF(NOT($AS93),1,0)+IF(NOT($AW93),1,0)+IF(NOT($AZ93),1,0)+IF(NOT($BA93),1,0)+IF(NOT($BB93),1,0)+IF(NOT($BC93),1,0))</x:f>
      </x:c>
      <x:c r="BL93" s="13">
        <x:f>IF($C93="","",IF($BK93&gt;0,"REJECT",IF(COUNTIF($AS93:$BI93,FALSE)=0,"ACCEPT",IF($BJ93&gt;=85,"ACCEPT WITH SORTING / DISCOUNT","REJECT"))))</x:f>
      </x:c>
    </x:row>
    <x:row r="94" ht="24" customHeight="1">
      <x:c r="A94" s="10" t="n"/>
      <x:c r="B94" s="11" t="n"/>
      <x:c r="C94" s="11" t="n"/>
      <x:c r="D94" s="11" t="n"/>
      <x:c r="E94" s="11" t="n"/>
      <x:c r="F94" s="11" t="n"/>
      <x:c r="G94" s="11" t="n"/>
      <x:c r="H94" s="11" t="n"/>
      <x:c r="I94" s="12" t="n"/>
      <x:c r="J94" s="12" t="n"/>
      <x:c r="K94" s="12" t="n"/>
      <x:c r="L94" s="12" t="n"/>
      <x:c r="M94" s="12" t="n"/>
      <x:c r="N94" s="12" t="n"/>
      <x:c r="O94" s="12" t="n"/>
      <x:c r="P94" s="11" t="n"/>
      <x:c r="Q94" s="11" t="n"/>
      <x:c r="R94" s="11" t="n"/>
      <x:c r="S94" s="11" t="n"/>
      <x:c r="T94" s="11" t="n"/>
      <x:c r="U94" s="12" t="n"/>
      <x:c r="V94" s="12" t="n"/>
      <x:c r="W94" s="12" t="n"/>
      <x:c r="X94" s="12" t="n"/>
      <x:c r="Y94" s="12" t="n"/>
      <x:c r="Z94" s="13">
        <x:f>IF($C94="","",VLOOKUP($C94,Config!$A$2:$Y$4,2,FALSE))</x:f>
      </x:c>
      <x:c r="AA94" s="13">
        <x:f>IF($C94="","",VLOOKUP($C94,Config!$A$2:$Y$4,5,FALSE))</x:f>
      </x:c>
      <x:c r="AB94" s="14">
        <x:f>IF($C94="","",VLOOKUP($C94,Config!$A$2:$Y$4,7,FALSE))</x:f>
      </x:c>
      <x:c r="AC94" s="14">
        <x:f>IF($C94="","",VLOOKUP($C94,Config!$A$2:$Y$4,8,FALSE))</x:f>
      </x:c>
      <x:c r="AD94" s="14">
        <x:f>IF($C94="","",VLOOKUP($C94,Config!$A$2:$Y$4,9,FALSE))</x:f>
      </x:c>
      <x:c r="AE94" s="14">
        <x:f>IF($C94="","",VLOOKUP($C94,Config!$A$2:$Y$4,10,FALSE))</x:f>
      </x:c>
      <x:c r="AF94" s="14">
        <x:f>IF($C94="","",VLOOKUP($C94,Config!$A$2:$Y$4,11,FALSE))</x:f>
      </x:c>
      <x:c r="AG94" s="14">
        <x:f>IF($C94="","",VLOOKUP($C94,Config!$A$2:$Y$4,12,FALSE))</x:f>
      </x:c>
      <x:c r="AH94" s="14">
        <x:f>IF($C94="","",VLOOKUP($C94,Config!$A$2:$Y$4,13,FALSE))</x:f>
      </x:c>
      <x:c r="AI94" s="14">
        <x:f>IF($C94="","",VLOOKUP($C94,Config!$A$2:$Y$4,14,FALSE))</x:f>
      </x:c>
      <x:c r="AJ94" s="14">
        <x:f>IF($C94="","",VLOOKUP($C94,Config!$A$2:$Y$4,15,FALSE))</x:f>
      </x:c>
      <x:c r="AK94" s="14">
        <x:f>IF($C94="","",VLOOKUP($C94,Config!$A$2:$Y$4,16,FALSE))</x:f>
      </x:c>
      <x:c r="AL94" s="14">
        <x:f>IF($C94="","",VLOOKUP($C94,Config!$A$2:$Y$4,17,FALSE))</x:f>
      </x:c>
      <x:c r="AM94" s="14">
        <x:f>IF($C94="","",VLOOKUP($C94,Config!$A$2:$Y$4,18,FALSE))</x:f>
      </x:c>
      <x:c r="AN94" s="14">
        <x:f>IF($C94="","",VLOOKUP($C94,Config!$A$2:$Y$4,19,FALSE))</x:f>
      </x:c>
      <x:c r="AO94" s="14">
        <x:f>IF($C94="","",VLOOKUP($C94,Config!$A$2:$Y$4,20,FALSE))</x:f>
      </x:c>
      <x:c r="AP94" s="14">
        <x:f>IF($C94="","",VLOOKUP($C94,Config!$A$2:$Y$4,21,FALSE))</x:f>
      </x:c>
      <x:c r="AQ94" s="14">
        <x:f>IF($C94="","",VLOOKUP($C94,Config!$A$2:$Y$4,22,FALSE))</x:f>
      </x:c>
      <x:c r="AR94" s="14">
        <x:f>IF($C94="","",VLOOKUP($C94,Config!$A$2:$Y$4,23,FALSE))</x:f>
      </x:c>
      <x:c r="AS94" s="13">
        <x:f>IF($C94="","",IF($H94="Extra",3,IF($H94="I",2,IF($H94="II",1,0)))&gt;=IF($AA94="Extra",3,IF($AA94="I",2,IF($AA94="II",1,0))))</x:f>
      </x:c>
      <x:c r="AT94" s="13">
        <x:f>IF($C94="","",IF($I94="",FALSE,$I94&gt;=$AB94))</x:f>
      </x:c>
      <x:c r="AU94" s="13">
        <x:f>IF($C94="","",IF($AC94="",TRUE,IF($J94="",FALSE,$J94&lt;=$AC94)))</x:f>
      </x:c>
      <x:c r="AV94" s="13">
        <x:f>IF($C94="","",IF($AD94="",TRUE,IF($K94="",FALSE,$K94&lt;=$AD94)))</x:f>
      </x:c>
      <x:c r="AW94" s="13">
        <x:f>IF($C94="","",IF($AE94="",TRUE,IF($L94="",FALSE,$L94&lt;=$AE94)))</x:f>
      </x:c>
      <x:c r="AX94" s="13">
        <x:f>IF($C94="","",IF($AF94="",TRUE,IF($M94="",FALSE,$M94&lt;=$AF94)))</x:f>
      </x:c>
      <x:c r="AY94" s="13">
        <x:f>IF($C94="","",IF($AG94="",TRUE,IF($N94="",FALSE,$N94&gt;=$AG94)))</x:f>
      </x:c>
      <x:c r="AZ94" s="13">
        <x:f>IF($C94="","",IF(OR($AH94="",$AI94=""),TRUE,IF($O94="",FALSE,AND($O94&gt;=$AH94,$O94&lt;=$AI94))))</x:f>
      </x:c>
      <x:c r="BA94" s="13">
        <x:f>IF($C94="","",IF($AJ94="Y",$P94="Y",TRUE))</x:f>
      </x:c>
      <x:c r="BB94" s="13">
        <x:f>IF($C94="","",IF($AK94="Y",$Q94="Y",TRUE))</x:f>
      </x:c>
      <x:c r="BC94" s="13">
        <x:f>IF($C94="","",IF($AL94="Y",$R94="Y",TRUE))</x:f>
      </x:c>
      <x:c r="BD94" s="13">
        <x:f>IF($C94="","",IF($AM94="Y",$S94="Y",TRUE))</x:f>
      </x:c>
      <x:c r="BE94" s="13">
        <x:f>IF($C94="","",IF($AN94="Y",$T94="Y",TRUE))</x:f>
      </x:c>
      <x:c r="BF94" s="13">
        <x:f>IF($C94="","",IF($AO94="",TRUE,IF($U94="",FALSE,$U94&lt;=$AO94)))</x:f>
      </x:c>
      <x:c r="BG94" s="13">
        <x:f>IF($C94="","",IF($AP94="",TRUE,IF($V94="",FALSE,$V94&lt;=$AP94)))</x:f>
      </x:c>
      <x:c r="BH94" s="13">
        <x:f>IF($C94="","",IF($AQ94="",TRUE,IF($W94="",FALSE,$W94&lt;=$AQ94)))</x:f>
      </x:c>
      <x:c r="BI94" s="13">
        <x:f>IF($C94="","",IF($AR94="",TRUE,IF($X94="",FALSE,$X94&lt;=$AR94)))</x:f>
      </x:c>
      <x:c r="BJ94" s="15">
        <x:f>IF($C94="","",IF($Y94="",0,$Y94)+IF($AS94,10,0)+IF($AT94,8,0)+IF($AU94,5,0)+IF($AV94,8,0)+IF($AW94,15,0)+IF($AX94,4,0)+IF($AY94,5,0)+IF($AZ94,10,0)+IF($BA94,8,0)+IF($BB94,4,0)+IF($BC94,6,0)+IF($BD94,3,0)+IF($BE94,2,0)+IF($BF94,2,0)+IF($BG94,2,0)+IF($BH94,2,0)+IF($BI94,1,0))</x:f>
      </x:c>
      <x:c r="BK94" s="15">
        <x:f>IF($C94="","",IF(NOT($AS94),1,0)+IF(NOT($AW94),1,0)+IF(NOT($AZ94),1,0)+IF(NOT($BA94),1,0)+IF(NOT($BB94),1,0)+IF(NOT($BC94),1,0))</x:f>
      </x:c>
      <x:c r="BL94" s="13">
        <x:f>IF($C94="","",IF($BK94&gt;0,"REJECT",IF(COUNTIF($AS94:$BI94,FALSE)=0,"ACCEPT",IF($BJ94&gt;=85,"ACCEPT WITH SORTING / DISCOUNT","REJECT"))))</x:f>
      </x:c>
    </x:row>
    <x:row r="95" ht="24" customHeight="1">
      <x:c r="A95" s="10" t="n"/>
      <x:c r="B95" s="11" t="n"/>
      <x:c r="C95" s="11" t="n"/>
      <x:c r="D95" s="11" t="n"/>
      <x:c r="E95" s="11" t="n"/>
      <x:c r="F95" s="11" t="n"/>
      <x:c r="G95" s="11" t="n"/>
      <x:c r="H95" s="11" t="n"/>
      <x:c r="I95" s="12" t="n"/>
      <x:c r="J95" s="12" t="n"/>
      <x:c r="K95" s="12" t="n"/>
      <x:c r="L95" s="12" t="n"/>
      <x:c r="M95" s="12" t="n"/>
      <x:c r="N95" s="12" t="n"/>
      <x:c r="O95" s="12" t="n"/>
      <x:c r="P95" s="11" t="n"/>
      <x:c r="Q95" s="11" t="n"/>
      <x:c r="R95" s="11" t="n"/>
      <x:c r="S95" s="11" t="n"/>
      <x:c r="T95" s="11" t="n"/>
      <x:c r="U95" s="12" t="n"/>
      <x:c r="V95" s="12" t="n"/>
      <x:c r="W95" s="12" t="n"/>
      <x:c r="X95" s="12" t="n"/>
      <x:c r="Y95" s="12" t="n"/>
      <x:c r="Z95" s="13">
        <x:f>IF($C95="","",VLOOKUP($C95,Config!$A$2:$Y$4,2,FALSE))</x:f>
      </x:c>
      <x:c r="AA95" s="13">
        <x:f>IF($C95="","",VLOOKUP($C95,Config!$A$2:$Y$4,5,FALSE))</x:f>
      </x:c>
      <x:c r="AB95" s="14">
        <x:f>IF($C95="","",VLOOKUP($C95,Config!$A$2:$Y$4,7,FALSE))</x:f>
      </x:c>
      <x:c r="AC95" s="14">
        <x:f>IF($C95="","",VLOOKUP($C95,Config!$A$2:$Y$4,8,FALSE))</x:f>
      </x:c>
      <x:c r="AD95" s="14">
        <x:f>IF($C95="","",VLOOKUP($C95,Config!$A$2:$Y$4,9,FALSE))</x:f>
      </x:c>
      <x:c r="AE95" s="14">
        <x:f>IF($C95="","",VLOOKUP($C95,Config!$A$2:$Y$4,10,FALSE))</x:f>
      </x:c>
      <x:c r="AF95" s="14">
        <x:f>IF($C95="","",VLOOKUP($C95,Config!$A$2:$Y$4,11,FALSE))</x:f>
      </x:c>
      <x:c r="AG95" s="14">
        <x:f>IF($C95="","",VLOOKUP($C95,Config!$A$2:$Y$4,12,FALSE))</x:f>
      </x:c>
      <x:c r="AH95" s="14">
        <x:f>IF($C95="","",VLOOKUP($C95,Config!$A$2:$Y$4,13,FALSE))</x:f>
      </x:c>
      <x:c r="AI95" s="14">
        <x:f>IF($C95="","",VLOOKUP($C95,Config!$A$2:$Y$4,14,FALSE))</x:f>
      </x:c>
      <x:c r="AJ95" s="14">
        <x:f>IF($C95="","",VLOOKUP($C95,Config!$A$2:$Y$4,15,FALSE))</x:f>
      </x:c>
      <x:c r="AK95" s="14">
        <x:f>IF($C95="","",VLOOKUP($C95,Config!$A$2:$Y$4,16,FALSE))</x:f>
      </x:c>
      <x:c r="AL95" s="14">
        <x:f>IF($C95="","",VLOOKUP($C95,Config!$A$2:$Y$4,17,FALSE))</x:f>
      </x:c>
      <x:c r="AM95" s="14">
        <x:f>IF($C95="","",VLOOKUP($C95,Config!$A$2:$Y$4,18,FALSE))</x:f>
      </x:c>
      <x:c r="AN95" s="14">
        <x:f>IF($C95="","",VLOOKUP($C95,Config!$A$2:$Y$4,19,FALSE))</x:f>
      </x:c>
      <x:c r="AO95" s="14">
        <x:f>IF($C95="","",VLOOKUP($C95,Config!$A$2:$Y$4,20,FALSE))</x:f>
      </x:c>
      <x:c r="AP95" s="14">
        <x:f>IF($C95="","",VLOOKUP($C95,Config!$A$2:$Y$4,21,FALSE))</x:f>
      </x:c>
      <x:c r="AQ95" s="14">
        <x:f>IF($C95="","",VLOOKUP($C95,Config!$A$2:$Y$4,22,FALSE))</x:f>
      </x:c>
      <x:c r="AR95" s="14">
        <x:f>IF($C95="","",VLOOKUP($C95,Config!$A$2:$Y$4,23,FALSE))</x:f>
      </x:c>
      <x:c r="AS95" s="13">
        <x:f>IF($C95="","",IF($H95="Extra",3,IF($H95="I",2,IF($H95="II",1,0)))&gt;=IF($AA95="Extra",3,IF($AA95="I",2,IF($AA95="II",1,0))))</x:f>
      </x:c>
      <x:c r="AT95" s="13">
        <x:f>IF($C95="","",IF($I95="",FALSE,$I95&gt;=$AB95))</x:f>
      </x:c>
      <x:c r="AU95" s="13">
        <x:f>IF($C95="","",IF($AC95="",TRUE,IF($J95="",FALSE,$J95&lt;=$AC95)))</x:f>
      </x:c>
      <x:c r="AV95" s="13">
        <x:f>IF($C95="","",IF($AD95="",TRUE,IF($K95="",FALSE,$K95&lt;=$AD95)))</x:f>
      </x:c>
      <x:c r="AW95" s="13">
        <x:f>IF($C95="","",IF($AE95="",TRUE,IF($L95="",FALSE,$L95&lt;=$AE95)))</x:f>
      </x:c>
      <x:c r="AX95" s="13">
        <x:f>IF($C95="","",IF($AF95="",TRUE,IF($M95="",FALSE,$M95&lt;=$AF95)))</x:f>
      </x:c>
      <x:c r="AY95" s="13">
        <x:f>IF($C95="","",IF($AG95="",TRUE,IF($N95="",FALSE,$N95&gt;=$AG95)))</x:f>
      </x:c>
      <x:c r="AZ95" s="13">
        <x:f>IF($C95="","",IF(OR($AH95="",$AI95=""),TRUE,IF($O95="",FALSE,AND($O95&gt;=$AH95,$O95&lt;=$AI95))))</x:f>
      </x:c>
      <x:c r="BA95" s="13">
        <x:f>IF($C95="","",IF($AJ95="Y",$P95="Y",TRUE))</x:f>
      </x:c>
      <x:c r="BB95" s="13">
        <x:f>IF($C95="","",IF($AK95="Y",$Q95="Y",TRUE))</x:f>
      </x:c>
      <x:c r="BC95" s="13">
        <x:f>IF($C95="","",IF($AL95="Y",$R95="Y",TRUE))</x:f>
      </x:c>
      <x:c r="BD95" s="13">
        <x:f>IF($C95="","",IF($AM95="Y",$S95="Y",TRUE))</x:f>
      </x:c>
      <x:c r="BE95" s="13">
        <x:f>IF($C95="","",IF($AN95="Y",$T95="Y",TRUE))</x:f>
      </x:c>
      <x:c r="BF95" s="13">
        <x:f>IF($C95="","",IF($AO95="",TRUE,IF($U95="",FALSE,$U95&lt;=$AO95)))</x:f>
      </x:c>
      <x:c r="BG95" s="13">
        <x:f>IF($C95="","",IF($AP95="",TRUE,IF($V95="",FALSE,$V95&lt;=$AP95)))</x:f>
      </x:c>
      <x:c r="BH95" s="13">
        <x:f>IF($C95="","",IF($AQ95="",TRUE,IF($W95="",FALSE,$W95&lt;=$AQ95)))</x:f>
      </x:c>
      <x:c r="BI95" s="13">
        <x:f>IF($C95="","",IF($AR95="",TRUE,IF($X95="",FALSE,$X95&lt;=$AR95)))</x:f>
      </x:c>
      <x:c r="BJ95" s="15">
        <x:f>IF($C95="","",IF($Y95="",0,$Y95)+IF($AS95,10,0)+IF($AT95,8,0)+IF($AU95,5,0)+IF($AV95,8,0)+IF($AW95,15,0)+IF($AX95,4,0)+IF($AY95,5,0)+IF($AZ95,10,0)+IF($BA95,8,0)+IF($BB95,4,0)+IF($BC95,6,0)+IF($BD95,3,0)+IF($BE95,2,0)+IF($BF95,2,0)+IF($BG95,2,0)+IF($BH95,2,0)+IF($BI95,1,0))</x:f>
      </x:c>
      <x:c r="BK95" s="15">
        <x:f>IF($C95="","",IF(NOT($AS95),1,0)+IF(NOT($AW95),1,0)+IF(NOT($AZ95),1,0)+IF(NOT($BA95),1,0)+IF(NOT($BB95),1,0)+IF(NOT($BC95),1,0))</x:f>
      </x:c>
      <x:c r="BL95" s="13">
        <x:f>IF($C95="","",IF($BK95&gt;0,"REJECT",IF(COUNTIF($AS95:$BI95,FALSE)=0,"ACCEPT",IF($BJ95&gt;=85,"ACCEPT WITH SORTING / DISCOUNT","REJECT"))))</x:f>
      </x:c>
    </x:row>
    <x:row r="96" ht="24" customHeight="1">
      <x:c r="A96" s="10" t="n"/>
      <x:c r="B96" s="11" t="n"/>
      <x:c r="C96" s="11" t="n"/>
      <x:c r="D96" s="11" t="n"/>
      <x:c r="E96" s="11" t="n"/>
      <x:c r="F96" s="11" t="n"/>
      <x:c r="G96" s="11" t="n"/>
      <x:c r="H96" s="11" t="n"/>
      <x:c r="I96" s="12" t="n"/>
      <x:c r="J96" s="12" t="n"/>
      <x:c r="K96" s="12" t="n"/>
      <x:c r="L96" s="12" t="n"/>
      <x:c r="M96" s="12" t="n"/>
      <x:c r="N96" s="12" t="n"/>
      <x:c r="O96" s="12" t="n"/>
      <x:c r="P96" s="11" t="n"/>
      <x:c r="Q96" s="11" t="n"/>
      <x:c r="R96" s="11" t="n"/>
      <x:c r="S96" s="11" t="n"/>
      <x:c r="T96" s="11" t="n"/>
      <x:c r="U96" s="12" t="n"/>
      <x:c r="V96" s="12" t="n"/>
      <x:c r="W96" s="12" t="n"/>
      <x:c r="X96" s="12" t="n"/>
      <x:c r="Y96" s="12" t="n"/>
      <x:c r="Z96" s="13">
        <x:f>IF($C96="","",VLOOKUP($C96,Config!$A$2:$Y$4,2,FALSE))</x:f>
      </x:c>
      <x:c r="AA96" s="13">
        <x:f>IF($C96="","",VLOOKUP($C96,Config!$A$2:$Y$4,5,FALSE))</x:f>
      </x:c>
      <x:c r="AB96" s="14">
        <x:f>IF($C96="","",VLOOKUP($C96,Config!$A$2:$Y$4,7,FALSE))</x:f>
      </x:c>
      <x:c r="AC96" s="14">
        <x:f>IF($C96="","",VLOOKUP($C96,Config!$A$2:$Y$4,8,FALSE))</x:f>
      </x:c>
      <x:c r="AD96" s="14">
        <x:f>IF($C96="","",VLOOKUP($C96,Config!$A$2:$Y$4,9,FALSE))</x:f>
      </x:c>
      <x:c r="AE96" s="14">
        <x:f>IF($C96="","",VLOOKUP($C96,Config!$A$2:$Y$4,10,FALSE))</x:f>
      </x:c>
      <x:c r="AF96" s="14">
        <x:f>IF($C96="","",VLOOKUP($C96,Config!$A$2:$Y$4,11,FALSE))</x:f>
      </x:c>
      <x:c r="AG96" s="14">
        <x:f>IF($C96="","",VLOOKUP($C96,Config!$A$2:$Y$4,12,FALSE))</x:f>
      </x:c>
      <x:c r="AH96" s="14">
        <x:f>IF($C96="","",VLOOKUP($C96,Config!$A$2:$Y$4,13,FALSE))</x:f>
      </x:c>
      <x:c r="AI96" s="14">
        <x:f>IF($C96="","",VLOOKUP($C96,Config!$A$2:$Y$4,14,FALSE))</x:f>
      </x:c>
      <x:c r="AJ96" s="14">
        <x:f>IF($C96="","",VLOOKUP($C96,Config!$A$2:$Y$4,15,FALSE))</x:f>
      </x:c>
      <x:c r="AK96" s="14">
        <x:f>IF($C96="","",VLOOKUP($C96,Config!$A$2:$Y$4,16,FALSE))</x:f>
      </x:c>
      <x:c r="AL96" s="14">
        <x:f>IF($C96="","",VLOOKUP($C96,Config!$A$2:$Y$4,17,FALSE))</x:f>
      </x:c>
      <x:c r="AM96" s="14">
        <x:f>IF($C96="","",VLOOKUP($C96,Config!$A$2:$Y$4,18,FALSE))</x:f>
      </x:c>
      <x:c r="AN96" s="14">
        <x:f>IF($C96="","",VLOOKUP($C96,Config!$A$2:$Y$4,19,FALSE))</x:f>
      </x:c>
      <x:c r="AO96" s="14">
        <x:f>IF($C96="","",VLOOKUP($C96,Config!$A$2:$Y$4,20,FALSE))</x:f>
      </x:c>
      <x:c r="AP96" s="14">
        <x:f>IF($C96="","",VLOOKUP($C96,Config!$A$2:$Y$4,21,FALSE))</x:f>
      </x:c>
      <x:c r="AQ96" s="14">
        <x:f>IF($C96="","",VLOOKUP($C96,Config!$A$2:$Y$4,22,FALSE))</x:f>
      </x:c>
      <x:c r="AR96" s="14">
        <x:f>IF($C96="","",VLOOKUP($C96,Config!$A$2:$Y$4,23,FALSE))</x:f>
      </x:c>
      <x:c r="AS96" s="13">
        <x:f>IF($C96="","",IF($H96="Extra",3,IF($H96="I",2,IF($H96="II",1,0)))&gt;=IF($AA96="Extra",3,IF($AA96="I",2,IF($AA96="II",1,0))))</x:f>
      </x:c>
      <x:c r="AT96" s="13">
        <x:f>IF($C96="","",IF($I96="",FALSE,$I96&gt;=$AB96))</x:f>
      </x:c>
      <x:c r="AU96" s="13">
        <x:f>IF($C96="","",IF($AC96="",TRUE,IF($J96="",FALSE,$J96&lt;=$AC96)))</x:f>
      </x:c>
      <x:c r="AV96" s="13">
        <x:f>IF($C96="","",IF($AD96="",TRUE,IF($K96="",FALSE,$K96&lt;=$AD96)))</x:f>
      </x:c>
      <x:c r="AW96" s="13">
        <x:f>IF($C96="","",IF($AE96="",TRUE,IF($L96="",FALSE,$L96&lt;=$AE96)))</x:f>
      </x:c>
      <x:c r="AX96" s="13">
        <x:f>IF($C96="","",IF($AF96="",TRUE,IF($M96="",FALSE,$M96&lt;=$AF96)))</x:f>
      </x:c>
      <x:c r="AY96" s="13">
        <x:f>IF($C96="","",IF($AG96="",TRUE,IF($N96="",FALSE,$N96&gt;=$AG96)))</x:f>
      </x:c>
      <x:c r="AZ96" s="13">
        <x:f>IF($C96="","",IF(OR($AH96="",$AI96=""),TRUE,IF($O96="",FALSE,AND($O96&gt;=$AH96,$O96&lt;=$AI96))))</x:f>
      </x:c>
      <x:c r="BA96" s="13">
        <x:f>IF($C96="","",IF($AJ96="Y",$P96="Y",TRUE))</x:f>
      </x:c>
      <x:c r="BB96" s="13">
        <x:f>IF($C96="","",IF($AK96="Y",$Q96="Y",TRUE))</x:f>
      </x:c>
      <x:c r="BC96" s="13">
        <x:f>IF($C96="","",IF($AL96="Y",$R96="Y",TRUE))</x:f>
      </x:c>
      <x:c r="BD96" s="13">
        <x:f>IF($C96="","",IF($AM96="Y",$S96="Y",TRUE))</x:f>
      </x:c>
      <x:c r="BE96" s="13">
        <x:f>IF($C96="","",IF($AN96="Y",$T96="Y",TRUE))</x:f>
      </x:c>
      <x:c r="BF96" s="13">
        <x:f>IF($C96="","",IF($AO96="",TRUE,IF($U96="",FALSE,$U96&lt;=$AO96)))</x:f>
      </x:c>
      <x:c r="BG96" s="13">
        <x:f>IF($C96="","",IF($AP96="",TRUE,IF($V96="",FALSE,$V96&lt;=$AP96)))</x:f>
      </x:c>
      <x:c r="BH96" s="13">
        <x:f>IF($C96="","",IF($AQ96="",TRUE,IF($W96="",FALSE,$W96&lt;=$AQ96)))</x:f>
      </x:c>
      <x:c r="BI96" s="13">
        <x:f>IF($C96="","",IF($AR96="",TRUE,IF($X96="",FALSE,$X96&lt;=$AR96)))</x:f>
      </x:c>
      <x:c r="BJ96" s="15">
        <x:f>IF($C96="","",IF($Y96="",0,$Y96)+IF($AS96,10,0)+IF($AT96,8,0)+IF($AU96,5,0)+IF($AV96,8,0)+IF($AW96,15,0)+IF($AX96,4,0)+IF($AY96,5,0)+IF($AZ96,10,0)+IF($BA96,8,0)+IF($BB96,4,0)+IF($BC96,6,0)+IF($BD96,3,0)+IF($BE96,2,0)+IF($BF96,2,0)+IF($BG96,2,0)+IF($BH96,2,0)+IF($BI96,1,0))</x:f>
      </x:c>
      <x:c r="BK96" s="15">
        <x:f>IF($C96="","",IF(NOT($AS96),1,0)+IF(NOT($AW96),1,0)+IF(NOT($AZ96),1,0)+IF(NOT($BA96),1,0)+IF(NOT($BB96),1,0)+IF(NOT($BC96),1,0))</x:f>
      </x:c>
      <x:c r="BL96" s="13">
        <x:f>IF($C96="","",IF($BK96&gt;0,"REJECT",IF(COUNTIF($AS96:$BI96,FALSE)=0,"ACCEPT",IF($BJ96&gt;=85,"ACCEPT WITH SORTING / DISCOUNT","REJECT"))))</x:f>
      </x:c>
    </x:row>
    <x:row r="97" ht="24" customHeight="1">
      <x:c r="A97" s="10" t="n"/>
      <x:c r="B97" s="11" t="n"/>
      <x:c r="C97" s="11" t="n"/>
      <x:c r="D97" s="11" t="n"/>
      <x:c r="E97" s="11" t="n"/>
      <x:c r="F97" s="11" t="n"/>
      <x:c r="G97" s="11" t="n"/>
      <x:c r="H97" s="11" t="n"/>
      <x:c r="I97" s="12" t="n"/>
      <x:c r="J97" s="12" t="n"/>
      <x:c r="K97" s="12" t="n"/>
      <x:c r="L97" s="12" t="n"/>
      <x:c r="M97" s="12" t="n"/>
      <x:c r="N97" s="12" t="n"/>
      <x:c r="O97" s="12" t="n"/>
      <x:c r="P97" s="11" t="n"/>
      <x:c r="Q97" s="11" t="n"/>
      <x:c r="R97" s="11" t="n"/>
      <x:c r="S97" s="11" t="n"/>
      <x:c r="T97" s="11" t="n"/>
      <x:c r="U97" s="12" t="n"/>
      <x:c r="V97" s="12" t="n"/>
      <x:c r="W97" s="12" t="n"/>
      <x:c r="X97" s="12" t="n"/>
      <x:c r="Y97" s="12" t="n"/>
      <x:c r="Z97" s="13">
        <x:f>IF($C97="","",VLOOKUP($C97,Config!$A$2:$Y$4,2,FALSE))</x:f>
      </x:c>
      <x:c r="AA97" s="13">
        <x:f>IF($C97="","",VLOOKUP($C97,Config!$A$2:$Y$4,5,FALSE))</x:f>
      </x:c>
      <x:c r="AB97" s="14">
        <x:f>IF($C97="","",VLOOKUP($C97,Config!$A$2:$Y$4,7,FALSE))</x:f>
      </x:c>
      <x:c r="AC97" s="14">
        <x:f>IF($C97="","",VLOOKUP($C97,Config!$A$2:$Y$4,8,FALSE))</x:f>
      </x:c>
      <x:c r="AD97" s="14">
        <x:f>IF($C97="","",VLOOKUP($C97,Config!$A$2:$Y$4,9,FALSE))</x:f>
      </x:c>
      <x:c r="AE97" s="14">
        <x:f>IF($C97="","",VLOOKUP($C97,Config!$A$2:$Y$4,10,FALSE))</x:f>
      </x:c>
      <x:c r="AF97" s="14">
        <x:f>IF($C97="","",VLOOKUP($C97,Config!$A$2:$Y$4,11,FALSE))</x:f>
      </x:c>
      <x:c r="AG97" s="14">
        <x:f>IF($C97="","",VLOOKUP($C97,Config!$A$2:$Y$4,12,FALSE))</x:f>
      </x:c>
      <x:c r="AH97" s="14">
        <x:f>IF($C97="","",VLOOKUP($C97,Config!$A$2:$Y$4,13,FALSE))</x:f>
      </x:c>
      <x:c r="AI97" s="14">
        <x:f>IF($C97="","",VLOOKUP($C97,Config!$A$2:$Y$4,14,FALSE))</x:f>
      </x:c>
      <x:c r="AJ97" s="14">
        <x:f>IF($C97="","",VLOOKUP($C97,Config!$A$2:$Y$4,15,FALSE))</x:f>
      </x:c>
      <x:c r="AK97" s="14">
        <x:f>IF($C97="","",VLOOKUP($C97,Config!$A$2:$Y$4,16,FALSE))</x:f>
      </x:c>
      <x:c r="AL97" s="14">
        <x:f>IF($C97="","",VLOOKUP($C97,Config!$A$2:$Y$4,17,FALSE))</x:f>
      </x:c>
      <x:c r="AM97" s="14">
        <x:f>IF($C97="","",VLOOKUP($C97,Config!$A$2:$Y$4,18,FALSE))</x:f>
      </x:c>
      <x:c r="AN97" s="14">
        <x:f>IF($C97="","",VLOOKUP($C97,Config!$A$2:$Y$4,19,FALSE))</x:f>
      </x:c>
      <x:c r="AO97" s="14">
        <x:f>IF($C97="","",VLOOKUP($C97,Config!$A$2:$Y$4,20,FALSE))</x:f>
      </x:c>
      <x:c r="AP97" s="14">
        <x:f>IF($C97="","",VLOOKUP($C97,Config!$A$2:$Y$4,21,FALSE))</x:f>
      </x:c>
      <x:c r="AQ97" s="14">
        <x:f>IF($C97="","",VLOOKUP($C97,Config!$A$2:$Y$4,22,FALSE))</x:f>
      </x:c>
      <x:c r="AR97" s="14">
        <x:f>IF($C97="","",VLOOKUP($C97,Config!$A$2:$Y$4,23,FALSE))</x:f>
      </x:c>
      <x:c r="AS97" s="13">
        <x:f>IF($C97="","",IF($H97="Extra",3,IF($H97="I",2,IF($H97="II",1,0)))&gt;=IF($AA97="Extra",3,IF($AA97="I",2,IF($AA97="II",1,0))))</x:f>
      </x:c>
      <x:c r="AT97" s="13">
        <x:f>IF($C97="","",IF($I97="",FALSE,$I97&gt;=$AB97))</x:f>
      </x:c>
      <x:c r="AU97" s="13">
        <x:f>IF($C97="","",IF($AC97="",TRUE,IF($J97="",FALSE,$J97&lt;=$AC97)))</x:f>
      </x:c>
      <x:c r="AV97" s="13">
        <x:f>IF($C97="","",IF($AD97="",TRUE,IF($K97="",FALSE,$K97&lt;=$AD97)))</x:f>
      </x:c>
      <x:c r="AW97" s="13">
        <x:f>IF($C97="","",IF($AE97="",TRUE,IF($L97="",FALSE,$L97&lt;=$AE97)))</x:f>
      </x:c>
      <x:c r="AX97" s="13">
        <x:f>IF($C97="","",IF($AF97="",TRUE,IF($M97="",FALSE,$M97&lt;=$AF97)))</x:f>
      </x:c>
      <x:c r="AY97" s="13">
        <x:f>IF($C97="","",IF($AG97="",TRUE,IF($N97="",FALSE,$N97&gt;=$AG97)))</x:f>
      </x:c>
      <x:c r="AZ97" s="13">
        <x:f>IF($C97="","",IF(OR($AH97="",$AI97=""),TRUE,IF($O97="",FALSE,AND($O97&gt;=$AH97,$O97&lt;=$AI97))))</x:f>
      </x:c>
      <x:c r="BA97" s="13">
        <x:f>IF($C97="","",IF($AJ97="Y",$P97="Y",TRUE))</x:f>
      </x:c>
      <x:c r="BB97" s="13">
        <x:f>IF($C97="","",IF($AK97="Y",$Q97="Y",TRUE))</x:f>
      </x:c>
      <x:c r="BC97" s="13">
        <x:f>IF($C97="","",IF($AL97="Y",$R97="Y",TRUE))</x:f>
      </x:c>
      <x:c r="BD97" s="13">
        <x:f>IF($C97="","",IF($AM97="Y",$S97="Y",TRUE))</x:f>
      </x:c>
      <x:c r="BE97" s="13">
        <x:f>IF($C97="","",IF($AN97="Y",$T97="Y",TRUE))</x:f>
      </x:c>
      <x:c r="BF97" s="13">
        <x:f>IF($C97="","",IF($AO97="",TRUE,IF($U97="",FALSE,$U97&lt;=$AO97)))</x:f>
      </x:c>
      <x:c r="BG97" s="13">
        <x:f>IF($C97="","",IF($AP97="",TRUE,IF($V97="",FALSE,$V97&lt;=$AP97)))</x:f>
      </x:c>
      <x:c r="BH97" s="13">
        <x:f>IF($C97="","",IF($AQ97="",TRUE,IF($W97="",FALSE,$W97&lt;=$AQ97)))</x:f>
      </x:c>
      <x:c r="BI97" s="13">
        <x:f>IF($C97="","",IF($AR97="",TRUE,IF($X97="",FALSE,$X97&lt;=$AR97)))</x:f>
      </x:c>
      <x:c r="BJ97" s="15">
        <x:f>IF($C97="","",IF($Y97="",0,$Y97)+IF($AS97,10,0)+IF($AT97,8,0)+IF($AU97,5,0)+IF($AV97,8,0)+IF($AW97,15,0)+IF($AX97,4,0)+IF($AY97,5,0)+IF($AZ97,10,0)+IF($BA97,8,0)+IF($BB97,4,0)+IF($BC97,6,0)+IF($BD97,3,0)+IF($BE97,2,0)+IF($BF97,2,0)+IF($BG97,2,0)+IF($BH97,2,0)+IF($BI97,1,0))</x:f>
      </x:c>
      <x:c r="BK97" s="15">
        <x:f>IF($C97="","",IF(NOT($AS97),1,0)+IF(NOT($AW97),1,0)+IF(NOT($AZ97),1,0)+IF(NOT($BA97),1,0)+IF(NOT($BB97),1,0)+IF(NOT($BC97),1,0))</x:f>
      </x:c>
      <x:c r="BL97" s="13">
        <x:f>IF($C97="","",IF($BK97&gt;0,"REJECT",IF(COUNTIF($AS97:$BI97,FALSE)=0,"ACCEPT",IF($BJ97&gt;=85,"ACCEPT WITH SORTING / DISCOUNT","REJECT"))))</x:f>
      </x:c>
    </x:row>
    <x:row r="98" ht="24" customHeight="1">
      <x:c r="A98" s="10" t="n"/>
      <x:c r="B98" s="11" t="n"/>
      <x:c r="C98" s="11" t="n"/>
      <x:c r="D98" s="11" t="n"/>
      <x:c r="E98" s="11" t="n"/>
      <x:c r="F98" s="11" t="n"/>
      <x:c r="G98" s="11" t="n"/>
      <x:c r="H98" s="11" t="n"/>
      <x:c r="I98" s="12" t="n"/>
      <x:c r="J98" s="12" t="n"/>
      <x:c r="K98" s="12" t="n"/>
      <x:c r="L98" s="12" t="n"/>
      <x:c r="M98" s="12" t="n"/>
      <x:c r="N98" s="12" t="n"/>
      <x:c r="O98" s="12" t="n"/>
      <x:c r="P98" s="11" t="n"/>
      <x:c r="Q98" s="11" t="n"/>
      <x:c r="R98" s="11" t="n"/>
      <x:c r="S98" s="11" t="n"/>
      <x:c r="T98" s="11" t="n"/>
      <x:c r="U98" s="12" t="n"/>
      <x:c r="V98" s="12" t="n"/>
      <x:c r="W98" s="12" t="n"/>
      <x:c r="X98" s="12" t="n"/>
      <x:c r="Y98" s="12" t="n"/>
      <x:c r="Z98" s="13">
        <x:f>IF($C98="","",VLOOKUP($C98,Config!$A$2:$Y$4,2,FALSE))</x:f>
      </x:c>
      <x:c r="AA98" s="13">
        <x:f>IF($C98="","",VLOOKUP($C98,Config!$A$2:$Y$4,5,FALSE))</x:f>
      </x:c>
      <x:c r="AB98" s="14">
        <x:f>IF($C98="","",VLOOKUP($C98,Config!$A$2:$Y$4,7,FALSE))</x:f>
      </x:c>
      <x:c r="AC98" s="14">
        <x:f>IF($C98="","",VLOOKUP($C98,Config!$A$2:$Y$4,8,FALSE))</x:f>
      </x:c>
      <x:c r="AD98" s="14">
        <x:f>IF($C98="","",VLOOKUP($C98,Config!$A$2:$Y$4,9,FALSE))</x:f>
      </x:c>
      <x:c r="AE98" s="14">
        <x:f>IF($C98="","",VLOOKUP($C98,Config!$A$2:$Y$4,10,FALSE))</x:f>
      </x:c>
      <x:c r="AF98" s="14">
        <x:f>IF($C98="","",VLOOKUP($C98,Config!$A$2:$Y$4,11,FALSE))</x:f>
      </x:c>
      <x:c r="AG98" s="14">
        <x:f>IF($C98="","",VLOOKUP($C98,Config!$A$2:$Y$4,12,FALSE))</x:f>
      </x:c>
      <x:c r="AH98" s="14">
        <x:f>IF($C98="","",VLOOKUP($C98,Config!$A$2:$Y$4,13,FALSE))</x:f>
      </x:c>
      <x:c r="AI98" s="14">
        <x:f>IF($C98="","",VLOOKUP($C98,Config!$A$2:$Y$4,14,FALSE))</x:f>
      </x:c>
      <x:c r="AJ98" s="14">
        <x:f>IF($C98="","",VLOOKUP($C98,Config!$A$2:$Y$4,15,FALSE))</x:f>
      </x:c>
      <x:c r="AK98" s="14">
        <x:f>IF($C98="","",VLOOKUP($C98,Config!$A$2:$Y$4,16,FALSE))</x:f>
      </x:c>
      <x:c r="AL98" s="14">
        <x:f>IF($C98="","",VLOOKUP($C98,Config!$A$2:$Y$4,17,FALSE))</x:f>
      </x:c>
      <x:c r="AM98" s="14">
        <x:f>IF($C98="","",VLOOKUP($C98,Config!$A$2:$Y$4,18,FALSE))</x:f>
      </x:c>
      <x:c r="AN98" s="14">
        <x:f>IF($C98="","",VLOOKUP($C98,Config!$A$2:$Y$4,19,FALSE))</x:f>
      </x:c>
      <x:c r="AO98" s="14">
        <x:f>IF($C98="","",VLOOKUP($C98,Config!$A$2:$Y$4,20,FALSE))</x:f>
      </x:c>
      <x:c r="AP98" s="14">
        <x:f>IF($C98="","",VLOOKUP($C98,Config!$A$2:$Y$4,21,FALSE))</x:f>
      </x:c>
      <x:c r="AQ98" s="14">
        <x:f>IF($C98="","",VLOOKUP($C98,Config!$A$2:$Y$4,22,FALSE))</x:f>
      </x:c>
      <x:c r="AR98" s="14">
        <x:f>IF($C98="","",VLOOKUP($C98,Config!$A$2:$Y$4,23,FALSE))</x:f>
      </x:c>
      <x:c r="AS98" s="13">
        <x:f>IF($C98="","",IF($H98="Extra",3,IF($H98="I",2,IF($H98="II",1,0)))&gt;=IF($AA98="Extra",3,IF($AA98="I",2,IF($AA98="II",1,0))))</x:f>
      </x:c>
      <x:c r="AT98" s="13">
        <x:f>IF($C98="","",IF($I98="",FALSE,$I98&gt;=$AB98))</x:f>
      </x:c>
      <x:c r="AU98" s="13">
        <x:f>IF($C98="","",IF($AC98="",TRUE,IF($J98="",FALSE,$J98&lt;=$AC98)))</x:f>
      </x:c>
      <x:c r="AV98" s="13">
        <x:f>IF($C98="","",IF($AD98="",TRUE,IF($K98="",FALSE,$K98&lt;=$AD98)))</x:f>
      </x:c>
      <x:c r="AW98" s="13">
        <x:f>IF($C98="","",IF($AE98="",TRUE,IF($L98="",FALSE,$L98&lt;=$AE98)))</x:f>
      </x:c>
      <x:c r="AX98" s="13">
        <x:f>IF($C98="","",IF($AF98="",TRUE,IF($M98="",FALSE,$M98&lt;=$AF98)))</x:f>
      </x:c>
      <x:c r="AY98" s="13">
        <x:f>IF($C98="","",IF($AG98="",TRUE,IF($N98="",FALSE,$N98&gt;=$AG98)))</x:f>
      </x:c>
      <x:c r="AZ98" s="13">
        <x:f>IF($C98="","",IF(OR($AH98="",$AI98=""),TRUE,IF($O98="",FALSE,AND($O98&gt;=$AH98,$O98&lt;=$AI98))))</x:f>
      </x:c>
      <x:c r="BA98" s="13">
        <x:f>IF($C98="","",IF($AJ98="Y",$P98="Y",TRUE))</x:f>
      </x:c>
      <x:c r="BB98" s="13">
        <x:f>IF($C98="","",IF($AK98="Y",$Q98="Y",TRUE))</x:f>
      </x:c>
      <x:c r="BC98" s="13">
        <x:f>IF($C98="","",IF($AL98="Y",$R98="Y",TRUE))</x:f>
      </x:c>
      <x:c r="BD98" s="13">
        <x:f>IF($C98="","",IF($AM98="Y",$S98="Y",TRUE))</x:f>
      </x:c>
      <x:c r="BE98" s="13">
        <x:f>IF($C98="","",IF($AN98="Y",$T98="Y",TRUE))</x:f>
      </x:c>
      <x:c r="BF98" s="13">
        <x:f>IF($C98="","",IF($AO98="",TRUE,IF($U98="",FALSE,$U98&lt;=$AO98)))</x:f>
      </x:c>
      <x:c r="BG98" s="13">
        <x:f>IF($C98="","",IF($AP98="",TRUE,IF($V98="",FALSE,$V98&lt;=$AP98)))</x:f>
      </x:c>
      <x:c r="BH98" s="13">
        <x:f>IF($C98="","",IF($AQ98="",TRUE,IF($W98="",FALSE,$W98&lt;=$AQ98)))</x:f>
      </x:c>
      <x:c r="BI98" s="13">
        <x:f>IF($C98="","",IF($AR98="",TRUE,IF($X98="",FALSE,$X98&lt;=$AR98)))</x:f>
      </x:c>
      <x:c r="BJ98" s="15">
        <x:f>IF($C98="","",IF($Y98="",0,$Y98)+IF($AS98,10,0)+IF($AT98,8,0)+IF($AU98,5,0)+IF($AV98,8,0)+IF($AW98,15,0)+IF($AX98,4,0)+IF($AY98,5,0)+IF($AZ98,10,0)+IF($BA98,8,0)+IF($BB98,4,0)+IF($BC98,6,0)+IF($BD98,3,0)+IF($BE98,2,0)+IF($BF98,2,0)+IF($BG98,2,0)+IF($BH98,2,0)+IF($BI98,1,0))</x:f>
      </x:c>
      <x:c r="BK98" s="15">
        <x:f>IF($C98="","",IF(NOT($AS98),1,0)+IF(NOT($AW98),1,0)+IF(NOT($AZ98),1,0)+IF(NOT($BA98),1,0)+IF(NOT($BB98),1,0)+IF(NOT($BC98),1,0))</x:f>
      </x:c>
      <x:c r="BL98" s="13">
        <x:f>IF($C98="","",IF($BK98&gt;0,"REJECT",IF(COUNTIF($AS98:$BI98,FALSE)=0,"ACCEPT",IF($BJ98&gt;=85,"ACCEPT WITH SORTING / DISCOUNT","REJECT"))))</x:f>
      </x:c>
    </x:row>
    <x:row r="99" ht="24" customHeight="1">
      <x:c r="A99" s="10" t="n"/>
      <x:c r="B99" s="11" t="n"/>
      <x:c r="C99" s="11" t="n"/>
      <x:c r="D99" s="11" t="n"/>
      <x:c r="E99" s="11" t="n"/>
      <x:c r="F99" s="11" t="n"/>
      <x:c r="G99" s="11" t="n"/>
      <x:c r="H99" s="11" t="n"/>
      <x:c r="I99" s="12" t="n"/>
      <x:c r="J99" s="12" t="n"/>
      <x:c r="K99" s="12" t="n"/>
      <x:c r="L99" s="12" t="n"/>
      <x:c r="M99" s="12" t="n"/>
      <x:c r="N99" s="12" t="n"/>
      <x:c r="O99" s="12" t="n"/>
      <x:c r="P99" s="11" t="n"/>
      <x:c r="Q99" s="11" t="n"/>
      <x:c r="R99" s="11" t="n"/>
      <x:c r="S99" s="11" t="n"/>
      <x:c r="T99" s="11" t="n"/>
      <x:c r="U99" s="12" t="n"/>
      <x:c r="V99" s="12" t="n"/>
      <x:c r="W99" s="12" t="n"/>
      <x:c r="X99" s="12" t="n"/>
      <x:c r="Y99" s="12" t="n"/>
      <x:c r="Z99" s="13">
        <x:f>IF($C99="","",VLOOKUP($C99,Config!$A$2:$Y$4,2,FALSE))</x:f>
      </x:c>
      <x:c r="AA99" s="13">
        <x:f>IF($C99="","",VLOOKUP($C99,Config!$A$2:$Y$4,5,FALSE))</x:f>
      </x:c>
      <x:c r="AB99" s="14">
        <x:f>IF($C99="","",VLOOKUP($C99,Config!$A$2:$Y$4,7,FALSE))</x:f>
      </x:c>
      <x:c r="AC99" s="14">
        <x:f>IF($C99="","",VLOOKUP($C99,Config!$A$2:$Y$4,8,FALSE))</x:f>
      </x:c>
      <x:c r="AD99" s="14">
        <x:f>IF($C99="","",VLOOKUP($C99,Config!$A$2:$Y$4,9,FALSE))</x:f>
      </x:c>
      <x:c r="AE99" s="14">
        <x:f>IF($C99="","",VLOOKUP($C99,Config!$A$2:$Y$4,10,FALSE))</x:f>
      </x:c>
      <x:c r="AF99" s="14">
        <x:f>IF($C99="","",VLOOKUP($C99,Config!$A$2:$Y$4,11,FALSE))</x:f>
      </x:c>
      <x:c r="AG99" s="14">
        <x:f>IF($C99="","",VLOOKUP($C99,Config!$A$2:$Y$4,12,FALSE))</x:f>
      </x:c>
      <x:c r="AH99" s="14">
        <x:f>IF($C99="","",VLOOKUP($C99,Config!$A$2:$Y$4,13,FALSE))</x:f>
      </x:c>
      <x:c r="AI99" s="14">
        <x:f>IF($C99="","",VLOOKUP($C99,Config!$A$2:$Y$4,14,FALSE))</x:f>
      </x:c>
      <x:c r="AJ99" s="14">
        <x:f>IF($C99="","",VLOOKUP($C99,Config!$A$2:$Y$4,15,FALSE))</x:f>
      </x:c>
      <x:c r="AK99" s="14">
        <x:f>IF($C99="","",VLOOKUP($C99,Config!$A$2:$Y$4,16,FALSE))</x:f>
      </x:c>
      <x:c r="AL99" s="14">
        <x:f>IF($C99="","",VLOOKUP($C99,Config!$A$2:$Y$4,17,FALSE))</x:f>
      </x:c>
      <x:c r="AM99" s="14">
        <x:f>IF($C99="","",VLOOKUP($C99,Config!$A$2:$Y$4,18,FALSE))</x:f>
      </x:c>
      <x:c r="AN99" s="14">
        <x:f>IF($C99="","",VLOOKUP($C99,Config!$A$2:$Y$4,19,FALSE))</x:f>
      </x:c>
      <x:c r="AO99" s="14">
        <x:f>IF($C99="","",VLOOKUP($C99,Config!$A$2:$Y$4,20,FALSE))</x:f>
      </x:c>
      <x:c r="AP99" s="14">
        <x:f>IF($C99="","",VLOOKUP($C99,Config!$A$2:$Y$4,21,FALSE))</x:f>
      </x:c>
      <x:c r="AQ99" s="14">
        <x:f>IF($C99="","",VLOOKUP($C99,Config!$A$2:$Y$4,22,FALSE))</x:f>
      </x:c>
      <x:c r="AR99" s="14">
        <x:f>IF($C99="","",VLOOKUP($C99,Config!$A$2:$Y$4,23,FALSE))</x:f>
      </x:c>
      <x:c r="AS99" s="13">
        <x:f>IF($C99="","",IF($H99="Extra",3,IF($H99="I",2,IF($H99="II",1,0)))&gt;=IF($AA99="Extra",3,IF($AA99="I",2,IF($AA99="II",1,0))))</x:f>
      </x:c>
      <x:c r="AT99" s="13">
        <x:f>IF($C99="","",IF($I99="",FALSE,$I99&gt;=$AB99))</x:f>
      </x:c>
      <x:c r="AU99" s="13">
        <x:f>IF($C99="","",IF($AC99="",TRUE,IF($J99="",FALSE,$J99&lt;=$AC99)))</x:f>
      </x:c>
      <x:c r="AV99" s="13">
        <x:f>IF($C99="","",IF($AD99="",TRUE,IF($K99="",FALSE,$K99&lt;=$AD99)))</x:f>
      </x:c>
      <x:c r="AW99" s="13">
        <x:f>IF($C99="","",IF($AE99="",TRUE,IF($L99="",FALSE,$L99&lt;=$AE99)))</x:f>
      </x:c>
      <x:c r="AX99" s="13">
        <x:f>IF($C99="","",IF($AF99="",TRUE,IF($M99="",FALSE,$M99&lt;=$AF99)))</x:f>
      </x:c>
      <x:c r="AY99" s="13">
        <x:f>IF($C99="","",IF($AG99="",TRUE,IF($N99="",FALSE,$N99&gt;=$AG99)))</x:f>
      </x:c>
      <x:c r="AZ99" s="13">
        <x:f>IF($C99="","",IF(OR($AH99="",$AI99=""),TRUE,IF($O99="",FALSE,AND($O99&gt;=$AH99,$O99&lt;=$AI99))))</x:f>
      </x:c>
      <x:c r="BA99" s="13">
        <x:f>IF($C99="","",IF($AJ99="Y",$P99="Y",TRUE))</x:f>
      </x:c>
      <x:c r="BB99" s="13">
        <x:f>IF($C99="","",IF($AK99="Y",$Q99="Y",TRUE))</x:f>
      </x:c>
      <x:c r="BC99" s="13">
        <x:f>IF($C99="","",IF($AL99="Y",$R99="Y",TRUE))</x:f>
      </x:c>
      <x:c r="BD99" s="13">
        <x:f>IF($C99="","",IF($AM99="Y",$S99="Y",TRUE))</x:f>
      </x:c>
      <x:c r="BE99" s="13">
        <x:f>IF($C99="","",IF($AN99="Y",$T99="Y",TRUE))</x:f>
      </x:c>
      <x:c r="BF99" s="13">
        <x:f>IF($C99="","",IF($AO99="",TRUE,IF($U99="",FALSE,$U99&lt;=$AO99)))</x:f>
      </x:c>
      <x:c r="BG99" s="13">
        <x:f>IF($C99="","",IF($AP99="",TRUE,IF($V99="",FALSE,$V99&lt;=$AP99)))</x:f>
      </x:c>
      <x:c r="BH99" s="13">
        <x:f>IF($C99="","",IF($AQ99="",TRUE,IF($W99="",FALSE,$W99&lt;=$AQ99)))</x:f>
      </x:c>
      <x:c r="BI99" s="13">
        <x:f>IF($C99="","",IF($AR99="",TRUE,IF($X99="",FALSE,$X99&lt;=$AR99)))</x:f>
      </x:c>
      <x:c r="BJ99" s="15">
        <x:f>IF($C99="","",IF($Y99="",0,$Y99)+IF($AS99,10,0)+IF($AT99,8,0)+IF($AU99,5,0)+IF($AV99,8,0)+IF($AW99,15,0)+IF($AX99,4,0)+IF($AY99,5,0)+IF($AZ99,10,0)+IF($BA99,8,0)+IF($BB99,4,0)+IF($BC99,6,0)+IF($BD99,3,0)+IF($BE99,2,0)+IF($BF99,2,0)+IF($BG99,2,0)+IF($BH99,2,0)+IF($BI99,1,0))</x:f>
      </x:c>
      <x:c r="BK99" s="15">
        <x:f>IF($C99="","",IF(NOT($AS99),1,0)+IF(NOT($AW99),1,0)+IF(NOT($AZ99),1,0)+IF(NOT($BA99),1,0)+IF(NOT($BB99),1,0)+IF(NOT($BC99),1,0))</x:f>
      </x:c>
      <x:c r="BL99" s="13">
        <x:f>IF($C99="","",IF($BK99&gt;0,"REJECT",IF(COUNTIF($AS99:$BI99,FALSE)=0,"ACCEPT",IF($BJ99&gt;=85,"ACCEPT WITH SORTING / DISCOUNT","REJECT"))))</x:f>
      </x:c>
    </x:row>
    <x:row r="100" ht="24" customHeight="1">
      <x:c r="A100" s="10" t="n"/>
      <x:c r="B100" s="11" t="n"/>
      <x:c r="C100" s="11" t="n"/>
      <x:c r="D100" s="11" t="n"/>
      <x:c r="E100" s="11" t="n"/>
      <x:c r="F100" s="11" t="n"/>
      <x:c r="G100" s="11" t="n"/>
      <x:c r="H100" s="11" t="n"/>
      <x:c r="I100" s="12" t="n"/>
      <x:c r="J100" s="12" t="n"/>
      <x:c r="K100" s="12" t="n"/>
      <x:c r="L100" s="12" t="n"/>
      <x:c r="M100" s="12" t="n"/>
      <x:c r="N100" s="12" t="n"/>
      <x:c r="O100" s="12" t="n"/>
      <x:c r="P100" s="11" t="n"/>
      <x:c r="Q100" s="11" t="n"/>
      <x:c r="R100" s="11" t="n"/>
      <x:c r="S100" s="11" t="n"/>
      <x:c r="T100" s="11" t="n"/>
      <x:c r="U100" s="12" t="n"/>
      <x:c r="V100" s="12" t="n"/>
      <x:c r="W100" s="12" t="n"/>
      <x:c r="X100" s="12" t="n"/>
      <x:c r="Y100" s="12" t="n"/>
      <x:c r="Z100" s="13">
        <x:f>IF($C100="","",VLOOKUP($C100,Config!$A$2:$Y$4,2,FALSE))</x:f>
      </x:c>
      <x:c r="AA100" s="13">
        <x:f>IF($C100="","",VLOOKUP($C100,Config!$A$2:$Y$4,5,FALSE))</x:f>
      </x:c>
      <x:c r="AB100" s="14">
        <x:f>IF($C100="","",VLOOKUP($C100,Config!$A$2:$Y$4,7,FALSE))</x:f>
      </x:c>
      <x:c r="AC100" s="14">
        <x:f>IF($C100="","",VLOOKUP($C100,Config!$A$2:$Y$4,8,FALSE))</x:f>
      </x:c>
      <x:c r="AD100" s="14">
        <x:f>IF($C100="","",VLOOKUP($C100,Config!$A$2:$Y$4,9,FALSE))</x:f>
      </x:c>
      <x:c r="AE100" s="14">
        <x:f>IF($C100="","",VLOOKUP($C100,Config!$A$2:$Y$4,10,FALSE))</x:f>
      </x:c>
      <x:c r="AF100" s="14">
        <x:f>IF($C100="","",VLOOKUP($C100,Config!$A$2:$Y$4,11,FALSE))</x:f>
      </x:c>
      <x:c r="AG100" s="14">
        <x:f>IF($C100="","",VLOOKUP($C100,Config!$A$2:$Y$4,12,FALSE))</x:f>
      </x:c>
      <x:c r="AH100" s="14">
        <x:f>IF($C100="","",VLOOKUP($C100,Config!$A$2:$Y$4,13,FALSE))</x:f>
      </x:c>
      <x:c r="AI100" s="14">
        <x:f>IF($C100="","",VLOOKUP($C100,Config!$A$2:$Y$4,14,FALSE))</x:f>
      </x:c>
      <x:c r="AJ100" s="14">
        <x:f>IF($C100="","",VLOOKUP($C100,Config!$A$2:$Y$4,15,FALSE))</x:f>
      </x:c>
      <x:c r="AK100" s="14">
        <x:f>IF($C100="","",VLOOKUP($C100,Config!$A$2:$Y$4,16,FALSE))</x:f>
      </x:c>
      <x:c r="AL100" s="14">
        <x:f>IF($C100="","",VLOOKUP($C100,Config!$A$2:$Y$4,17,FALSE))</x:f>
      </x:c>
      <x:c r="AM100" s="14">
        <x:f>IF($C100="","",VLOOKUP($C100,Config!$A$2:$Y$4,18,FALSE))</x:f>
      </x:c>
      <x:c r="AN100" s="14">
        <x:f>IF($C100="","",VLOOKUP($C100,Config!$A$2:$Y$4,19,FALSE))</x:f>
      </x:c>
      <x:c r="AO100" s="14">
        <x:f>IF($C100="","",VLOOKUP($C100,Config!$A$2:$Y$4,20,FALSE))</x:f>
      </x:c>
      <x:c r="AP100" s="14">
        <x:f>IF($C100="","",VLOOKUP($C100,Config!$A$2:$Y$4,21,FALSE))</x:f>
      </x:c>
      <x:c r="AQ100" s="14">
        <x:f>IF($C100="","",VLOOKUP($C100,Config!$A$2:$Y$4,22,FALSE))</x:f>
      </x:c>
      <x:c r="AR100" s="14">
        <x:f>IF($C100="","",VLOOKUP($C100,Config!$A$2:$Y$4,23,FALSE))</x:f>
      </x:c>
      <x:c r="AS100" s="13">
        <x:f>IF($C100="","",IF($H100="Extra",3,IF($H100="I",2,IF($H100="II",1,0)))&gt;=IF($AA100="Extra",3,IF($AA100="I",2,IF($AA100="II",1,0))))</x:f>
      </x:c>
      <x:c r="AT100" s="13">
        <x:f>IF($C100="","",IF($I100="",FALSE,$I100&gt;=$AB100))</x:f>
      </x:c>
      <x:c r="AU100" s="13">
        <x:f>IF($C100="","",IF($AC100="",TRUE,IF($J100="",FALSE,$J100&lt;=$AC100)))</x:f>
      </x:c>
      <x:c r="AV100" s="13">
        <x:f>IF($C100="","",IF($AD100="",TRUE,IF($K100="",FALSE,$K100&lt;=$AD100)))</x:f>
      </x:c>
      <x:c r="AW100" s="13">
        <x:f>IF($C100="","",IF($AE100="",TRUE,IF($L100="",FALSE,$L100&lt;=$AE100)))</x:f>
      </x:c>
      <x:c r="AX100" s="13">
        <x:f>IF($C100="","",IF($AF100="",TRUE,IF($M100="",FALSE,$M100&lt;=$AF100)))</x:f>
      </x:c>
      <x:c r="AY100" s="13">
        <x:f>IF($C100="","",IF($AG100="",TRUE,IF($N100="",FALSE,$N100&gt;=$AG100)))</x:f>
      </x:c>
      <x:c r="AZ100" s="13">
        <x:f>IF($C100="","",IF(OR($AH100="",$AI100=""),TRUE,IF($O100="",FALSE,AND($O100&gt;=$AH100,$O100&lt;=$AI100))))</x:f>
      </x:c>
      <x:c r="BA100" s="13">
        <x:f>IF($C100="","",IF($AJ100="Y",$P100="Y",TRUE))</x:f>
      </x:c>
      <x:c r="BB100" s="13">
        <x:f>IF($C100="","",IF($AK100="Y",$Q100="Y",TRUE))</x:f>
      </x:c>
      <x:c r="BC100" s="13">
        <x:f>IF($C100="","",IF($AL100="Y",$R100="Y",TRUE))</x:f>
      </x:c>
      <x:c r="BD100" s="13">
        <x:f>IF($C100="","",IF($AM100="Y",$S100="Y",TRUE))</x:f>
      </x:c>
      <x:c r="BE100" s="13">
        <x:f>IF($C100="","",IF($AN100="Y",$T100="Y",TRUE))</x:f>
      </x:c>
      <x:c r="BF100" s="13">
        <x:f>IF($C100="","",IF($AO100="",TRUE,IF($U100="",FALSE,$U100&lt;=$AO100)))</x:f>
      </x:c>
      <x:c r="BG100" s="13">
        <x:f>IF($C100="","",IF($AP100="",TRUE,IF($V100="",FALSE,$V100&lt;=$AP100)))</x:f>
      </x:c>
      <x:c r="BH100" s="13">
        <x:f>IF($C100="","",IF($AQ100="",TRUE,IF($W100="",FALSE,$W100&lt;=$AQ100)))</x:f>
      </x:c>
      <x:c r="BI100" s="13">
        <x:f>IF($C100="","",IF($AR100="",TRUE,IF($X100="",FALSE,$X100&lt;=$AR100)))</x:f>
      </x:c>
      <x:c r="BJ100" s="15">
        <x:f>IF($C100="","",IF($Y100="",0,$Y100)+IF($AS100,10,0)+IF($AT100,8,0)+IF($AU100,5,0)+IF($AV100,8,0)+IF($AW100,15,0)+IF($AX100,4,0)+IF($AY100,5,0)+IF($AZ100,10,0)+IF($BA100,8,0)+IF($BB100,4,0)+IF($BC100,6,0)+IF($BD100,3,0)+IF($BE100,2,0)+IF($BF100,2,0)+IF($BG100,2,0)+IF($BH100,2,0)+IF($BI100,1,0))</x:f>
      </x:c>
      <x:c r="BK100" s="15">
        <x:f>IF($C100="","",IF(NOT($AS100),1,0)+IF(NOT($AW100),1,0)+IF(NOT($AZ100),1,0)+IF(NOT($BA100),1,0)+IF(NOT($BB100),1,0)+IF(NOT($BC100),1,0))</x:f>
      </x:c>
      <x:c r="BL100" s="13">
        <x:f>IF($C100="","",IF($BK100&gt;0,"REJECT",IF(COUNTIF($AS100:$BI100,FALSE)=0,"ACCEPT",IF($BJ100&gt;=85,"ACCEPT WITH SORTING / DISCOUNT","REJECT"))))</x:f>
      </x:c>
    </x:row>
    <x:row r="101" ht="24" customHeight="1">
      <x:c r="A101" s="10" t="n"/>
      <x:c r="B101" s="11" t="n"/>
      <x:c r="C101" s="11" t="n"/>
      <x:c r="D101" s="11" t="n"/>
      <x:c r="E101" s="11" t="n"/>
      <x:c r="F101" s="11" t="n"/>
      <x:c r="G101" s="11" t="n"/>
      <x:c r="H101" s="11" t="n"/>
      <x:c r="I101" s="12" t="n"/>
      <x:c r="J101" s="12" t="n"/>
      <x:c r="K101" s="12" t="n"/>
      <x:c r="L101" s="12" t="n"/>
      <x:c r="M101" s="12" t="n"/>
      <x:c r="N101" s="12" t="n"/>
      <x:c r="O101" s="12" t="n"/>
      <x:c r="P101" s="11" t="n"/>
      <x:c r="Q101" s="11" t="n"/>
      <x:c r="R101" s="11" t="n"/>
      <x:c r="S101" s="11" t="n"/>
      <x:c r="T101" s="11" t="n"/>
      <x:c r="U101" s="12" t="n"/>
      <x:c r="V101" s="12" t="n"/>
      <x:c r="W101" s="12" t="n"/>
      <x:c r="X101" s="12" t="n"/>
      <x:c r="Y101" s="12" t="n"/>
      <x:c r="Z101" s="13">
        <x:f>IF($C101="","",VLOOKUP($C101,Config!$A$2:$Y$4,2,FALSE))</x:f>
      </x:c>
      <x:c r="AA101" s="13">
        <x:f>IF($C101="","",VLOOKUP($C101,Config!$A$2:$Y$4,5,FALSE))</x:f>
      </x:c>
      <x:c r="AB101" s="14">
        <x:f>IF($C101="","",VLOOKUP($C101,Config!$A$2:$Y$4,7,FALSE))</x:f>
      </x:c>
      <x:c r="AC101" s="14">
        <x:f>IF($C101="","",VLOOKUP($C101,Config!$A$2:$Y$4,8,FALSE))</x:f>
      </x:c>
      <x:c r="AD101" s="14">
        <x:f>IF($C101="","",VLOOKUP($C101,Config!$A$2:$Y$4,9,FALSE))</x:f>
      </x:c>
      <x:c r="AE101" s="14">
        <x:f>IF($C101="","",VLOOKUP($C101,Config!$A$2:$Y$4,10,FALSE))</x:f>
      </x:c>
      <x:c r="AF101" s="14">
        <x:f>IF($C101="","",VLOOKUP($C101,Config!$A$2:$Y$4,11,FALSE))</x:f>
      </x:c>
      <x:c r="AG101" s="14">
        <x:f>IF($C101="","",VLOOKUP($C101,Config!$A$2:$Y$4,12,FALSE))</x:f>
      </x:c>
      <x:c r="AH101" s="14">
        <x:f>IF($C101="","",VLOOKUP($C101,Config!$A$2:$Y$4,13,FALSE))</x:f>
      </x:c>
      <x:c r="AI101" s="14">
        <x:f>IF($C101="","",VLOOKUP($C101,Config!$A$2:$Y$4,14,FALSE))</x:f>
      </x:c>
      <x:c r="AJ101" s="14">
        <x:f>IF($C101="","",VLOOKUP($C101,Config!$A$2:$Y$4,15,FALSE))</x:f>
      </x:c>
      <x:c r="AK101" s="14">
        <x:f>IF($C101="","",VLOOKUP($C101,Config!$A$2:$Y$4,16,FALSE))</x:f>
      </x:c>
      <x:c r="AL101" s="14">
        <x:f>IF($C101="","",VLOOKUP($C101,Config!$A$2:$Y$4,17,FALSE))</x:f>
      </x:c>
      <x:c r="AM101" s="14">
        <x:f>IF($C101="","",VLOOKUP($C101,Config!$A$2:$Y$4,18,FALSE))</x:f>
      </x:c>
      <x:c r="AN101" s="14">
        <x:f>IF($C101="","",VLOOKUP($C101,Config!$A$2:$Y$4,19,FALSE))</x:f>
      </x:c>
      <x:c r="AO101" s="14">
        <x:f>IF($C101="","",VLOOKUP($C101,Config!$A$2:$Y$4,20,FALSE))</x:f>
      </x:c>
      <x:c r="AP101" s="14">
        <x:f>IF($C101="","",VLOOKUP($C101,Config!$A$2:$Y$4,21,FALSE))</x:f>
      </x:c>
      <x:c r="AQ101" s="14">
        <x:f>IF($C101="","",VLOOKUP($C101,Config!$A$2:$Y$4,22,FALSE))</x:f>
      </x:c>
      <x:c r="AR101" s="14">
        <x:f>IF($C101="","",VLOOKUP($C101,Config!$A$2:$Y$4,23,FALSE))</x:f>
      </x:c>
      <x:c r="AS101" s="13">
        <x:f>IF($C101="","",IF($H101="Extra",3,IF($H101="I",2,IF($H101="II",1,0)))&gt;=IF($AA101="Extra",3,IF($AA101="I",2,IF($AA101="II",1,0))))</x:f>
      </x:c>
      <x:c r="AT101" s="13">
        <x:f>IF($C101="","",IF($I101="",FALSE,$I101&gt;=$AB101))</x:f>
      </x:c>
      <x:c r="AU101" s="13">
        <x:f>IF($C101="","",IF($AC101="",TRUE,IF($J101="",FALSE,$J101&lt;=$AC101)))</x:f>
      </x:c>
      <x:c r="AV101" s="13">
        <x:f>IF($C101="","",IF($AD101="",TRUE,IF($K101="",FALSE,$K101&lt;=$AD101)))</x:f>
      </x:c>
      <x:c r="AW101" s="13">
        <x:f>IF($C101="","",IF($AE101="",TRUE,IF($L101="",FALSE,$L101&lt;=$AE101)))</x:f>
      </x:c>
      <x:c r="AX101" s="13">
        <x:f>IF($C101="","",IF($AF101="",TRUE,IF($M101="",FALSE,$M101&lt;=$AF101)))</x:f>
      </x:c>
      <x:c r="AY101" s="13">
        <x:f>IF($C101="","",IF($AG101="",TRUE,IF($N101="",FALSE,$N101&gt;=$AG101)))</x:f>
      </x:c>
      <x:c r="AZ101" s="13">
        <x:f>IF($C101="","",IF(OR($AH101="",$AI101=""),TRUE,IF($O101="",FALSE,AND($O101&gt;=$AH101,$O101&lt;=$AI101))))</x:f>
      </x:c>
      <x:c r="BA101" s="13">
        <x:f>IF($C101="","",IF($AJ101="Y",$P101="Y",TRUE))</x:f>
      </x:c>
      <x:c r="BB101" s="13">
        <x:f>IF($C101="","",IF($AK101="Y",$Q101="Y",TRUE))</x:f>
      </x:c>
      <x:c r="BC101" s="13">
        <x:f>IF($C101="","",IF($AL101="Y",$R101="Y",TRUE))</x:f>
      </x:c>
      <x:c r="BD101" s="13">
        <x:f>IF($C101="","",IF($AM101="Y",$S101="Y",TRUE))</x:f>
      </x:c>
      <x:c r="BE101" s="13">
        <x:f>IF($C101="","",IF($AN101="Y",$T101="Y",TRUE))</x:f>
      </x:c>
      <x:c r="BF101" s="13">
        <x:f>IF($C101="","",IF($AO101="",TRUE,IF($U101="",FALSE,$U101&lt;=$AO101)))</x:f>
      </x:c>
      <x:c r="BG101" s="13">
        <x:f>IF($C101="","",IF($AP101="",TRUE,IF($V101="",FALSE,$V101&lt;=$AP101)))</x:f>
      </x:c>
      <x:c r="BH101" s="13">
        <x:f>IF($C101="","",IF($AQ101="",TRUE,IF($W101="",FALSE,$W101&lt;=$AQ101)))</x:f>
      </x:c>
      <x:c r="BI101" s="13">
        <x:f>IF($C101="","",IF($AR101="",TRUE,IF($X101="",FALSE,$X101&lt;=$AR101)))</x:f>
      </x:c>
      <x:c r="BJ101" s="15">
        <x:f>IF($C101="","",IF($Y101="",0,$Y101)+IF($AS101,10,0)+IF($AT101,8,0)+IF($AU101,5,0)+IF($AV101,8,0)+IF($AW101,15,0)+IF($AX101,4,0)+IF($AY101,5,0)+IF($AZ101,10,0)+IF($BA101,8,0)+IF($BB101,4,0)+IF($BC101,6,0)+IF($BD101,3,0)+IF($BE101,2,0)+IF($BF101,2,0)+IF($BG101,2,0)+IF($BH101,2,0)+IF($BI101,1,0))</x:f>
      </x:c>
      <x:c r="BK101" s="15">
        <x:f>IF($C101="","",IF(NOT($AS101),1,0)+IF(NOT($AW101),1,0)+IF(NOT($AZ101),1,0)+IF(NOT($BA101),1,0)+IF(NOT($BB101),1,0)+IF(NOT($BC101),1,0))</x:f>
      </x:c>
      <x:c r="BL101" s="13">
        <x:f>IF($C101="","",IF($BK101&gt;0,"REJECT",IF(COUNTIF($AS101:$BI101,FALSE)=0,"ACCEPT",IF($BJ101&gt;=85,"ACCEPT WITH SORTING / DISCOUNT","REJECT"))))</x:f>
      </x:c>
    </x:row>
    <x:row r="102" ht="24" customHeight="1">
      <x:c r="A102" s="10" t="n"/>
      <x:c r="B102" s="11" t="n"/>
      <x:c r="C102" s="11" t="n"/>
      <x:c r="D102" s="11" t="n"/>
      <x:c r="E102" s="11" t="n"/>
      <x:c r="F102" s="11" t="n"/>
      <x:c r="G102" s="11" t="n"/>
      <x:c r="H102" s="11" t="n"/>
      <x:c r="I102" s="12" t="n"/>
      <x:c r="J102" s="12" t="n"/>
      <x:c r="K102" s="12" t="n"/>
      <x:c r="L102" s="12" t="n"/>
      <x:c r="M102" s="12" t="n"/>
      <x:c r="N102" s="12" t="n"/>
      <x:c r="O102" s="12" t="n"/>
      <x:c r="P102" s="11" t="n"/>
      <x:c r="Q102" s="11" t="n"/>
      <x:c r="R102" s="11" t="n"/>
      <x:c r="S102" s="11" t="n"/>
      <x:c r="T102" s="11" t="n"/>
      <x:c r="U102" s="12" t="n"/>
      <x:c r="V102" s="12" t="n"/>
      <x:c r="W102" s="12" t="n"/>
      <x:c r="X102" s="12" t="n"/>
      <x:c r="Y102" s="12" t="n"/>
      <x:c r="Z102" s="13">
        <x:f>IF($C102="","",VLOOKUP($C102,Config!$A$2:$Y$4,2,FALSE))</x:f>
      </x:c>
      <x:c r="AA102" s="13">
        <x:f>IF($C102="","",VLOOKUP($C102,Config!$A$2:$Y$4,5,FALSE))</x:f>
      </x:c>
      <x:c r="AB102" s="14">
        <x:f>IF($C102="","",VLOOKUP($C102,Config!$A$2:$Y$4,7,FALSE))</x:f>
      </x:c>
      <x:c r="AC102" s="14">
        <x:f>IF($C102="","",VLOOKUP($C102,Config!$A$2:$Y$4,8,FALSE))</x:f>
      </x:c>
      <x:c r="AD102" s="14">
        <x:f>IF($C102="","",VLOOKUP($C102,Config!$A$2:$Y$4,9,FALSE))</x:f>
      </x:c>
      <x:c r="AE102" s="14">
        <x:f>IF($C102="","",VLOOKUP($C102,Config!$A$2:$Y$4,10,FALSE))</x:f>
      </x:c>
      <x:c r="AF102" s="14">
        <x:f>IF($C102="","",VLOOKUP($C102,Config!$A$2:$Y$4,11,FALSE))</x:f>
      </x:c>
      <x:c r="AG102" s="14">
        <x:f>IF($C102="","",VLOOKUP($C102,Config!$A$2:$Y$4,12,FALSE))</x:f>
      </x:c>
      <x:c r="AH102" s="14">
        <x:f>IF($C102="","",VLOOKUP($C102,Config!$A$2:$Y$4,13,FALSE))</x:f>
      </x:c>
      <x:c r="AI102" s="14">
        <x:f>IF($C102="","",VLOOKUP($C102,Config!$A$2:$Y$4,14,FALSE))</x:f>
      </x:c>
      <x:c r="AJ102" s="14">
        <x:f>IF($C102="","",VLOOKUP($C102,Config!$A$2:$Y$4,15,FALSE))</x:f>
      </x:c>
      <x:c r="AK102" s="14">
        <x:f>IF($C102="","",VLOOKUP($C102,Config!$A$2:$Y$4,16,FALSE))</x:f>
      </x:c>
      <x:c r="AL102" s="14">
        <x:f>IF($C102="","",VLOOKUP($C102,Config!$A$2:$Y$4,17,FALSE))</x:f>
      </x:c>
      <x:c r="AM102" s="14">
        <x:f>IF($C102="","",VLOOKUP($C102,Config!$A$2:$Y$4,18,FALSE))</x:f>
      </x:c>
      <x:c r="AN102" s="14">
        <x:f>IF($C102="","",VLOOKUP($C102,Config!$A$2:$Y$4,19,FALSE))</x:f>
      </x:c>
      <x:c r="AO102" s="14">
        <x:f>IF($C102="","",VLOOKUP($C102,Config!$A$2:$Y$4,20,FALSE))</x:f>
      </x:c>
      <x:c r="AP102" s="14">
        <x:f>IF($C102="","",VLOOKUP($C102,Config!$A$2:$Y$4,21,FALSE))</x:f>
      </x:c>
      <x:c r="AQ102" s="14">
        <x:f>IF($C102="","",VLOOKUP($C102,Config!$A$2:$Y$4,22,FALSE))</x:f>
      </x:c>
      <x:c r="AR102" s="14">
        <x:f>IF($C102="","",VLOOKUP($C102,Config!$A$2:$Y$4,23,FALSE))</x:f>
      </x:c>
      <x:c r="AS102" s="13">
        <x:f>IF($C102="","",IF($H102="Extra",3,IF($H102="I",2,IF($H102="II",1,0)))&gt;=IF($AA102="Extra",3,IF($AA102="I",2,IF($AA102="II",1,0))))</x:f>
      </x:c>
      <x:c r="AT102" s="13">
        <x:f>IF($C102="","",IF($I102="",FALSE,$I102&gt;=$AB102))</x:f>
      </x:c>
      <x:c r="AU102" s="13">
        <x:f>IF($C102="","",IF($AC102="",TRUE,IF($J102="",FALSE,$J102&lt;=$AC102)))</x:f>
      </x:c>
      <x:c r="AV102" s="13">
        <x:f>IF($C102="","",IF($AD102="",TRUE,IF($K102="",FALSE,$K102&lt;=$AD102)))</x:f>
      </x:c>
      <x:c r="AW102" s="13">
        <x:f>IF($C102="","",IF($AE102="",TRUE,IF($L102="",FALSE,$L102&lt;=$AE102)))</x:f>
      </x:c>
      <x:c r="AX102" s="13">
        <x:f>IF($C102="","",IF($AF102="",TRUE,IF($M102="",FALSE,$M102&lt;=$AF102)))</x:f>
      </x:c>
      <x:c r="AY102" s="13">
        <x:f>IF($C102="","",IF($AG102="",TRUE,IF($N102="",FALSE,$N102&gt;=$AG102)))</x:f>
      </x:c>
      <x:c r="AZ102" s="13">
        <x:f>IF($C102="","",IF(OR($AH102="",$AI102=""),TRUE,IF($O102="",FALSE,AND($O102&gt;=$AH102,$O102&lt;=$AI102))))</x:f>
      </x:c>
      <x:c r="BA102" s="13">
        <x:f>IF($C102="","",IF($AJ102="Y",$P102="Y",TRUE))</x:f>
      </x:c>
      <x:c r="BB102" s="13">
        <x:f>IF($C102="","",IF($AK102="Y",$Q102="Y",TRUE))</x:f>
      </x:c>
      <x:c r="BC102" s="13">
        <x:f>IF($C102="","",IF($AL102="Y",$R102="Y",TRUE))</x:f>
      </x:c>
      <x:c r="BD102" s="13">
        <x:f>IF($C102="","",IF($AM102="Y",$S102="Y",TRUE))</x:f>
      </x:c>
      <x:c r="BE102" s="13">
        <x:f>IF($C102="","",IF($AN102="Y",$T102="Y",TRUE))</x:f>
      </x:c>
      <x:c r="BF102" s="13">
        <x:f>IF($C102="","",IF($AO102="",TRUE,IF($U102="",FALSE,$U102&lt;=$AO102)))</x:f>
      </x:c>
      <x:c r="BG102" s="13">
        <x:f>IF($C102="","",IF($AP102="",TRUE,IF($V102="",FALSE,$V102&lt;=$AP102)))</x:f>
      </x:c>
      <x:c r="BH102" s="13">
        <x:f>IF($C102="","",IF($AQ102="",TRUE,IF($W102="",FALSE,$W102&lt;=$AQ102)))</x:f>
      </x:c>
      <x:c r="BI102" s="13">
        <x:f>IF($C102="","",IF($AR102="",TRUE,IF($X102="",FALSE,$X102&lt;=$AR102)))</x:f>
      </x:c>
      <x:c r="BJ102" s="15">
        <x:f>IF($C102="","",IF($Y102="",0,$Y102)+IF($AS102,10,0)+IF($AT102,8,0)+IF($AU102,5,0)+IF($AV102,8,0)+IF($AW102,15,0)+IF($AX102,4,0)+IF($AY102,5,0)+IF($AZ102,10,0)+IF($BA102,8,0)+IF($BB102,4,0)+IF($BC102,6,0)+IF($BD102,3,0)+IF($BE102,2,0)+IF($BF102,2,0)+IF($BG102,2,0)+IF($BH102,2,0)+IF($BI102,1,0))</x:f>
      </x:c>
      <x:c r="BK102" s="15">
        <x:f>IF($C102="","",IF(NOT($AS102),1,0)+IF(NOT($AW102),1,0)+IF(NOT($AZ102),1,0)+IF(NOT($BA102),1,0)+IF(NOT($BB102),1,0)+IF(NOT($BC102),1,0))</x:f>
      </x:c>
      <x:c r="BL102" s="13">
        <x:f>IF($C102="","",IF($BK102&gt;0,"REJECT",IF(COUNTIF($AS102:$BI102,FALSE)=0,"ACCEPT",IF($BJ102&gt;=85,"ACCEPT WITH SORTING / DISCOUNT","REJECT"))))</x:f>
      </x:c>
    </x:row>
    <x:row r="103" ht="24" customHeight="1">
      <x:c r="A103" s="10" t="n"/>
      <x:c r="B103" s="11" t="n"/>
      <x:c r="C103" s="11" t="n"/>
      <x:c r="D103" s="11" t="n"/>
      <x:c r="E103" s="11" t="n"/>
      <x:c r="F103" s="11" t="n"/>
      <x:c r="G103" s="11" t="n"/>
      <x:c r="H103" s="11" t="n"/>
      <x:c r="I103" s="12" t="n"/>
      <x:c r="J103" s="12" t="n"/>
      <x:c r="K103" s="12" t="n"/>
      <x:c r="L103" s="12" t="n"/>
      <x:c r="M103" s="12" t="n"/>
      <x:c r="N103" s="12" t="n"/>
      <x:c r="O103" s="12" t="n"/>
      <x:c r="P103" s="11" t="n"/>
      <x:c r="Q103" s="11" t="n"/>
      <x:c r="R103" s="11" t="n"/>
      <x:c r="S103" s="11" t="n"/>
      <x:c r="T103" s="11" t="n"/>
      <x:c r="U103" s="12" t="n"/>
      <x:c r="V103" s="12" t="n"/>
      <x:c r="W103" s="12" t="n"/>
      <x:c r="X103" s="12" t="n"/>
      <x:c r="Y103" s="12" t="n"/>
      <x:c r="Z103" s="13">
        <x:f>IF($C103="","",VLOOKUP($C103,Config!$A$2:$Y$4,2,FALSE))</x:f>
      </x:c>
      <x:c r="AA103" s="13">
        <x:f>IF($C103="","",VLOOKUP($C103,Config!$A$2:$Y$4,5,FALSE))</x:f>
      </x:c>
      <x:c r="AB103" s="14">
        <x:f>IF($C103="","",VLOOKUP($C103,Config!$A$2:$Y$4,7,FALSE))</x:f>
      </x:c>
      <x:c r="AC103" s="14">
        <x:f>IF($C103="","",VLOOKUP($C103,Config!$A$2:$Y$4,8,FALSE))</x:f>
      </x:c>
      <x:c r="AD103" s="14">
        <x:f>IF($C103="","",VLOOKUP($C103,Config!$A$2:$Y$4,9,FALSE))</x:f>
      </x:c>
      <x:c r="AE103" s="14">
        <x:f>IF($C103="","",VLOOKUP($C103,Config!$A$2:$Y$4,10,FALSE))</x:f>
      </x:c>
      <x:c r="AF103" s="14">
        <x:f>IF($C103="","",VLOOKUP($C103,Config!$A$2:$Y$4,11,FALSE))</x:f>
      </x:c>
      <x:c r="AG103" s="14">
        <x:f>IF($C103="","",VLOOKUP($C103,Config!$A$2:$Y$4,12,FALSE))</x:f>
      </x:c>
      <x:c r="AH103" s="14">
        <x:f>IF($C103="","",VLOOKUP($C103,Config!$A$2:$Y$4,13,FALSE))</x:f>
      </x:c>
      <x:c r="AI103" s="14">
        <x:f>IF($C103="","",VLOOKUP($C103,Config!$A$2:$Y$4,14,FALSE))</x:f>
      </x:c>
      <x:c r="AJ103" s="14">
        <x:f>IF($C103="","",VLOOKUP($C103,Config!$A$2:$Y$4,15,FALSE))</x:f>
      </x:c>
      <x:c r="AK103" s="14">
        <x:f>IF($C103="","",VLOOKUP($C103,Config!$A$2:$Y$4,16,FALSE))</x:f>
      </x:c>
      <x:c r="AL103" s="14">
        <x:f>IF($C103="","",VLOOKUP($C103,Config!$A$2:$Y$4,17,FALSE))</x:f>
      </x:c>
      <x:c r="AM103" s="14">
        <x:f>IF($C103="","",VLOOKUP($C103,Config!$A$2:$Y$4,18,FALSE))</x:f>
      </x:c>
      <x:c r="AN103" s="14">
        <x:f>IF($C103="","",VLOOKUP($C103,Config!$A$2:$Y$4,19,FALSE))</x:f>
      </x:c>
      <x:c r="AO103" s="14">
        <x:f>IF($C103="","",VLOOKUP($C103,Config!$A$2:$Y$4,20,FALSE))</x:f>
      </x:c>
      <x:c r="AP103" s="14">
        <x:f>IF($C103="","",VLOOKUP($C103,Config!$A$2:$Y$4,21,FALSE))</x:f>
      </x:c>
      <x:c r="AQ103" s="14">
        <x:f>IF($C103="","",VLOOKUP($C103,Config!$A$2:$Y$4,22,FALSE))</x:f>
      </x:c>
      <x:c r="AR103" s="14">
        <x:f>IF($C103="","",VLOOKUP($C103,Config!$A$2:$Y$4,23,FALSE))</x:f>
      </x:c>
      <x:c r="AS103" s="13">
        <x:f>IF($C103="","",IF($H103="Extra",3,IF($H103="I",2,IF($H103="II",1,0)))&gt;=IF($AA103="Extra",3,IF($AA103="I",2,IF($AA103="II",1,0))))</x:f>
      </x:c>
      <x:c r="AT103" s="13">
        <x:f>IF($C103="","",IF($I103="",FALSE,$I103&gt;=$AB103))</x:f>
      </x:c>
      <x:c r="AU103" s="13">
        <x:f>IF($C103="","",IF($AC103="",TRUE,IF($J103="",FALSE,$J103&lt;=$AC103)))</x:f>
      </x:c>
      <x:c r="AV103" s="13">
        <x:f>IF($C103="","",IF($AD103="",TRUE,IF($K103="",FALSE,$K103&lt;=$AD103)))</x:f>
      </x:c>
      <x:c r="AW103" s="13">
        <x:f>IF($C103="","",IF($AE103="",TRUE,IF($L103="",FALSE,$L103&lt;=$AE103)))</x:f>
      </x:c>
      <x:c r="AX103" s="13">
        <x:f>IF($C103="","",IF($AF103="",TRUE,IF($M103="",FALSE,$M103&lt;=$AF103)))</x:f>
      </x:c>
      <x:c r="AY103" s="13">
        <x:f>IF($C103="","",IF($AG103="",TRUE,IF($N103="",FALSE,$N103&gt;=$AG103)))</x:f>
      </x:c>
      <x:c r="AZ103" s="13">
        <x:f>IF($C103="","",IF(OR($AH103="",$AI103=""),TRUE,IF($O103="",FALSE,AND($O103&gt;=$AH103,$O103&lt;=$AI103))))</x:f>
      </x:c>
      <x:c r="BA103" s="13">
        <x:f>IF($C103="","",IF($AJ103="Y",$P103="Y",TRUE))</x:f>
      </x:c>
      <x:c r="BB103" s="13">
        <x:f>IF($C103="","",IF($AK103="Y",$Q103="Y",TRUE))</x:f>
      </x:c>
      <x:c r="BC103" s="13">
        <x:f>IF($C103="","",IF($AL103="Y",$R103="Y",TRUE))</x:f>
      </x:c>
      <x:c r="BD103" s="13">
        <x:f>IF($C103="","",IF($AM103="Y",$S103="Y",TRUE))</x:f>
      </x:c>
      <x:c r="BE103" s="13">
        <x:f>IF($C103="","",IF($AN103="Y",$T103="Y",TRUE))</x:f>
      </x:c>
      <x:c r="BF103" s="13">
        <x:f>IF($C103="","",IF($AO103="",TRUE,IF($U103="",FALSE,$U103&lt;=$AO103)))</x:f>
      </x:c>
      <x:c r="BG103" s="13">
        <x:f>IF($C103="","",IF($AP103="",TRUE,IF($V103="",FALSE,$V103&lt;=$AP103)))</x:f>
      </x:c>
      <x:c r="BH103" s="13">
        <x:f>IF($C103="","",IF($AQ103="",TRUE,IF($W103="",FALSE,$W103&lt;=$AQ103)))</x:f>
      </x:c>
      <x:c r="BI103" s="13">
        <x:f>IF($C103="","",IF($AR103="",TRUE,IF($X103="",FALSE,$X103&lt;=$AR103)))</x:f>
      </x:c>
      <x:c r="BJ103" s="15">
        <x:f>IF($C103="","",IF($Y103="",0,$Y103)+IF($AS103,10,0)+IF($AT103,8,0)+IF($AU103,5,0)+IF($AV103,8,0)+IF($AW103,15,0)+IF($AX103,4,0)+IF($AY103,5,0)+IF($AZ103,10,0)+IF($BA103,8,0)+IF($BB103,4,0)+IF($BC103,6,0)+IF($BD103,3,0)+IF($BE103,2,0)+IF($BF103,2,0)+IF($BG103,2,0)+IF($BH103,2,0)+IF($BI103,1,0))</x:f>
      </x:c>
      <x:c r="BK103" s="15">
        <x:f>IF($C103="","",IF(NOT($AS103),1,0)+IF(NOT($AW103),1,0)+IF(NOT($AZ103),1,0)+IF(NOT($BA103),1,0)+IF(NOT($BB103),1,0)+IF(NOT($BC103),1,0))</x:f>
      </x:c>
      <x:c r="BL103" s="13">
        <x:f>IF($C103="","",IF($BK103&gt;0,"REJECT",IF(COUNTIF($AS103:$BI103,FALSE)=0,"ACCEPT",IF($BJ103&gt;=85,"ACCEPT WITH SORTING / DISCOUNT","REJECT"))))</x:f>
      </x:c>
    </x:row>
    <x:row r="104" ht="24" customHeight="1">
      <x:c r="A104" s="10" t="n"/>
      <x:c r="B104" s="11" t="n"/>
      <x:c r="C104" s="11" t="n"/>
      <x:c r="D104" s="11" t="n"/>
      <x:c r="E104" s="11" t="n"/>
      <x:c r="F104" s="11" t="n"/>
      <x:c r="G104" s="11" t="n"/>
      <x:c r="H104" s="11" t="n"/>
      <x:c r="I104" s="12" t="n"/>
      <x:c r="J104" s="12" t="n"/>
      <x:c r="K104" s="12" t="n"/>
      <x:c r="L104" s="12" t="n"/>
      <x:c r="M104" s="12" t="n"/>
      <x:c r="N104" s="12" t="n"/>
      <x:c r="O104" s="12" t="n"/>
      <x:c r="P104" s="11" t="n"/>
      <x:c r="Q104" s="11" t="n"/>
      <x:c r="R104" s="11" t="n"/>
      <x:c r="S104" s="11" t="n"/>
      <x:c r="T104" s="11" t="n"/>
      <x:c r="U104" s="12" t="n"/>
      <x:c r="V104" s="12" t="n"/>
      <x:c r="W104" s="12" t="n"/>
      <x:c r="X104" s="12" t="n"/>
      <x:c r="Y104" s="12" t="n"/>
      <x:c r="Z104" s="13">
        <x:f>IF($C104="","",VLOOKUP($C104,Config!$A$2:$Y$4,2,FALSE))</x:f>
      </x:c>
      <x:c r="AA104" s="13">
        <x:f>IF($C104="","",VLOOKUP($C104,Config!$A$2:$Y$4,5,FALSE))</x:f>
      </x:c>
      <x:c r="AB104" s="14">
        <x:f>IF($C104="","",VLOOKUP($C104,Config!$A$2:$Y$4,7,FALSE))</x:f>
      </x:c>
      <x:c r="AC104" s="14">
        <x:f>IF($C104="","",VLOOKUP($C104,Config!$A$2:$Y$4,8,FALSE))</x:f>
      </x:c>
      <x:c r="AD104" s="14">
        <x:f>IF($C104="","",VLOOKUP($C104,Config!$A$2:$Y$4,9,FALSE))</x:f>
      </x:c>
      <x:c r="AE104" s="14">
        <x:f>IF($C104="","",VLOOKUP($C104,Config!$A$2:$Y$4,10,FALSE))</x:f>
      </x:c>
      <x:c r="AF104" s="14">
        <x:f>IF($C104="","",VLOOKUP($C104,Config!$A$2:$Y$4,11,FALSE))</x:f>
      </x:c>
      <x:c r="AG104" s="14">
        <x:f>IF($C104="","",VLOOKUP($C104,Config!$A$2:$Y$4,12,FALSE))</x:f>
      </x:c>
      <x:c r="AH104" s="14">
        <x:f>IF($C104="","",VLOOKUP($C104,Config!$A$2:$Y$4,13,FALSE))</x:f>
      </x:c>
      <x:c r="AI104" s="14">
        <x:f>IF($C104="","",VLOOKUP($C104,Config!$A$2:$Y$4,14,FALSE))</x:f>
      </x:c>
      <x:c r="AJ104" s="14">
        <x:f>IF($C104="","",VLOOKUP($C104,Config!$A$2:$Y$4,15,FALSE))</x:f>
      </x:c>
      <x:c r="AK104" s="14">
        <x:f>IF($C104="","",VLOOKUP($C104,Config!$A$2:$Y$4,16,FALSE))</x:f>
      </x:c>
      <x:c r="AL104" s="14">
        <x:f>IF($C104="","",VLOOKUP($C104,Config!$A$2:$Y$4,17,FALSE))</x:f>
      </x:c>
      <x:c r="AM104" s="14">
        <x:f>IF($C104="","",VLOOKUP($C104,Config!$A$2:$Y$4,18,FALSE))</x:f>
      </x:c>
      <x:c r="AN104" s="14">
        <x:f>IF($C104="","",VLOOKUP($C104,Config!$A$2:$Y$4,19,FALSE))</x:f>
      </x:c>
      <x:c r="AO104" s="14">
        <x:f>IF($C104="","",VLOOKUP($C104,Config!$A$2:$Y$4,20,FALSE))</x:f>
      </x:c>
      <x:c r="AP104" s="14">
        <x:f>IF($C104="","",VLOOKUP($C104,Config!$A$2:$Y$4,21,FALSE))</x:f>
      </x:c>
      <x:c r="AQ104" s="14">
        <x:f>IF($C104="","",VLOOKUP($C104,Config!$A$2:$Y$4,22,FALSE))</x:f>
      </x:c>
      <x:c r="AR104" s="14">
        <x:f>IF($C104="","",VLOOKUP($C104,Config!$A$2:$Y$4,23,FALSE))</x:f>
      </x:c>
      <x:c r="AS104" s="13">
        <x:f>IF($C104="","",IF($H104="Extra",3,IF($H104="I",2,IF($H104="II",1,0)))&gt;=IF($AA104="Extra",3,IF($AA104="I",2,IF($AA104="II",1,0))))</x:f>
      </x:c>
      <x:c r="AT104" s="13">
        <x:f>IF($C104="","",IF($I104="",FALSE,$I104&gt;=$AB104))</x:f>
      </x:c>
      <x:c r="AU104" s="13">
        <x:f>IF($C104="","",IF($AC104="",TRUE,IF($J104="",FALSE,$J104&lt;=$AC104)))</x:f>
      </x:c>
      <x:c r="AV104" s="13">
        <x:f>IF($C104="","",IF($AD104="",TRUE,IF($K104="",FALSE,$K104&lt;=$AD104)))</x:f>
      </x:c>
      <x:c r="AW104" s="13">
        <x:f>IF($C104="","",IF($AE104="",TRUE,IF($L104="",FALSE,$L104&lt;=$AE104)))</x:f>
      </x:c>
      <x:c r="AX104" s="13">
        <x:f>IF($C104="","",IF($AF104="",TRUE,IF($M104="",FALSE,$M104&lt;=$AF104)))</x:f>
      </x:c>
      <x:c r="AY104" s="13">
        <x:f>IF($C104="","",IF($AG104="",TRUE,IF($N104="",FALSE,$N104&gt;=$AG104)))</x:f>
      </x:c>
      <x:c r="AZ104" s="13">
        <x:f>IF($C104="","",IF(OR($AH104="",$AI104=""),TRUE,IF($O104="",FALSE,AND($O104&gt;=$AH104,$O104&lt;=$AI104))))</x:f>
      </x:c>
      <x:c r="BA104" s="13">
        <x:f>IF($C104="","",IF($AJ104="Y",$P104="Y",TRUE))</x:f>
      </x:c>
      <x:c r="BB104" s="13">
        <x:f>IF($C104="","",IF($AK104="Y",$Q104="Y",TRUE))</x:f>
      </x:c>
      <x:c r="BC104" s="13">
        <x:f>IF($C104="","",IF($AL104="Y",$R104="Y",TRUE))</x:f>
      </x:c>
      <x:c r="BD104" s="13">
        <x:f>IF($C104="","",IF($AM104="Y",$S104="Y",TRUE))</x:f>
      </x:c>
      <x:c r="BE104" s="13">
        <x:f>IF($C104="","",IF($AN104="Y",$T104="Y",TRUE))</x:f>
      </x:c>
      <x:c r="BF104" s="13">
        <x:f>IF($C104="","",IF($AO104="",TRUE,IF($U104="",FALSE,$U104&lt;=$AO104)))</x:f>
      </x:c>
      <x:c r="BG104" s="13">
        <x:f>IF($C104="","",IF($AP104="",TRUE,IF($V104="",FALSE,$V104&lt;=$AP104)))</x:f>
      </x:c>
      <x:c r="BH104" s="13">
        <x:f>IF($C104="","",IF($AQ104="",TRUE,IF($W104="",FALSE,$W104&lt;=$AQ104)))</x:f>
      </x:c>
      <x:c r="BI104" s="13">
        <x:f>IF($C104="","",IF($AR104="",TRUE,IF($X104="",FALSE,$X104&lt;=$AR104)))</x:f>
      </x:c>
      <x:c r="BJ104" s="15">
        <x:f>IF($C104="","",IF($Y104="",0,$Y104)+IF($AS104,10,0)+IF($AT104,8,0)+IF($AU104,5,0)+IF($AV104,8,0)+IF($AW104,15,0)+IF($AX104,4,0)+IF($AY104,5,0)+IF($AZ104,10,0)+IF($BA104,8,0)+IF($BB104,4,0)+IF($BC104,6,0)+IF($BD104,3,0)+IF($BE104,2,0)+IF($BF104,2,0)+IF($BG104,2,0)+IF($BH104,2,0)+IF($BI104,1,0))</x:f>
      </x:c>
      <x:c r="BK104" s="15">
        <x:f>IF($C104="","",IF(NOT($AS104),1,0)+IF(NOT($AW104),1,0)+IF(NOT($AZ104),1,0)+IF(NOT($BA104),1,0)+IF(NOT($BB104),1,0)+IF(NOT($BC104),1,0))</x:f>
      </x:c>
      <x:c r="BL104" s="13">
        <x:f>IF($C104="","",IF($BK104&gt;0,"REJECT",IF(COUNTIF($AS104:$BI104,FALSE)=0,"ACCEPT",IF($BJ104&gt;=85,"ACCEPT WITH SORTING / DISCOUNT","REJECT"))))</x:f>
      </x:c>
    </x:row>
    <x:row r="105" ht="24" customHeight="1">
      <x:c r="A105" s="10" t="n"/>
      <x:c r="B105" s="11" t="n"/>
      <x:c r="C105" s="11" t="n"/>
      <x:c r="D105" s="11" t="n"/>
      <x:c r="E105" s="11" t="n"/>
      <x:c r="F105" s="11" t="n"/>
      <x:c r="G105" s="11" t="n"/>
      <x:c r="H105" s="11" t="n"/>
      <x:c r="I105" s="12" t="n"/>
      <x:c r="J105" s="12" t="n"/>
      <x:c r="K105" s="12" t="n"/>
      <x:c r="L105" s="12" t="n"/>
      <x:c r="M105" s="12" t="n"/>
      <x:c r="N105" s="12" t="n"/>
      <x:c r="O105" s="12" t="n"/>
      <x:c r="P105" s="11" t="n"/>
      <x:c r="Q105" s="11" t="n"/>
      <x:c r="R105" s="11" t="n"/>
      <x:c r="S105" s="11" t="n"/>
      <x:c r="T105" s="11" t="n"/>
      <x:c r="U105" s="12" t="n"/>
      <x:c r="V105" s="12" t="n"/>
      <x:c r="W105" s="12" t="n"/>
      <x:c r="X105" s="12" t="n"/>
      <x:c r="Y105" s="12" t="n"/>
      <x:c r="Z105" s="13">
        <x:f>IF($C105="","",VLOOKUP($C105,Config!$A$2:$Y$4,2,FALSE))</x:f>
      </x:c>
      <x:c r="AA105" s="13">
        <x:f>IF($C105="","",VLOOKUP($C105,Config!$A$2:$Y$4,5,FALSE))</x:f>
      </x:c>
      <x:c r="AB105" s="14">
        <x:f>IF($C105="","",VLOOKUP($C105,Config!$A$2:$Y$4,7,FALSE))</x:f>
      </x:c>
      <x:c r="AC105" s="14">
        <x:f>IF($C105="","",VLOOKUP($C105,Config!$A$2:$Y$4,8,FALSE))</x:f>
      </x:c>
      <x:c r="AD105" s="14">
        <x:f>IF($C105="","",VLOOKUP($C105,Config!$A$2:$Y$4,9,FALSE))</x:f>
      </x:c>
      <x:c r="AE105" s="14">
        <x:f>IF($C105="","",VLOOKUP($C105,Config!$A$2:$Y$4,10,FALSE))</x:f>
      </x:c>
      <x:c r="AF105" s="14">
        <x:f>IF($C105="","",VLOOKUP($C105,Config!$A$2:$Y$4,11,FALSE))</x:f>
      </x:c>
      <x:c r="AG105" s="14">
        <x:f>IF($C105="","",VLOOKUP($C105,Config!$A$2:$Y$4,12,FALSE))</x:f>
      </x:c>
      <x:c r="AH105" s="14">
        <x:f>IF($C105="","",VLOOKUP($C105,Config!$A$2:$Y$4,13,FALSE))</x:f>
      </x:c>
      <x:c r="AI105" s="14">
        <x:f>IF($C105="","",VLOOKUP($C105,Config!$A$2:$Y$4,14,FALSE))</x:f>
      </x:c>
      <x:c r="AJ105" s="14">
        <x:f>IF($C105="","",VLOOKUP($C105,Config!$A$2:$Y$4,15,FALSE))</x:f>
      </x:c>
      <x:c r="AK105" s="14">
        <x:f>IF($C105="","",VLOOKUP($C105,Config!$A$2:$Y$4,16,FALSE))</x:f>
      </x:c>
      <x:c r="AL105" s="14">
        <x:f>IF($C105="","",VLOOKUP($C105,Config!$A$2:$Y$4,17,FALSE))</x:f>
      </x:c>
      <x:c r="AM105" s="14">
        <x:f>IF($C105="","",VLOOKUP($C105,Config!$A$2:$Y$4,18,FALSE))</x:f>
      </x:c>
      <x:c r="AN105" s="14">
        <x:f>IF($C105="","",VLOOKUP($C105,Config!$A$2:$Y$4,19,FALSE))</x:f>
      </x:c>
      <x:c r="AO105" s="14">
        <x:f>IF($C105="","",VLOOKUP($C105,Config!$A$2:$Y$4,20,FALSE))</x:f>
      </x:c>
      <x:c r="AP105" s="14">
        <x:f>IF($C105="","",VLOOKUP($C105,Config!$A$2:$Y$4,21,FALSE))</x:f>
      </x:c>
      <x:c r="AQ105" s="14">
        <x:f>IF($C105="","",VLOOKUP($C105,Config!$A$2:$Y$4,22,FALSE))</x:f>
      </x:c>
      <x:c r="AR105" s="14">
        <x:f>IF($C105="","",VLOOKUP($C105,Config!$A$2:$Y$4,23,FALSE))</x:f>
      </x:c>
      <x:c r="AS105" s="13">
        <x:f>IF($C105="","",IF($H105="Extra",3,IF($H105="I",2,IF($H105="II",1,0)))&gt;=IF($AA105="Extra",3,IF($AA105="I",2,IF($AA105="II",1,0))))</x:f>
      </x:c>
      <x:c r="AT105" s="13">
        <x:f>IF($C105="","",IF($I105="",FALSE,$I105&gt;=$AB105))</x:f>
      </x:c>
      <x:c r="AU105" s="13">
        <x:f>IF($C105="","",IF($AC105="",TRUE,IF($J105="",FALSE,$J105&lt;=$AC105)))</x:f>
      </x:c>
      <x:c r="AV105" s="13">
        <x:f>IF($C105="","",IF($AD105="",TRUE,IF($K105="",FALSE,$K105&lt;=$AD105)))</x:f>
      </x:c>
      <x:c r="AW105" s="13">
        <x:f>IF($C105="","",IF($AE105="",TRUE,IF($L105="",FALSE,$L105&lt;=$AE105)))</x:f>
      </x:c>
      <x:c r="AX105" s="13">
        <x:f>IF($C105="","",IF($AF105="",TRUE,IF($M105="",FALSE,$M105&lt;=$AF105)))</x:f>
      </x:c>
      <x:c r="AY105" s="13">
        <x:f>IF($C105="","",IF($AG105="",TRUE,IF($N105="",FALSE,$N105&gt;=$AG105)))</x:f>
      </x:c>
      <x:c r="AZ105" s="13">
        <x:f>IF($C105="","",IF(OR($AH105="",$AI105=""),TRUE,IF($O105="",FALSE,AND($O105&gt;=$AH105,$O105&lt;=$AI105))))</x:f>
      </x:c>
      <x:c r="BA105" s="13">
        <x:f>IF($C105="","",IF($AJ105="Y",$P105="Y",TRUE))</x:f>
      </x:c>
      <x:c r="BB105" s="13">
        <x:f>IF($C105="","",IF($AK105="Y",$Q105="Y",TRUE))</x:f>
      </x:c>
      <x:c r="BC105" s="13">
        <x:f>IF($C105="","",IF($AL105="Y",$R105="Y",TRUE))</x:f>
      </x:c>
      <x:c r="BD105" s="13">
        <x:f>IF($C105="","",IF($AM105="Y",$S105="Y",TRUE))</x:f>
      </x:c>
      <x:c r="BE105" s="13">
        <x:f>IF($C105="","",IF($AN105="Y",$T105="Y",TRUE))</x:f>
      </x:c>
      <x:c r="BF105" s="13">
        <x:f>IF($C105="","",IF($AO105="",TRUE,IF($U105="",FALSE,$U105&lt;=$AO105)))</x:f>
      </x:c>
      <x:c r="BG105" s="13">
        <x:f>IF($C105="","",IF($AP105="",TRUE,IF($V105="",FALSE,$V105&lt;=$AP105)))</x:f>
      </x:c>
      <x:c r="BH105" s="13">
        <x:f>IF($C105="","",IF($AQ105="",TRUE,IF($W105="",FALSE,$W105&lt;=$AQ105)))</x:f>
      </x:c>
      <x:c r="BI105" s="13">
        <x:f>IF($C105="","",IF($AR105="",TRUE,IF($X105="",FALSE,$X105&lt;=$AR105)))</x:f>
      </x:c>
      <x:c r="BJ105" s="15">
        <x:f>IF($C105="","",IF($Y105="",0,$Y105)+IF($AS105,10,0)+IF($AT105,8,0)+IF($AU105,5,0)+IF($AV105,8,0)+IF($AW105,15,0)+IF($AX105,4,0)+IF($AY105,5,0)+IF($AZ105,10,0)+IF($BA105,8,0)+IF($BB105,4,0)+IF($BC105,6,0)+IF($BD105,3,0)+IF($BE105,2,0)+IF($BF105,2,0)+IF($BG105,2,0)+IF($BH105,2,0)+IF($BI105,1,0))</x:f>
      </x:c>
      <x:c r="BK105" s="15">
        <x:f>IF($C105="","",IF(NOT($AS105),1,0)+IF(NOT($AW105),1,0)+IF(NOT($AZ105),1,0)+IF(NOT($BA105),1,0)+IF(NOT($BB105),1,0)+IF(NOT($BC105),1,0))</x:f>
      </x:c>
      <x:c r="BL105" s="13">
        <x:f>IF($C105="","",IF($BK105&gt;0,"REJECT",IF(COUNTIF($AS105:$BI105,FALSE)=0,"ACCEPT",IF($BJ105&gt;=85,"ACCEPT WITH SORTING / DISCOUNT","REJECT"))))</x:f>
      </x:c>
    </x:row>
    <x:row r="106" ht="24" customHeight="1">
      <x:c r="A106" s="10" t="n"/>
      <x:c r="B106" s="11" t="n"/>
      <x:c r="C106" s="11" t="n"/>
      <x:c r="D106" s="11" t="n"/>
      <x:c r="E106" s="11" t="n"/>
      <x:c r="F106" s="11" t="n"/>
      <x:c r="G106" s="11" t="n"/>
      <x:c r="H106" s="11" t="n"/>
      <x:c r="I106" s="12" t="n"/>
      <x:c r="J106" s="12" t="n"/>
      <x:c r="K106" s="12" t="n"/>
      <x:c r="L106" s="12" t="n"/>
      <x:c r="M106" s="12" t="n"/>
      <x:c r="N106" s="12" t="n"/>
      <x:c r="O106" s="12" t="n"/>
      <x:c r="P106" s="11" t="n"/>
      <x:c r="Q106" s="11" t="n"/>
      <x:c r="R106" s="11" t="n"/>
      <x:c r="S106" s="11" t="n"/>
      <x:c r="T106" s="11" t="n"/>
      <x:c r="U106" s="12" t="n"/>
      <x:c r="V106" s="12" t="n"/>
      <x:c r="W106" s="12" t="n"/>
      <x:c r="X106" s="12" t="n"/>
      <x:c r="Y106" s="12" t="n"/>
      <x:c r="Z106" s="13">
        <x:f>IF($C106="","",VLOOKUP($C106,Config!$A$2:$Y$4,2,FALSE))</x:f>
      </x:c>
      <x:c r="AA106" s="13">
        <x:f>IF($C106="","",VLOOKUP($C106,Config!$A$2:$Y$4,5,FALSE))</x:f>
      </x:c>
      <x:c r="AB106" s="14">
        <x:f>IF($C106="","",VLOOKUP($C106,Config!$A$2:$Y$4,7,FALSE))</x:f>
      </x:c>
      <x:c r="AC106" s="14">
        <x:f>IF($C106="","",VLOOKUP($C106,Config!$A$2:$Y$4,8,FALSE))</x:f>
      </x:c>
      <x:c r="AD106" s="14">
        <x:f>IF($C106="","",VLOOKUP($C106,Config!$A$2:$Y$4,9,FALSE))</x:f>
      </x:c>
      <x:c r="AE106" s="14">
        <x:f>IF($C106="","",VLOOKUP($C106,Config!$A$2:$Y$4,10,FALSE))</x:f>
      </x:c>
      <x:c r="AF106" s="14">
        <x:f>IF($C106="","",VLOOKUP($C106,Config!$A$2:$Y$4,11,FALSE))</x:f>
      </x:c>
      <x:c r="AG106" s="14">
        <x:f>IF($C106="","",VLOOKUP($C106,Config!$A$2:$Y$4,12,FALSE))</x:f>
      </x:c>
      <x:c r="AH106" s="14">
        <x:f>IF($C106="","",VLOOKUP($C106,Config!$A$2:$Y$4,13,FALSE))</x:f>
      </x:c>
      <x:c r="AI106" s="14">
        <x:f>IF($C106="","",VLOOKUP($C106,Config!$A$2:$Y$4,14,FALSE))</x:f>
      </x:c>
      <x:c r="AJ106" s="14">
        <x:f>IF($C106="","",VLOOKUP($C106,Config!$A$2:$Y$4,15,FALSE))</x:f>
      </x:c>
      <x:c r="AK106" s="14">
        <x:f>IF($C106="","",VLOOKUP($C106,Config!$A$2:$Y$4,16,FALSE))</x:f>
      </x:c>
      <x:c r="AL106" s="14">
        <x:f>IF($C106="","",VLOOKUP($C106,Config!$A$2:$Y$4,17,FALSE))</x:f>
      </x:c>
      <x:c r="AM106" s="14">
        <x:f>IF($C106="","",VLOOKUP($C106,Config!$A$2:$Y$4,18,FALSE))</x:f>
      </x:c>
      <x:c r="AN106" s="14">
        <x:f>IF($C106="","",VLOOKUP($C106,Config!$A$2:$Y$4,19,FALSE))</x:f>
      </x:c>
      <x:c r="AO106" s="14">
        <x:f>IF($C106="","",VLOOKUP($C106,Config!$A$2:$Y$4,20,FALSE))</x:f>
      </x:c>
      <x:c r="AP106" s="14">
        <x:f>IF($C106="","",VLOOKUP($C106,Config!$A$2:$Y$4,21,FALSE))</x:f>
      </x:c>
      <x:c r="AQ106" s="14">
        <x:f>IF($C106="","",VLOOKUP($C106,Config!$A$2:$Y$4,22,FALSE))</x:f>
      </x:c>
      <x:c r="AR106" s="14">
        <x:f>IF($C106="","",VLOOKUP($C106,Config!$A$2:$Y$4,23,FALSE))</x:f>
      </x:c>
      <x:c r="AS106" s="13">
        <x:f>IF($C106="","",IF($H106="Extra",3,IF($H106="I",2,IF($H106="II",1,0)))&gt;=IF($AA106="Extra",3,IF($AA106="I",2,IF($AA106="II",1,0))))</x:f>
      </x:c>
      <x:c r="AT106" s="13">
        <x:f>IF($C106="","",IF($I106="",FALSE,$I106&gt;=$AB106))</x:f>
      </x:c>
      <x:c r="AU106" s="13">
        <x:f>IF($C106="","",IF($AC106="",TRUE,IF($J106="",FALSE,$J106&lt;=$AC106)))</x:f>
      </x:c>
      <x:c r="AV106" s="13">
        <x:f>IF($C106="","",IF($AD106="",TRUE,IF($K106="",FALSE,$K106&lt;=$AD106)))</x:f>
      </x:c>
      <x:c r="AW106" s="13">
        <x:f>IF($C106="","",IF($AE106="",TRUE,IF($L106="",FALSE,$L106&lt;=$AE106)))</x:f>
      </x:c>
      <x:c r="AX106" s="13">
        <x:f>IF($C106="","",IF($AF106="",TRUE,IF($M106="",FALSE,$M106&lt;=$AF106)))</x:f>
      </x:c>
      <x:c r="AY106" s="13">
        <x:f>IF($C106="","",IF($AG106="",TRUE,IF($N106="",FALSE,$N106&gt;=$AG106)))</x:f>
      </x:c>
      <x:c r="AZ106" s="13">
        <x:f>IF($C106="","",IF(OR($AH106="",$AI106=""),TRUE,IF($O106="",FALSE,AND($O106&gt;=$AH106,$O106&lt;=$AI106))))</x:f>
      </x:c>
      <x:c r="BA106" s="13">
        <x:f>IF($C106="","",IF($AJ106="Y",$P106="Y",TRUE))</x:f>
      </x:c>
      <x:c r="BB106" s="13">
        <x:f>IF($C106="","",IF($AK106="Y",$Q106="Y",TRUE))</x:f>
      </x:c>
      <x:c r="BC106" s="13">
        <x:f>IF($C106="","",IF($AL106="Y",$R106="Y",TRUE))</x:f>
      </x:c>
      <x:c r="BD106" s="13">
        <x:f>IF($C106="","",IF($AM106="Y",$S106="Y",TRUE))</x:f>
      </x:c>
      <x:c r="BE106" s="13">
        <x:f>IF($C106="","",IF($AN106="Y",$T106="Y",TRUE))</x:f>
      </x:c>
      <x:c r="BF106" s="13">
        <x:f>IF($C106="","",IF($AO106="",TRUE,IF($U106="",FALSE,$U106&lt;=$AO106)))</x:f>
      </x:c>
      <x:c r="BG106" s="13">
        <x:f>IF($C106="","",IF($AP106="",TRUE,IF($V106="",FALSE,$V106&lt;=$AP106)))</x:f>
      </x:c>
      <x:c r="BH106" s="13">
        <x:f>IF($C106="","",IF($AQ106="",TRUE,IF($W106="",FALSE,$W106&lt;=$AQ106)))</x:f>
      </x:c>
      <x:c r="BI106" s="13">
        <x:f>IF($C106="","",IF($AR106="",TRUE,IF($X106="",FALSE,$X106&lt;=$AR106)))</x:f>
      </x:c>
      <x:c r="BJ106" s="15">
        <x:f>IF($C106="","",IF($Y106="",0,$Y106)+IF($AS106,10,0)+IF($AT106,8,0)+IF($AU106,5,0)+IF($AV106,8,0)+IF($AW106,15,0)+IF($AX106,4,0)+IF($AY106,5,0)+IF($AZ106,10,0)+IF($BA106,8,0)+IF($BB106,4,0)+IF($BC106,6,0)+IF($BD106,3,0)+IF($BE106,2,0)+IF($BF106,2,0)+IF($BG106,2,0)+IF($BH106,2,0)+IF($BI106,1,0))</x:f>
      </x:c>
      <x:c r="BK106" s="15">
        <x:f>IF($C106="","",IF(NOT($AS106),1,0)+IF(NOT($AW106),1,0)+IF(NOT($AZ106),1,0)+IF(NOT($BA106),1,0)+IF(NOT($BB106),1,0)+IF(NOT($BC106),1,0))</x:f>
      </x:c>
      <x:c r="BL106" s="13">
        <x:f>IF($C106="","",IF($BK106&gt;0,"REJECT",IF(COUNTIF($AS106:$BI106,FALSE)=0,"ACCEPT",IF($BJ106&gt;=85,"ACCEPT WITH SORTING / DISCOUNT","REJECT"))))</x:f>
      </x:c>
    </x:row>
    <x:row r="107" ht="24" customHeight="1">
      <x:c r="A107" s="10" t="n"/>
      <x:c r="B107" s="11" t="n"/>
      <x:c r="C107" s="11" t="n"/>
      <x:c r="D107" s="11" t="n"/>
      <x:c r="E107" s="11" t="n"/>
      <x:c r="F107" s="11" t="n"/>
      <x:c r="G107" s="11" t="n"/>
      <x:c r="H107" s="11" t="n"/>
      <x:c r="I107" s="12" t="n"/>
      <x:c r="J107" s="12" t="n"/>
      <x:c r="K107" s="12" t="n"/>
      <x:c r="L107" s="12" t="n"/>
      <x:c r="M107" s="12" t="n"/>
      <x:c r="N107" s="12" t="n"/>
      <x:c r="O107" s="12" t="n"/>
      <x:c r="P107" s="11" t="n"/>
      <x:c r="Q107" s="11" t="n"/>
      <x:c r="R107" s="11" t="n"/>
      <x:c r="S107" s="11" t="n"/>
      <x:c r="T107" s="11" t="n"/>
      <x:c r="U107" s="12" t="n"/>
      <x:c r="V107" s="12" t="n"/>
      <x:c r="W107" s="12" t="n"/>
      <x:c r="X107" s="12" t="n"/>
      <x:c r="Y107" s="12" t="n"/>
      <x:c r="Z107" s="13">
        <x:f>IF($C107="","",VLOOKUP($C107,Config!$A$2:$Y$4,2,FALSE))</x:f>
      </x:c>
      <x:c r="AA107" s="13">
        <x:f>IF($C107="","",VLOOKUP($C107,Config!$A$2:$Y$4,5,FALSE))</x:f>
      </x:c>
      <x:c r="AB107" s="14">
        <x:f>IF($C107="","",VLOOKUP($C107,Config!$A$2:$Y$4,7,FALSE))</x:f>
      </x:c>
      <x:c r="AC107" s="14">
        <x:f>IF($C107="","",VLOOKUP($C107,Config!$A$2:$Y$4,8,FALSE))</x:f>
      </x:c>
      <x:c r="AD107" s="14">
        <x:f>IF($C107="","",VLOOKUP($C107,Config!$A$2:$Y$4,9,FALSE))</x:f>
      </x:c>
      <x:c r="AE107" s="14">
        <x:f>IF($C107="","",VLOOKUP($C107,Config!$A$2:$Y$4,10,FALSE))</x:f>
      </x:c>
      <x:c r="AF107" s="14">
        <x:f>IF($C107="","",VLOOKUP($C107,Config!$A$2:$Y$4,11,FALSE))</x:f>
      </x:c>
      <x:c r="AG107" s="14">
        <x:f>IF($C107="","",VLOOKUP($C107,Config!$A$2:$Y$4,12,FALSE))</x:f>
      </x:c>
      <x:c r="AH107" s="14">
        <x:f>IF($C107="","",VLOOKUP($C107,Config!$A$2:$Y$4,13,FALSE))</x:f>
      </x:c>
      <x:c r="AI107" s="14">
        <x:f>IF($C107="","",VLOOKUP($C107,Config!$A$2:$Y$4,14,FALSE))</x:f>
      </x:c>
      <x:c r="AJ107" s="14">
        <x:f>IF($C107="","",VLOOKUP($C107,Config!$A$2:$Y$4,15,FALSE))</x:f>
      </x:c>
      <x:c r="AK107" s="14">
        <x:f>IF($C107="","",VLOOKUP($C107,Config!$A$2:$Y$4,16,FALSE))</x:f>
      </x:c>
      <x:c r="AL107" s="14">
        <x:f>IF($C107="","",VLOOKUP($C107,Config!$A$2:$Y$4,17,FALSE))</x:f>
      </x:c>
      <x:c r="AM107" s="14">
        <x:f>IF($C107="","",VLOOKUP($C107,Config!$A$2:$Y$4,18,FALSE))</x:f>
      </x:c>
      <x:c r="AN107" s="14">
        <x:f>IF($C107="","",VLOOKUP($C107,Config!$A$2:$Y$4,19,FALSE))</x:f>
      </x:c>
      <x:c r="AO107" s="14">
        <x:f>IF($C107="","",VLOOKUP($C107,Config!$A$2:$Y$4,20,FALSE))</x:f>
      </x:c>
      <x:c r="AP107" s="14">
        <x:f>IF($C107="","",VLOOKUP($C107,Config!$A$2:$Y$4,21,FALSE))</x:f>
      </x:c>
      <x:c r="AQ107" s="14">
        <x:f>IF($C107="","",VLOOKUP($C107,Config!$A$2:$Y$4,22,FALSE))</x:f>
      </x:c>
      <x:c r="AR107" s="14">
        <x:f>IF($C107="","",VLOOKUP($C107,Config!$A$2:$Y$4,23,FALSE))</x:f>
      </x:c>
      <x:c r="AS107" s="13">
        <x:f>IF($C107="","",IF($H107="Extra",3,IF($H107="I",2,IF($H107="II",1,0)))&gt;=IF($AA107="Extra",3,IF($AA107="I",2,IF($AA107="II",1,0))))</x:f>
      </x:c>
      <x:c r="AT107" s="13">
        <x:f>IF($C107="","",IF($I107="",FALSE,$I107&gt;=$AB107))</x:f>
      </x:c>
      <x:c r="AU107" s="13">
        <x:f>IF($C107="","",IF($AC107="",TRUE,IF($J107="",FALSE,$J107&lt;=$AC107)))</x:f>
      </x:c>
      <x:c r="AV107" s="13">
        <x:f>IF($C107="","",IF($AD107="",TRUE,IF($K107="",FALSE,$K107&lt;=$AD107)))</x:f>
      </x:c>
      <x:c r="AW107" s="13">
        <x:f>IF($C107="","",IF($AE107="",TRUE,IF($L107="",FALSE,$L107&lt;=$AE107)))</x:f>
      </x:c>
      <x:c r="AX107" s="13">
        <x:f>IF($C107="","",IF($AF107="",TRUE,IF($M107="",FALSE,$M107&lt;=$AF107)))</x:f>
      </x:c>
      <x:c r="AY107" s="13">
        <x:f>IF($C107="","",IF($AG107="",TRUE,IF($N107="",FALSE,$N107&gt;=$AG107)))</x:f>
      </x:c>
      <x:c r="AZ107" s="13">
        <x:f>IF($C107="","",IF(OR($AH107="",$AI107=""),TRUE,IF($O107="",FALSE,AND($O107&gt;=$AH107,$O107&lt;=$AI107))))</x:f>
      </x:c>
      <x:c r="BA107" s="13">
        <x:f>IF($C107="","",IF($AJ107="Y",$P107="Y",TRUE))</x:f>
      </x:c>
      <x:c r="BB107" s="13">
        <x:f>IF($C107="","",IF($AK107="Y",$Q107="Y",TRUE))</x:f>
      </x:c>
      <x:c r="BC107" s="13">
        <x:f>IF($C107="","",IF($AL107="Y",$R107="Y",TRUE))</x:f>
      </x:c>
      <x:c r="BD107" s="13">
        <x:f>IF($C107="","",IF($AM107="Y",$S107="Y",TRUE))</x:f>
      </x:c>
      <x:c r="BE107" s="13">
        <x:f>IF($C107="","",IF($AN107="Y",$T107="Y",TRUE))</x:f>
      </x:c>
      <x:c r="BF107" s="13">
        <x:f>IF($C107="","",IF($AO107="",TRUE,IF($U107="",FALSE,$U107&lt;=$AO107)))</x:f>
      </x:c>
      <x:c r="BG107" s="13">
        <x:f>IF($C107="","",IF($AP107="",TRUE,IF($V107="",FALSE,$V107&lt;=$AP107)))</x:f>
      </x:c>
      <x:c r="BH107" s="13">
        <x:f>IF($C107="","",IF($AQ107="",TRUE,IF($W107="",FALSE,$W107&lt;=$AQ107)))</x:f>
      </x:c>
      <x:c r="BI107" s="13">
        <x:f>IF($C107="","",IF($AR107="",TRUE,IF($X107="",FALSE,$X107&lt;=$AR107)))</x:f>
      </x:c>
      <x:c r="BJ107" s="15">
        <x:f>IF($C107="","",IF($Y107="",0,$Y107)+IF($AS107,10,0)+IF($AT107,8,0)+IF($AU107,5,0)+IF($AV107,8,0)+IF($AW107,15,0)+IF($AX107,4,0)+IF($AY107,5,0)+IF($AZ107,10,0)+IF($BA107,8,0)+IF($BB107,4,0)+IF($BC107,6,0)+IF($BD107,3,0)+IF($BE107,2,0)+IF($BF107,2,0)+IF($BG107,2,0)+IF($BH107,2,0)+IF($BI107,1,0))</x:f>
      </x:c>
      <x:c r="BK107" s="15">
        <x:f>IF($C107="","",IF(NOT($AS107),1,0)+IF(NOT($AW107),1,0)+IF(NOT($AZ107),1,0)+IF(NOT($BA107),1,0)+IF(NOT($BB107),1,0)+IF(NOT($BC107),1,0))</x:f>
      </x:c>
      <x:c r="BL107" s="13">
        <x:f>IF($C107="","",IF($BK107&gt;0,"REJECT",IF(COUNTIF($AS107:$BI107,FALSE)=0,"ACCEPT",IF($BJ107&gt;=85,"ACCEPT WITH SORTING / DISCOUNT","REJECT"))))</x:f>
      </x:c>
    </x:row>
    <x:row r="108" ht="24" customHeight="1">
      <x:c r="A108" s="10" t="n"/>
      <x:c r="B108" s="11" t="n"/>
      <x:c r="C108" s="11" t="n"/>
      <x:c r="D108" s="11" t="n"/>
      <x:c r="E108" s="11" t="n"/>
      <x:c r="F108" s="11" t="n"/>
      <x:c r="G108" s="11" t="n"/>
      <x:c r="H108" s="11" t="n"/>
      <x:c r="I108" s="12" t="n"/>
      <x:c r="J108" s="12" t="n"/>
      <x:c r="K108" s="12" t="n"/>
      <x:c r="L108" s="12" t="n"/>
      <x:c r="M108" s="12" t="n"/>
      <x:c r="N108" s="12" t="n"/>
      <x:c r="O108" s="12" t="n"/>
      <x:c r="P108" s="11" t="n"/>
      <x:c r="Q108" s="11" t="n"/>
      <x:c r="R108" s="11" t="n"/>
      <x:c r="S108" s="11" t="n"/>
      <x:c r="T108" s="11" t="n"/>
      <x:c r="U108" s="12" t="n"/>
      <x:c r="V108" s="12" t="n"/>
      <x:c r="W108" s="12" t="n"/>
      <x:c r="X108" s="12" t="n"/>
      <x:c r="Y108" s="12" t="n"/>
      <x:c r="Z108" s="13">
        <x:f>IF($C108="","",VLOOKUP($C108,Config!$A$2:$Y$4,2,FALSE))</x:f>
      </x:c>
      <x:c r="AA108" s="13">
        <x:f>IF($C108="","",VLOOKUP($C108,Config!$A$2:$Y$4,5,FALSE))</x:f>
      </x:c>
      <x:c r="AB108" s="14">
        <x:f>IF($C108="","",VLOOKUP($C108,Config!$A$2:$Y$4,7,FALSE))</x:f>
      </x:c>
      <x:c r="AC108" s="14">
        <x:f>IF($C108="","",VLOOKUP($C108,Config!$A$2:$Y$4,8,FALSE))</x:f>
      </x:c>
      <x:c r="AD108" s="14">
        <x:f>IF($C108="","",VLOOKUP($C108,Config!$A$2:$Y$4,9,FALSE))</x:f>
      </x:c>
      <x:c r="AE108" s="14">
        <x:f>IF($C108="","",VLOOKUP($C108,Config!$A$2:$Y$4,10,FALSE))</x:f>
      </x:c>
      <x:c r="AF108" s="14">
        <x:f>IF($C108="","",VLOOKUP($C108,Config!$A$2:$Y$4,11,FALSE))</x:f>
      </x:c>
      <x:c r="AG108" s="14">
        <x:f>IF($C108="","",VLOOKUP($C108,Config!$A$2:$Y$4,12,FALSE))</x:f>
      </x:c>
      <x:c r="AH108" s="14">
        <x:f>IF($C108="","",VLOOKUP($C108,Config!$A$2:$Y$4,13,FALSE))</x:f>
      </x:c>
      <x:c r="AI108" s="14">
        <x:f>IF($C108="","",VLOOKUP($C108,Config!$A$2:$Y$4,14,FALSE))</x:f>
      </x:c>
      <x:c r="AJ108" s="14">
        <x:f>IF($C108="","",VLOOKUP($C108,Config!$A$2:$Y$4,15,FALSE))</x:f>
      </x:c>
      <x:c r="AK108" s="14">
        <x:f>IF($C108="","",VLOOKUP($C108,Config!$A$2:$Y$4,16,FALSE))</x:f>
      </x:c>
      <x:c r="AL108" s="14">
        <x:f>IF($C108="","",VLOOKUP($C108,Config!$A$2:$Y$4,17,FALSE))</x:f>
      </x:c>
      <x:c r="AM108" s="14">
        <x:f>IF($C108="","",VLOOKUP($C108,Config!$A$2:$Y$4,18,FALSE))</x:f>
      </x:c>
      <x:c r="AN108" s="14">
        <x:f>IF($C108="","",VLOOKUP($C108,Config!$A$2:$Y$4,19,FALSE))</x:f>
      </x:c>
      <x:c r="AO108" s="14">
        <x:f>IF($C108="","",VLOOKUP($C108,Config!$A$2:$Y$4,20,FALSE))</x:f>
      </x:c>
      <x:c r="AP108" s="14">
        <x:f>IF($C108="","",VLOOKUP($C108,Config!$A$2:$Y$4,21,FALSE))</x:f>
      </x:c>
      <x:c r="AQ108" s="14">
        <x:f>IF($C108="","",VLOOKUP($C108,Config!$A$2:$Y$4,22,FALSE))</x:f>
      </x:c>
      <x:c r="AR108" s="14">
        <x:f>IF($C108="","",VLOOKUP($C108,Config!$A$2:$Y$4,23,FALSE))</x:f>
      </x:c>
      <x:c r="AS108" s="13">
        <x:f>IF($C108="","",IF($H108="Extra",3,IF($H108="I",2,IF($H108="II",1,0)))&gt;=IF($AA108="Extra",3,IF($AA108="I",2,IF($AA108="II",1,0))))</x:f>
      </x:c>
      <x:c r="AT108" s="13">
        <x:f>IF($C108="","",IF($I108="",FALSE,$I108&gt;=$AB108))</x:f>
      </x:c>
      <x:c r="AU108" s="13">
        <x:f>IF($C108="","",IF($AC108="",TRUE,IF($J108="",FALSE,$J108&lt;=$AC108)))</x:f>
      </x:c>
      <x:c r="AV108" s="13">
        <x:f>IF($C108="","",IF($AD108="",TRUE,IF($K108="",FALSE,$K108&lt;=$AD108)))</x:f>
      </x:c>
      <x:c r="AW108" s="13">
        <x:f>IF($C108="","",IF($AE108="",TRUE,IF($L108="",FALSE,$L108&lt;=$AE108)))</x:f>
      </x:c>
      <x:c r="AX108" s="13">
        <x:f>IF($C108="","",IF($AF108="",TRUE,IF($M108="",FALSE,$M108&lt;=$AF108)))</x:f>
      </x:c>
      <x:c r="AY108" s="13">
        <x:f>IF($C108="","",IF($AG108="",TRUE,IF($N108="",FALSE,$N108&gt;=$AG108)))</x:f>
      </x:c>
      <x:c r="AZ108" s="13">
        <x:f>IF($C108="","",IF(OR($AH108="",$AI108=""),TRUE,IF($O108="",FALSE,AND($O108&gt;=$AH108,$O108&lt;=$AI108))))</x:f>
      </x:c>
      <x:c r="BA108" s="13">
        <x:f>IF($C108="","",IF($AJ108="Y",$P108="Y",TRUE))</x:f>
      </x:c>
      <x:c r="BB108" s="13">
        <x:f>IF($C108="","",IF($AK108="Y",$Q108="Y",TRUE))</x:f>
      </x:c>
      <x:c r="BC108" s="13">
        <x:f>IF($C108="","",IF($AL108="Y",$R108="Y",TRUE))</x:f>
      </x:c>
      <x:c r="BD108" s="13">
        <x:f>IF($C108="","",IF($AM108="Y",$S108="Y",TRUE))</x:f>
      </x:c>
      <x:c r="BE108" s="13">
        <x:f>IF($C108="","",IF($AN108="Y",$T108="Y",TRUE))</x:f>
      </x:c>
      <x:c r="BF108" s="13">
        <x:f>IF($C108="","",IF($AO108="",TRUE,IF($U108="",FALSE,$U108&lt;=$AO108)))</x:f>
      </x:c>
      <x:c r="BG108" s="13">
        <x:f>IF($C108="","",IF($AP108="",TRUE,IF($V108="",FALSE,$V108&lt;=$AP108)))</x:f>
      </x:c>
      <x:c r="BH108" s="13">
        <x:f>IF($C108="","",IF($AQ108="",TRUE,IF($W108="",FALSE,$W108&lt;=$AQ108)))</x:f>
      </x:c>
      <x:c r="BI108" s="13">
        <x:f>IF($C108="","",IF($AR108="",TRUE,IF($X108="",FALSE,$X108&lt;=$AR108)))</x:f>
      </x:c>
      <x:c r="BJ108" s="15">
        <x:f>IF($C108="","",IF($Y108="",0,$Y108)+IF($AS108,10,0)+IF($AT108,8,0)+IF($AU108,5,0)+IF($AV108,8,0)+IF($AW108,15,0)+IF($AX108,4,0)+IF($AY108,5,0)+IF($AZ108,10,0)+IF($BA108,8,0)+IF($BB108,4,0)+IF($BC108,6,0)+IF($BD108,3,0)+IF($BE108,2,0)+IF($BF108,2,0)+IF($BG108,2,0)+IF($BH108,2,0)+IF($BI108,1,0))</x:f>
      </x:c>
      <x:c r="BK108" s="15">
        <x:f>IF($C108="","",IF(NOT($AS108),1,0)+IF(NOT($AW108),1,0)+IF(NOT($AZ108),1,0)+IF(NOT($BA108),1,0)+IF(NOT($BB108),1,0)+IF(NOT($BC108),1,0))</x:f>
      </x:c>
      <x:c r="BL108" s="13">
        <x:f>IF($C108="","",IF($BK108&gt;0,"REJECT",IF(COUNTIF($AS108:$BI108,FALSE)=0,"ACCEPT",IF($BJ108&gt;=85,"ACCEPT WITH SORTING / DISCOUNT","REJECT"))))</x:f>
      </x:c>
    </x:row>
    <x:row r="109" ht="24" customHeight="1">
      <x:c r="A109" s="10" t="n"/>
      <x:c r="B109" s="11" t="n"/>
      <x:c r="C109" s="11" t="n"/>
      <x:c r="D109" s="11" t="n"/>
      <x:c r="E109" s="11" t="n"/>
      <x:c r="F109" s="11" t="n"/>
      <x:c r="G109" s="11" t="n"/>
      <x:c r="H109" s="11" t="n"/>
      <x:c r="I109" s="12" t="n"/>
      <x:c r="J109" s="12" t="n"/>
      <x:c r="K109" s="12" t="n"/>
      <x:c r="L109" s="12" t="n"/>
      <x:c r="M109" s="12" t="n"/>
      <x:c r="N109" s="12" t="n"/>
      <x:c r="O109" s="12" t="n"/>
      <x:c r="P109" s="11" t="n"/>
      <x:c r="Q109" s="11" t="n"/>
      <x:c r="R109" s="11" t="n"/>
      <x:c r="S109" s="11" t="n"/>
      <x:c r="T109" s="11" t="n"/>
      <x:c r="U109" s="12" t="n"/>
      <x:c r="V109" s="12" t="n"/>
      <x:c r="W109" s="12" t="n"/>
      <x:c r="X109" s="12" t="n"/>
      <x:c r="Y109" s="12" t="n"/>
      <x:c r="Z109" s="13">
        <x:f>IF($C109="","",VLOOKUP($C109,Config!$A$2:$Y$4,2,FALSE))</x:f>
      </x:c>
      <x:c r="AA109" s="13">
        <x:f>IF($C109="","",VLOOKUP($C109,Config!$A$2:$Y$4,5,FALSE))</x:f>
      </x:c>
      <x:c r="AB109" s="14">
        <x:f>IF($C109="","",VLOOKUP($C109,Config!$A$2:$Y$4,7,FALSE))</x:f>
      </x:c>
      <x:c r="AC109" s="14">
        <x:f>IF($C109="","",VLOOKUP($C109,Config!$A$2:$Y$4,8,FALSE))</x:f>
      </x:c>
      <x:c r="AD109" s="14">
        <x:f>IF($C109="","",VLOOKUP($C109,Config!$A$2:$Y$4,9,FALSE))</x:f>
      </x:c>
      <x:c r="AE109" s="14">
        <x:f>IF($C109="","",VLOOKUP($C109,Config!$A$2:$Y$4,10,FALSE))</x:f>
      </x:c>
      <x:c r="AF109" s="14">
        <x:f>IF($C109="","",VLOOKUP($C109,Config!$A$2:$Y$4,11,FALSE))</x:f>
      </x:c>
      <x:c r="AG109" s="14">
        <x:f>IF($C109="","",VLOOKUP($C109,Config!$A$2:$Y$4,12,FALSE))</x:f>
      </x:c>
      <x:c r="AH109" s="14">
        <x:f>IF($C109="","",VLOOKUP($C109,Config!$A$2:$Y$4,13,FALSE))</x:f>
      </x:c>
      <x:c r="AI109" s="14">
        <x:f>IF($C109="","",VLOOKUP($C109,Config!$A$2:$Y$4,14,FALSE))</x:f>
      </x:c>
      <x:c r="AJ109" s="14">
        <x:f>IF($C109="","",VLOOKUP($C109,Config!$A$2:$Y$4,15,FALSE))</x:f>
      </x:c>
      <x:c r="AK109" s="14">
        <x:f>IF($C109="","",VLOOKUP($C109,Config!$A$2:$Y$4,16,FALSE))</x:f>
      </x:c>
      <x:c r="AL109" s="14">
        <x:f>IF($C109="","",VLOOKUP($C109,Config!$A$2:$Y$4,17,FALSE))</x:f>
      </x:c>
      <x:c r="AM109" s="14">
        <x:f>IF($C109="","",VLOOKUP($C109,Config!$A$2:$Y$4,18,FALSE))</x:f>
      </x:c>
      <x:c r="AN109" s="14">
        <x:f>IF($C109="","",VLOOKUP($C109,Config!$A$2:$Y$4,19,FALSE))</x:f>
      </x:c>
      <x:c r="AO109" s="14">
        <x:f>IF($C109="","",VLOOKUP($C109,Config!$A$2:$Y$4,20,FALSE))</x:f>
      </x:c>
      <x:c r="AP109" s="14">
        <x:f>IF($C109="","",VLOOKUP($C109,Config!$A$2:$Y$4,21,FALSE))</x:f>
      </x:c>
      <x:c r="AQ109" s="14">
        <x:f>IF($C109="","",VLOOKUP($C109,Config!$A$2:$Y$4,22,FALSE))</x:f>
      </x:c>
      <x:c r="AR109" s="14">
        <x:f>IF($C109="","",VLOOKUP($C109,Config!$A$2:$Y$4,23,FALSE))</x:f>
      </x:c>
      <x:c r="AS109" s="13">
        <x:f>IF($C109="","",IF($H109="Extra",3,IF($H109="I",2,IF($H109="II",1,0)))&gt;=IF($AA109="Extra",3,IF($AA109="I",2,IF($AA109="II",1,0))))</x:f>
      </x:c>
      <x:c r="AT109" s="13">
        <x:f>IF($C109="","",IF($I109="",FALSE,$I109&gt;=$AB109))</x:f>
      </x:c>
      <x:c r="AU109" s="13">
        <x:f>IF($C109="","",IF($AC109="",TRUE,IF($J109="",FALSE,$J109&lt;=$AC109)))</x:f>
      </x:c>
      <x:c r="AV109" s="13">
        <x:f>IF($C109="","",IF($AD109="",TRUE,IF($K109="",FALSE,$K109&lt;=$AD109)))</x:f>
      </x:c>
      <x:c r="AW109" s="13">
        <x:f>IF($C109="","",IF($AE109="",TRUE,IF($L109="",FALSE,$L109&lt;=$AE109)))</x:f>
      </x:c>
      <x:c r="AX109" s="13">
        <x:f>IF($C109="","",IF($AF109="",TRUE,IF($M109="",FALSE,$M109&lt;=$AF109)))</x:f>
      </x:c>
      <x:c r="AY109" s="13">
        <x:f>IF($C109="","",IF($AG109="",TRUE,IF($N109="",FALSE,$N109&gt;=$AG109)))</x:f>
      </x:c>
      <x:c r="AZ109" s="13">
        <x:f>IF($C109="","",IF(OR($AH109="",$AI109=""),TRUE,IF($O109="",FALSE,AND($O109&gt;=$AH109,$O109&lt;=$AI109))))</x:f>
      </x:c>
      <x:c r="BA109" s="13">
        <x:f>IF($C109="","",IF($AJ109="Y",$P109="Y",TRUE))</x:f>
      </x:c>
      <x:c r="BB109" s="13">
        <x:f>IF($C109="","",IF($AK109="Y",$Q109="Y",TRUE))</x:f>
      </x:c>
      <x:c r="BC109" s="13">
        <x:f>IF($C109="","",IF($AL109="Y",$R109="Y",TRUE))</x:f>
      </x:c>
      <x:c r="BD109" s="13">
        <x:f>IF($C109="","",IF($AM109="Y",$S109="Y",TRUE))</x:f>
      </x:c>
      <x:c r="BE109" s="13">
        <x:f>IF($C109="","",IF($AN109="Y",$T109="Y",TRUE))</x:f>
      </x:c>
      <x:c r="BF109" s="13">
        <x:f>IF($C109="","",IF($AO109="",TRUE,IF($U109="",FALSE,$U109&lt;=$AO109)))</x:f>
      </x:c>
      <x:c r="BG109" s="13">
        <x:f>IF($C109="","",IF($AP109="",TRUE,IF($V109="",FALSE,$V109&lt;=$AP109)))</x:f>
      </x:c>
      <x:c r="BH109" s="13">
        <x:f>IF($C109="","",IF($AQ109="",TRUE,IF($W109="",FALSE,$W109&lt;=$AQ109)))</x:f>
      </x:c>
      <x:c r="BI109" s="13">
        <x:f>IF($C109="","",IF($AR109="",TRUE,IF($X109="",FALSE,$X109&lt;=$AR109)))</x:f>
      </x:c>
      <x:c r="BJ109" s="15">
        <x:f>IF($C109="","",IF($Y109="",0,$Y109)+IF($AS109,10,0)+IF($AT109,8,0)+IF($AU109,5,0)+IF($AV109,8,0)+IF($AW109,15,0)+IF($AX109,4,0)+IF($AY109,5,0)+IF($AZ109,10,0)+IF($BA109,8,0)+IF($BB109,4,0)+IF($BC109,6,0)+IF($BD109,3,0)+IF($BE109,2,0)+IF($BF109,2,0)+IF($BG109,2,0)+IF($BH109,2,0)+IF($BI109,1,0))</x:f>
      </x:c>
      <x:c r="BK109" s="15">
        <x:f>IF($C109="","",IF(NOT($AS109),1,0)+IF(NOT($AW109),1,0)+IF(NOT($AZ109),1,0)+IF(NOT($BA109),1,0)+IF(NOT($BB109),1,0)+IF(NOT($BC109),1,0))</x:f>
      </x:c>
      <x:c r="BL109" s="13">
        <x:f>IF($C109="","",IF($BK109&gt;0,"REJECT",IF(COUNTIF($AS109:$BI109,FALSE)=0,"ACCEPT",IF($BJ109&gt;=85,"ACCEPT WITH SORTING / DISCOUNT","REJECT"))))</x:f>
      </x:c>
    </x:row>
    <x:row r="110" ht="24" customHeight="1">
      <x:c r="A110" s="10" t="n"/>
      <x:c r="B110" s="11" t="n"/>
      <x:c r="C110" s="11" t="n"/>
      <x:c r="D110" s="11" t="n"/>
      <x:c r="E110" s="11" t="n"/>
      <x:c r="F110" s="11" t="n"/>
      <x:c r="G110" s="11" t="n"/>
      <x:c r="H110" s="11" t="n"/>
      <x:c r="I110" s="12" t="n"/>
      <x:c r="J110" s="12" t="n"/>
      <x:c r="K110" s="12" t="n"/>
      <x:c r="L110" s="12" t="n"/>
      <x:c r="M110" s="12" t="n"/>
      <x:c r="N110" s="12" t="n"/>
      <x:c r="O110" s="12" t="n"/>
      <x:c r="P110" s="11" t="n"/>
      <x:c r="Q110" s="11" t="n"/>
      <x:c r="R110" s="11" t="n"/>
      <x:c r="S110" s="11" t="n"/>
      <x:c r="T110" s="11" t="n"/>
      <x:c r="U110" s="12" t="n"/>
      <x:c r="V110" s="12" t="n"/>
      <x:c r="W110" s="12" t="n"/>
      <x:c r="X110" s="12" t="n"/>
      <x:c r="Y110" s="12" t="n"/>
      <x:c r="Z110" s="13">
        <x:f>IF($C110="","",VLOOKUP($C110,Config!$A$2:$Y$4,2,FALSE))</x:f>
      </x:c>
      <x:c r="AA110" s="13">
        <x:f>IF($C110="","",VLOOKUP($C110,Config!$A$2:$Y$4,5,FALSE))</x:f>
      </x:c>
      <x:c r="AB110" s="14">
        <x:f>IF($C110="","",VLOOKUP($C110,Config!$A$2:$Y$4,7,FALSE))</x:f>
      </x:c>
      <x:c r="AC110" s="14">
        <x:f>IF($C110="","",VLOOKUP($C110,Config!$A$2:$Y$4,8,FALSE))</x:f>
      </x:c>
      <x:c r="AD110" s="14">
        <x:f>IF($C110="","",VLOOKUP($C110,Config!$A$2:$Y$4,9,FALSE))</x:f>
      </x:c>
      <x:c r="AE110" s="14">
        <x:f>IF($C110="","",VLOOKUP($C110,Config!$A$2:$Y$4,10,FALSE))</x:f>
      </x:c>
      <x:c r="AF110" s="14">
        <x:f>IF($C110="","",VLOOKUP($C110,Config!$A$2:$Y$4,11,FALSE))</x:f>
      </x:c>
      <x:c r="AG110" s="14">
        <x:f>IF($C110="","",VLOOKUP($C110,Config!$A$2:$Y$4,12,FALSE))</x:f>
      </x:c>
      <x:c r="AH110" s="14">
        <x:f>IF($C110="","",VLOOKUP($C110,Config!$A$2:$Y$4,13,FALSE))</x:f>
      </x:c>
      <x:c r="AI110" s="14">
        <x:f>IF($C110="","",VLOOKUP($C110,Config!$A$2:$Y$4,14,FALSE))</x:f>
      </x:c>
      <x:c r="AJ110" s="14">
        <x:f>IF($C110="","",VLOOKUP($C110,Config!$A$2:$Y$4,15,FALSE))</x:f>
      </x:c>
      <x:c r="AK110" s="14">
        <x:f>IF($C110="","",VLOOKUP($C110,Config!$A$2:$Y$4,16,FALSE))</x:f>
      </x:c>
      <x:c r="AL110" s="14">
        <x:f>IF($C110="","",VLOOKUP($C110,Config!$A$2:$Y$4,17,FALSE))</x:f>
      </x:c>
      <x:c r="AM110" s="14">
        <x:f>IF($C110="","",VLOOKUP($C110,Config!$A$2:$Y$4,18,FALSE))</x:f>
      </x:c>
      <x:c r="AN110" s="14">
        <x:f>IF($C110="","",VLOOKUP($C110,Config!$A$2:$Y$4,19,FALSE))</x:f>
      </x:c>
      <x:c r="AO110" s="14">
        <x:f>IF($C110="","",VLOOKUP($C110,Config!$A$2:$Y$4,20,FALSE))</x:f>
      </x:c>
      <x:c r="AP110" s="14">
        <x:f>IF($C110="","",VLOOKUP($C110,Config!$A$2:$Y$4,21,FALSE))</x:f>
      </x:c>
      <x:c r="AQ110" s="14">
        <x:f>IF($C110="","",VLOOKUP($C110,Config!$A$2:$Y$4,22,FALSE))</x:f>
      </x:c>
      <x:c r="AR110" s="14">
        <x:f>IF($C110="","",VLOOKUP($C110,Config!$A$2:$Y$4,23,FALSE))</x:f>
      </x:c>
      <x:c r="AS110" s="13">
        <x:f>IF($C110="","",IF($H110="Extra",3,IF($H110="I",2,IF($H110="II",1,0)))&gt;=IF($AA110="Extra",3,IF($AA110="I",2,IF($AA110="II",1,0))))</x:f>
      </x:c>
      <x:c r="AT110" s="13">
        <x:f>IF($C110="","",IF($I110="",FALSE,$I110&gt;=$AB110))</x:f>
      </x:c>
      <x:c r="AU110" s="13">
        <x:f>IF($C110="","",IF($AC110="",TRUE,IF($J110="",FALSE,$J110&lt;=$AC110)))</x:f>
      </x:c>
      <x:c r="AV110" s="13">
        <x:f>IF($C110="","",IF($AD110="",TRUE,IF($K110="",FALSE,$K110&lt;=$AD110)))</x:f>
      </x:c>
      <x:c r="AW110" s="13">
        <x:f>IF($C110="","",IF($AE110="",TRUE,IF($L110="",FALSE,$L110&lt;=$AE110)))</x:f>
      </x:c>
      <x:c r="AX110" s="13">
        <x:f>IF($C110="","",IF($AF110="",TRUE,IF($M110="",FALSE,$M110&lt;=$AF110)))</x:f>
      </x:c>
      <x:c r="AY110" s="13">
        <x:f>IF($C110="","",IF($AG110="",TRUE,IF($N110="",FALSE,$N110&gt;=$AG110)))</x:f>
      </x:c>
      <x:c r="AZ110" s="13">
        <x:f>IF($C110="","",IF(OR($AH110="",$AI110=""),TRUE,IF($O110="",FALSE,AND($O110&gt;=$AH110,$O110&lt;=$AI110))))</x:f>
      </x:c>
      <x:c r="BA110" s="13">
        <x:f>IF($C110="","",IF($AJ110="Y",$P110="Y",TRUE))</x:f>
      </x:c>
      <x:c r="BB110" s="13">
        <x:f>IF($C110="","",IF($AK110="Y",$Q110="Y",TRUE))</x:f>
      </x:c>
      <x:c r="BC110" s="13">
        <x:f>IF($C110="","",IF($AL110="Y",$R110="Y",TRUE))</x:f>
      </x:c>
      <x:c r="BD110" s="13">
        <x:f>IF($C110="","",IF($AM110="Y",$S110="Y",TRUE))</x:f>
      </x:c>
      <x:c r="BE110" s="13">
        <x:f>IF($C110="","",IF($AN110="Y",$T110="Y",TRUE))</x:f>
      </x:c>
      <x:c r="BF110" s="13">
        <x:f>IF($C110="","",IF($AO110="",TRUE,IF($U110="",FALSE,$U110&lt;=$AO110)))</x:f>
      </x:c>
      <x:c r="BG110" s="13">
        <x:f>IF($C110="","",IF($AP110="",TRUE,IF($V110="",FALSE,$V110&lt;=$AP110)))</x:f>
      </x:c>
      <x:c r="BH110" s="13">
        <x:f>IF($C110="","",IF($AQ110="",TRUE,IF($W110="",FALSE,$W110&lt;=$AQ110)))</x:f>
      </x:c>
      <x:c r="BI110" s="13">
        <x:f>IF($C110="","",IF($AR110="",TRUE,IF($X110="",FALSE,$X110&lt;=$AR110)))</x:f>
      </x:c>
      <x:c r="BJ110" s="15">
        <x:f>IF($C110="","",IF($Y110="",0,$Y110)+IF($AS110,10,0)+IF($AT110,8,0)+IF($AU110,5,0)+IF($AV110,8,0)+IF($AW110,15,0)+IF($AX110,4,0)+IF($AY110,5,0)+IF($AZ110,10,0)+IF($BA110,8,0)+IF($BB110,4,0)+IF($BC110,6,0)+IF($BD110,3,0)+IF($BE110,2,0)+IF($BF110,2,0)+IF($BG110,2,0)+IF($BH110,2,0)+IF($BI110,1,0))</x:f>
      </x:c>
      <x:c r="BK110" s="15">
        <x:f>IF($C110="","",IF(NOT($AS110),1,0)+IF(NOT($AW110),1,0)+IF(NOT($AZ110),1,0)+IF(NOT($BA110),1,0)+IF(NOT($BB110),1,0)+IF(NOT($BC110),1,0))</x:f>
      </x:c>
      <x:c r="BL110" s="13">
        <x:f>IF($C110="","",IF($BK110&gt;0,"REJECT",IF(COUNTIF($AS110:$BI110,FALSE)=0,"ACCEPT",IF($BJ110&gt;=85,"ACCEPT WITH SORTING / DISCOUNT","REJECT"))))</x:f>
      </x:c>
    </x:row>
    <x:row r="111" ht="24" customHeight="1">
      <x:c r="A111" s="10" t="n"/>
      <x:c r="B111" s="11" t="n"/>
      <x:c r="C111" s="11" t="n"/>
      <x:c r="D111" s="11" t="n"/>
      <x:c r="E111" s="11" t="n"/>
      <x:c r="F111" s="11" t="n"/>
      <x:c r="G111" s="11" t="n"/>
      <x:c r="H111" s="11" t="n"/>
      <x:c r="I111" s="12" t="n"/>
      <x:c r="J111" s="12" t="n"/>
      <x:c r="K111" s="12" t="n"/>
      <x:c r="L111" s="12" t="n"/>
      <x:c r="M111" s="12" t="n"/>
      <x:c r="N111" s="12" t="n"/>
      <x:c r="O111" s="12" t="n"/>
      <x:c r="P111" s="11" t="n"/>
      <x:c r="Q111" s="11" t="n"/>
      <x:c r="R111" s="11" t="n"/>
      <x:c r="S111" s="11" t="n"/>
      <x:c r="T111" s="11" t="n"/>
      <x:c r="U111" s="12" t="n"/>
      <x:c r="V111" s="12" t="n"/>
      <x:c r="W111" s="12" t="n"/>
      <x:c r="X111" s="12" t="n"/>
      <x:c r="Y111" s="12" t="n"/>
      <x:c r="Z111" s="13">
        <x:f>IF($C111="","",VLOOKUP($C111,Config!$A$2:$Y$4,2,FALSE))</x:f>
      </x:c>
      <x:c r="AA111" s="13">
        <x:f>IF($C111="","",VLOOKUP($C111,Config!$A$2:$Y$4,5,FALSE))</x:f>
      </x:c>
      <x:c r="AB111" s="14">
        <x:f>IF($C111="","",VLOOKUP($C111,Config!$A$2:$Y$4,7,FALSE))</x:f>
      </x:c>
      <x:c r="AC111" s="14">
        <x:f>IF($C111="","",VLOOKUP($C111,Config!$A$2:$Y$4,8,FALSE))</x:f>
      </x:c>
      <x:c r="AD111" s="14">
        <x:f>IF($C111="","",VLOOKUP($C111,Config!$A$2:$Y$4,9,FALSE))</x:f>
      </x:c>
      <x:c r="AE111" s="14">
        <x:f>IF($C111="","",VLOOKUP($C111,Config!$A$2:$Y$4,10,FALSE))</x:f>
      </x:c>
      <x:c r="AF111" s="14">
        <x:f>IF($C111="","",VLOOKUP($C111,Config!$A$2:$Y$4,11,FALSE))</x:f>
      </x:c>
      <x:c r="AG111" s="14">
        <x:f>IF($C111="","",VLOOKUP($C111,Config!$A$2:$Y$4,12,FALSE))</x:f>
      </x:c>
      <x:c r="AH111" s="14">
        <x:f>IF($C111="","",VLOOKUP($C111,Config!$A$2:$Y$4,13,FALSE))</x:f>
      </x:c>
      <x:c r="AI111" s="14">
        <x:f>IF($C111="","",VLOOKUP($C111,Config!$A$2:$Y$4,14,FALSE))</x:f>
      </x:c>
      <x:c r="AJ111" s="14">
        <x:f>IF($C111="","",VLOOKUP($C111,Config!$A$2:$Y$4,15,FALSE))</x:f>
      </x:c>
      <x:c r="AK111" s="14">
        <x:f>IF($C111="","",VLOOKUP($C111,Config!$A$2:$Y$4,16,FALSE))</x:f>
      </x:c>
      <x:c r="AL111" s="14">
        <x:f>IF($C111="","",VLOOKUP($C111,Config!$A$2:$Y$4,17,FALSE))</x:f>
      </x:c>
      <x:c r="AM111" s="14">
        <x:f>IF($C111="","",VLOOKUP($C111,Config!$A$2:$Y$4,18,FALSE))</x:f>
      </x:c>
      <x:c r="AN111" s="14">
        <x:f>IF($C111="","",VLOOKUP($C111,Config!$A$2:$Y$4,19,FALSE))</x:f>
      </x:c>
      <x:c r="AO111" s="14">
        <x:f>IF($C111="","",VLOOKUP($C111,Config!$A$2:$Y$4,20,FALSE))</x:f>
      </x:c>
      <x:c r="AP111" s="14">
        <x:f>IF($C111="","",VLOOKUP($C111,Config!$A$2:$Y$4,21,FALSE))</x:f>
      </x:c>
      <x:c r="AQ111" s="14">
        <x:f>IF($C111="","",VLOOKUP($C111,Config!$A$2:$Y$4,22,FALSE))</x:f>
      </x:c>
      <x:c r="AR111" s="14">
        <x:f>IF($C111="","",VLOOKUP($C111,Config!$A$2:$Y$4,23,FALSE))</x:f>
      </x:c>
      <x:c r="AS111" s="13">
        <x:f>IF($C111="","",IF($H111="Extra",3,IF($H111="I",2,IF($H111="II",1,0)))&gt;=IF($AA111="Extra",3,IF($AA111="I",2,IF($AA111="II",1,0))))</x:f>
      </x:c>
      <x:c r="AT111" s="13">
        <x:f>IF($C111="","",IF($I111="",FALSE,$I111&gt;=$AB111))</x:f>
      </x:c>
      <x:c r="AU111" s="13">
        <x:f>IF($C111="","",IF($AC111="",TRUE,IF($J111="",FALSE,$J111&lt;=$AC111)))</x:f>
      </x:c>
      <x:c r="AV111" s="13">
        <x:f>IF($C111="","",IF($AD111="",TRUE,IF($K111="",FALSE,$K111&lt;=$AD111)))</x:f>
      </x:c>
      <x:c r="AW111" s="13">
        <x:f>IF($C111="","",IF($AE111="",TRUE,IF($L111="",FALSE,$L111&lt;=$AE111)))</x:f>
      </x:c>
      <x:c r="AX111" s="13">
        <x:f>IF($C111="","",IF($AF111="",TRUE,IF($M111="",FALSE,$M111&lt;=$AF111)))</x:f>
      </x:c>
      <x:c r="AY111" s="13">
        <x:f>IF($C111="","",IF($AG111="",TRUE,IF($N111="",FALSE,$N111&gt;=$AG111)))</x:f>
      </x:c>
      <x:c r="AZ111" s="13">
        <x:f>IF($C111="","",IF(OR($AH111="",$AI111=""),TRUE,IF($O111="",FALSE,AND($O111&gt;=$AH111,$O111&lt;=$AI111))))</x:f>
      </x:c>
      <x:c r="BA111" s="13">
        <x:f>IF($C111="","",IF($AJ111="Y",$P111="Y",TRUE))</x:f>
      </x:c>
      <x:c r="BB111" s="13">
        <x:f>IF($C111="","",IF($AK111="Y",$Q111="Y",TRUE))</x:f>
      </x:c>
      <x:c r="BC111" s="13">
        <x:f>IF($C111="","",IF($AL111="Y",$R111="Y",TRUE))</x:f>
      </x:c>
      <x:c r="BD111" s="13">
        <x:f>IF($C111="","",IF($AM111="Y",$S111="Y",TRUE))</x:f>
      </x:c>
      <x:c r="BE111" s="13">
        <x:f>IF($C111="","",IF($AN111="Y",$T111="Y",TRUE))</x:f>
      </x:c>
      <x:c r="BF111" s="13">
        <x:f>IF($C111="","",IF($AO111="",TRUE,IF($U111="",FALSE,$U111&lt;=$AO111)))</x:f>
      </x:c>
      <x:c r="BG111" s="13">
        <x:f>IF($C111="","",IF($AP111="",TRUE,IF($V111="",FALSE,$V111&lt;=$AP111)))</x:f>
      </x:c>
      <x:c r="BH111" s="13">
        <x:f>IF($C111="","",IF($AQ111="",TRUE,IF($W111="",FALSE,$W111&lt;=$AQ111)))</x:f>
      </x:c>
      <x:c r="BI111" s="13">
        <x:f>IF($C111="","",IF($AR111="",TRUE,IF($X111="",FALSE,$X111&lt;=$AR111)))</x:f>
      </x:c>
      <x:c r="BJ111" s="15">
        <x:f>IF($C111="","",IF($Y111="",0,$Y111)+IF($AS111,10,0)+IF($AT111,8,0)+IF($AU111,5,0)+IF($AV111,8,0)+IF($AW111,15,0)+IF($AX111,4,0)+IF($AY111,5,0)+IF($AZ111,10,0)+IF($BA111,8,0)+IF($BB111,4,0)+IF($BC111,6,0)+IF($BD111,3,0)+IF($BE111,2,0)+IF($BF111,2,0)+IF($BG111,2,0)+IF($BH111,2,0)+IF($BI111,1,0))</x:f>
      </x:c>
      <x:c r="BK111" s="15">
        <x:f>IF($C111="","",IF(NOT($AS111),1,0)+IF(NOT($AW111),1,0)+IF(NOT($AZ111),1,0)+IF(NOT($BA111),1,0)+IF(NOT($BB111),1,0)+IF(NOT($BC111),1,0))</x:f>
      </x:c>
      <x:c r="BL111" s="13">
        <x:f>IF($C111="","",IF($BK111&gt;0,"REJECT",IF(COUNTIF($AS111:$BI111,FALSE)=0,"ACCEPT",IF($BJ111&gt;=85,"ACCEPT WITH SORTING / DISCOUNT","REJECT"))))</x:f>
      </x:c>
    </x:row>
    <x:row r="112" ht="24" customHeight="1">
      <x:c r="A112" s="10" t="n"/>
      <x:c r="B112" s="11" t="n"/>
      <x:c r="C112" s="11" t="n"/>
      <x:c r="D112" s="11" t="n"/>
      <x:c r="E112" s="11" t="n"/>
      <x:c r="F112" s="11" t="n"/>
      <x:c r="G112" s="11" t="n"/>
      <x:c r="H112" s="11" t="n"/>
      <x:c r="I112" s="12" t="n"/>
      <x:c r="J112" s="12" t="n"/>
      <x:c r="K112" s="12" t="n"/>
      <x:c r="L112" s="12" t="n"/>
      <x:c r="M112" s="12" t="n"/>
      <x:c r="N112" s="12" t="n"/>
      <x:c r="O112" s="12" t="n"/>
      <x:c r="P112" s="11" t="n"/>
      <x:c r="Q112" s="11" t="n"/>
      <x:c r="R112" s="11" t="n"/>
      <x:c r="S112" s="11" t="n"/>
      <x:c r="T112" s="11" t="n"/>
      <x:c r="U112" s="12" t="n"/>
      <x:c r="V112" s="12" t="n"/>
      <x:c r="W112" s="12" t="n"/>
      <x:c r="X112" s="12" t="n"/>
      <x:c r="Y112" s="12" t="n"/>
      <x:c r="Z112" s="13">
        <x:f>IF($C112="","",VLOOKUP($C112,Config!$A$2:$Y$4,2,FALSE))</x:f>
      </x:c>
      <x:c r="AA112" s="13">
        <x:f>IF($C112="","",VLOOKUP($C112,Config!$A$2:$Y$4,5,FALSE))</x:f>
      </x:c>
      <x:c r="AB112" s="14">
        <x:f>IF($C112="","",VLOOKUP($C112,Config!$A$2:$Y$4,7,FALSE))</x:f>
      </x:c>
      <x:c r="AC112" s="14">
        <x:f>IF($C112="","",VLOOKUP($C112,Config!$A$2:$Y$4,8,FALSE))</x:f>
      </x:c>
      <x:c r="AD112" s="14">
        <x:f>IF($C112="","",VLOOKUP($C112,Config!$A$2:$Y$4,9,FALSE))</x:f>
      </x:c>
      <x:c r="AE112" s="14">
        <x:f>IF($C112="","",VLOOKUP($C112,Config!$A$2:$Y$4,10,FALSE))</x:f>
      </x:c>
      <x:c r="AF112" s="14">
        <x:f>IF($C112="","",VLOOKUP($C112,Config!$A$2:$Y$4,11,FALSE))</x:f>
      </x:c>
      <x:c r="AG112" s="14">
        <x:f>IF($C112="","",VLOOKUP($C112,Config!$A$2:$Y$4,12,FALSE))</x:f>
      </x:c>
      <x:c r="AH112" s="14">
        <x:f>IF($C112="","",VLOOKUP($C112,Config!$A$2:$Y$4,13,FALSE))</x:f>
      </x:c>
      <x:c r="AI112" s="14">
        <x:f>IF($C112="","",VLOOKUP($C112,Config!$A$2:$Y$4,14,FALSE))</x:f>
      </x:c>
      <x:c r="AJ112" s="14">
        <x:f>IF($C112="","",VLOOKUP($C112,Config!$A$2:$Y$4,15,FALSE))</x:f>
      </x:c>
      <x:c r="AK112" s="14">
        <x:f>IF($C112="","",VLOOKUP($C112,Config!$A$2:$Y$4,16,FALSE))</x:f>
      </x:c>
      <x:c r="AL112" s="14">
        <x:f>IF($C112="","",VLOOKUP($C112,Config!$A$2:$Y$4,17,FALSE))</x:f>
      </x:c>
      <x:c r="AM112" s="14">
        <x:f>IF($C112="","",VLOOKUP($C112,Config!$A$2:$Y$4,18,FALSE))</x:f>
      </x:c>
      <x:c r="AN112" s="14">
        <x:f>IF($C112="","",VLOOKUP($C112,Config!$A$2:$Y$4,19,FALSE))</x:f>
      </x:c>
      <x:c r="AO112" s="14">
        <x:f>IF($C112="","",VLOOKUP($C112,Config!$A$2:$Y$4,20,FALSE))</x:f>
      </x:c>
      <x:c r="AP112" s="14">
        <x:f>IF($C112="","",VLOOKUP($C112,Config!$A$2:$Y$4,21,FALSE))</x:f>
      </x:c>
      <x:c r="AQ112" s="14">
        <x:f>IF($C112="","",VLOOKUP($C112,Config!$A$2:$Y$4,22,FALSE))</x:f>
      </x:c>
      <x:c r="AR112" s="14">
        <x:f>IF($C112="","",VLOOKUP($C112,Config!$A$2:$Y$4,23,FALSE))</x:f>
      </x:c>
      <x:c r="AS112" s="13">
        <x:f>IF($C112="","",IF($H112="Extra",3,IF($H112="I",2,IF($H112="II",1,0)))&gt;=IF($AA112="Extra",3,IF($AA112="I",2,IF($AA112="II",1,0))))</x:f>
      </x:c>
      <x:c r="AT112" s="13">
        <x:f>IF($C112="","",IF($I112="",FALSE,$I112&gt;=$AB112))</x:f>
      </x:c>
      <x:c r="AU112" s="13">
        <x:f>IF($C112="","",IF($AC112="",TRUE,IF($J112="",FALSE,$J112&lt;=$AC112)))</x:f>
      </x:c>
      <x:c r="AV112" s="13">
        <x:f>IF($C112="","",IF($AD112="",TRUE,IF($K112="",FALSE,$K112&lt;=$AD112)))</x:f>
      </x:c>
      <x:c r="AW112" s="13">
        <x:f>IF($C112="","",IF($AE112="",TRUE,IF($L112="",FALSE,$L112&lt;=$AE112)))</x:f>
      </x:c>
      <x:c r="AX112" s="13">
        <x:f>IF($C112="","",IF($AF112="",TRUE,IF($M112="",FALSE,$M112&lt;=$AF112)))</x:f>
      </x:c>
      <x:c r="AY112" s="13">
        <x:f>IF($C112="","",IF($AG112="",TRUE,IF($N112="",FALSE,$N112&gt;=$AG112)))</x:f>
      </x:c>
      <x:c r="AZ112" s="13">
        <x:f>IF($C112="","",IF(OR($AH112="",$AI112=""),TRUE,IF($O112="",FALSE,AND($O112&gt;=$AH112,$O112&lt;=$AI112))))</x:f>
      </x:c>
      <x:c r="BA112" s="13">
        <x:f>IF($C112="","",IF($AJ112="Y",$P112="Y",TRUE))</x:f>
      </x:c>
      <x:c r="BB112" s="13">
        <x:f>IF($C112="","",IF($AK112="Y",$Q112="Y",TRUE))</x:f>
      </x:c>
      <x:c r="BC112" s="13">
        <x:f>IF($C112="","",IF($AL112="Y",$R112="Y",TRUE))</x:f>
      </x:c>
      <x:c r="BD112" s="13">
        <x:f>IF($C112="","",IF($AM112="Y",$S112="Y",TRUE))</x:f>
      </x:c>
      <x:c r="BE112" s="13">
        <x:f>IF($C112="","",IF($AN112="Y",$T112="Y",TRUE))</x:f>
      </x:c>
      <x:c r="BF112" s="13">
        <x:f>IF($C112="","",IF($AO112="",TRUE,IF($U112="",FALSE,$U112&lt;=$AO112)))</x:f>
      </x:c>
      <x:c r="BG112" s="13">
        <x:f>IF($C112="","",IF($AP112="",TRUE,IF($V112="",FALSE,$V112&lt;=$AP112)))</x:f>
      </x:c>
      <x:c r="BH112" s="13">
        <x:f>IF($C112="","",IF($AQ112="",TRUE,IF($W112="",FALSE,$W112&lt;=$AQ112)))</x:f>
      </x:c>
      <x:c r="BI112" s="13">
        <x:f>IF($C112="","",IF($AR112="",TRUE,IF($X112="",FALSE,$X112&lt;=$AR112)))</x:f>
      </x:c>
      <x:c r="BJ112" s="15">
        <x:f>IF($C112="","",IF($Y112="",0,$Y112)+IF($AS112,10,0)+IF($AT112,8,0)+IF($AU112,5,0)+IF($AV112,8,0)+IF($AW112,15,0)+IF($AX112,4,0)+IF($AY112,5,0)+IF($AZ112,10,0)+IF($BA112,8,0)+IF($BB112,4,0)+IF($BC112,6,0)+IF($BD112,3,0)+IF($BE112,2,0)+IF($BF112,2,0)+IF($BG112,2,0)+IF($BH112,2,0)+IF($BI112,1,0))</x:f>
      </x:c>
      <x:c r="BK112" s="15">
        <x:f>IF($C112="","",IF(NOT($AS112),1,0)+IF(NOT($AW112),1,0)+IF(NOT($AZ112),1,0)+IF(NOT($BA112),1,0)+IF(NOT($BB112),1,0)+IF(NOT($BC112),1,0))</x:f>
      </x:c>
      <x:c r="BL112" s="13">
        <x:f>IF($C112="","",IF($BK112&gt;0,"REJECT",IF(COUNTIF($AS112:$BI112,FALSE)=0,"ACCEPT",IF($BJ112&gt;=85,"ACCEPT WITH SORTING / DISCOUNT","REJECT"))))</x:f>
      </x:c>
    </x:row>
    <x:row r="113" ht="24" customHeight="1">
      <x:c r="A113" s="10" t="n"/>
      <x:c r="B113" s="11" t="n"/>
      <x:c r="C113" s="11" t="n"/>
      <x:c r="D113" s="11" t="n"/>
      <x:c r="E113" s="11" t="n"/>
      <x:c r="F113" s="11" t="n"/>
      <x:c r="G113" s="11" t="n"/>
      <x:c r="H113" s="11" t="n"/>
      <x:c r="I113" s="12" t="n"/>
      <x:c r="J113" s="12" t="n"/>
      <x:c r="K113" s="12" t="n"/>
      <x:c r="L113" s="12" t="n"/>
      <x:c r="M113" s="12" t="n"/>
      <x:c r="N113" s="12" t="n"/>
      <x:c r="O113" s="12" t="n"/>
      <x:c r="P113" s="11" t="n"/>
      <x:c r="Q113" s="11" t="n"/>
      <x:c r="R113" s="11" t="n"/>
      <x:c r="S113" s="11" t="n"/>
      <x:c r="T113" s="11" t="n"/>
      <x:c r="U113" s="12" t="n"/>
      <x:c r="V113" s="12" t="n"/>
      <x:c r="W113" s="12" t="n"/>
      <x:c r="X113" s="12" t="n"/>
      <x:c r="Y113" s="12" t="n"/>
      <x:c r="Z113" s="13">
        <x:f>IF($C113="","",VLOOKUP($C113,Config!$A$2:$Y$4,2,FALSE))</x:f>
      </x:c>
      <x:c r="AA113" s="13">
        <x:f>IF($C113="","",VLOOKUP($C113,Config!$A$2:$Y$4,5,FALSE))</x:f>
      </x:c>
      <x:c r="AB113" s="14">
        <x:f>IF($C113="","",VLOOKUP($C113,Config!$A$2:$Y$4,7,FALSE))</x:f>
      </x:c>
      <x:c r="AC113" s="14">
        <x:f>IF($C113="","",VLOOKUP($C113,Config!$A$2:$Y$4,8,FALSE))</x:f>
      </x:c>
      <x:c r="AD113" s="14">
        <x:f>IF($C113="","",VLOOKUP($C113,Config!$A$2:$Y$4,9,FALSE))</x:f>
      </x:c>
      <x:c r="AE113" s="14">
        <x:f>IF($C113="","",VLOOKUP($C113,Config!$A$2:$Y$4,10,FALSE))</x:f>
      </x:c>
      <x:c r="AF113" s="14">
        <x:f>IF($C113="","",VLOOKUP($C113,Config!$A$2:$Y$4,11,FALSE))</x:f>
      </x:c>
      <x:c r="AG113" s="14">
        <x:f>IF($C113="","",VLOOKUP($C113,Config!$A$2:$Y$4,12,FALSE))</x:f>
      </x:c>
      <x:c r="AH113" s="14">
        <x:f>IF($C113="","",VLOOKUP($C113,Config!$A$2:$Y$4,13,FALSE))</x:f>
      </x:c>
      <x:c r="AI113" s="14">
        <x:f>IF($C113="","",VLOOKUP($C113,Config!$A$2:$Y$4,14,FALSE))</x:f>
      </x:c>
      <x:c r="AJ113" s="14">
        <x:f>IF($C113="","",VLOOKUP($C113,Config!$A$2:$Y$4,15,FALSE))</x:f>
      </x:c>
      <x:c r="AK113" s="14">
        <x:f>IF($C113="","",VLOOKUP($C113,Config!$A$2:$Y$4,16,FALSE))</x:f>
      </x:c>
      <x:c r="AL113" s="14">
        <x:f>IF($C113="","",VLOOKUP($C113,Config!$A$2:$Y$4,17,FALSE))</x:f>
      </x:c>
      <x:c r="AM113" s="14">
        <x:f>IF($C113="","",VLOOKUP($C113,Config!$A$2:$Y$4,18,FALSE))</x:f>
      </x:c>
      <x:c r="AN113" s="14">
        <x:f>IF($C113="","",VLOOKUP($C113,Config!$A$2:$Y$4,19,FALSE))</x:f>
      </x:c>
      <x:c r="AO113" s="14">
        <x:f>IF($C113="","",VLOOKUP($C113,Config!$A$2:$Y$4,20,FALSE))</x:f>
      </x:c>
      <x:c r="AP113" s="14">
        <x:f>IF($C113="","",VLOOKUP($C113,Config!$A$2:$Y$4,21,FALSE))</x:f>
      </x:c>
      <x:c r="AQ113" s="14">
        <x:f>IF($C113="","",VLOOKUP($C113,Config!$A$2:$Y$4,22,FALSE))</x:f>
      </x:c>
      <x:c r="AR113" s="14">
        <x:f>IF($C113="","",VLOOKUP($C113,Config!$A$2:$Y$4,23,FALSE))</x:f>
      </x:c>
      <x:c r="AS113" s="13">
        <x:f>IF($C113="","",IF($H113="Extra",3,IF($H113="I",2,IF($H113="II",1,0)))&gt;=IF($AA113="Extra",3,IF($AA113="I",2,IF($AA113="II",1,0))))</x:f>
      </x:c>
      <x:c r="AT113" s="13">
        <x:f>IF($C113="","",IF($I113="",FALSE,$I113&gt;=$AB113))</x:f>
      </x:c>
      <x:c r="AU113" s="13">
        <x:f>IF($C113="","",IF($AC113="",TRUE,IF($J113="",FALSE,$J113&lt;=$AC113)))</x:f>
      </x:c>
      <x:c r="AV113" s="13">
        <x:f>IF($C113="","",IF($AD113="",TRUE,IF($K113="",FALSE,$K113&lt;=$AD113)))</x:f>
      </x:c>
      <x:c r="AW113" s="13">
        <x:f>IF($C113="","",IF($AE113="",TRUE,IF($L113="",FALSE,$L113&lt;=$AE113)))</x:f>
      </x:c>
      <x:c r="AX113" s="13">
        <x:f>IF($C113="","",IF($AF113="",TRUE,IF($M113="",FALSE,$M113&lt;=$AF113)))</x:f>
      </x:c>
      <x:c r="AY113" s="13">
        <x:f>IF($C113="","",IF($AG113="",TRUE,IF($N113="",FALSE,$N113&gt;=$AG113)))</x:f>
      </x:c>
      <x:c r="AZ113" s="13">
        <x:f>IF($C113="","",IF(OR($AH113="",$AI113=""),TRUE,IF($O113="",FALSE,AND($O113&gt;=$AH113,$O113&lt;=$AI113))))</x:f>
      </x:c>
      <x:c r="BA113" s="13">
        <x:f>IF($C113="","",IF($AJ113="Y",$P113="Y",TRUE))</x:f>
      </x:c>
      <x:c r="BB113" s="13">
        <x:f>IF($C113="","",IF($AK113="Y",$Q113="Y",TRUE))</x:f>
      </x:c>
      <x:c r="BC113" s="13">
        <x:f>IF($C113="","",IF($AL113="Y",$R113="Y",TRUE))</x:f>
      </x:c>
      <x:c r="BD113" s="13">
        <x:f>IF($C113="","",IF($AM113="Y",$S113="Y",TRUE))</x:f>
      </x:c>
      <x:c r="BE113" s="13">
        <x:f>IF($C113="","",IF($AN113="Y",$T113="Y",TRUE))</x:f>
      </x:c>
      <x:c r="BF113" s="13">
        <x:f>IF($C113="","",IF($AO113="",TRUE,IF($U113="",FALSE,$U113&lt;=$AO113)))</x:f>
      </x:c>
      <x:c r="BG113" s="13">
        <x:f>IF($C113="","",IF($AP113="",TRUE,IF($V113="",FALSE,$V113&lt;=$AP113)))</x:f>
      </x:c>
      <x:c r="BH113" s="13">
        <x:f>IF($C113="","",IF($AQ113="",TRUE,IF($W113="",FALSE,$W113&lt;=$AQ113)))</x:f>
      </x:c>
      <x:c r="BI113" s="13">
        <x:f>IF($C113="","",IF($AR113="",TRUE,IF($X113="",FALSE,$X113&lt;=$AR113)))</x:f>
      </x:c>
      <x:c r="BJ113" s="15">
        <x:f>IF($C113="","",IF($Y113="",0,$Y113)+IF($AS113,10,0)+IF($AT113,8,0)+IF($AU113,5,0)+IF($AV113,8,0)+IF($AW113,15,0)+IF($AX113,4,0)+IF($AY113,5,0)+IF($AZ113,10,0)+IF($BA113,8,0)+IF($BB113,4,0)+IF($BC113,6,0)+IF($BD113,3,0)+IF($BE113,2,0)+IF($BF113,2,0)+IF($BG113,2,0)+IF($BH113,2,0)+IF($BI113,1,0))</x:f>
      </x:c>
      <x:c r="BK113" s="15">
        <x:f>IF($C113="","",IF(NOT($AS113),1,0)+IF(NOT($AW113),1,0)+IF(NOT($AZ113),1,0)+IF(NOT($BA113),1,0)+IF(NOT($BB113),1,0)+IF(NOT($BC113),1,0))</x:f>
      </x:c>
      <x:c r="BL113" s="13">
        <x:f>IF($C113="","",IF($BK113&gt;0,"REJECT",IF(COUNTIF($AS113:$BI113,FALSE)=0,"ACCEPT",IF($BJ113&gt;=85,"ACCEPT WITH SORTING / DISCOUNT","REJECT"))))</x:f>
      </x:c>
    </x:row>
    <x:row r="114" ht="24" customHeight="1">
      <x:c r="A114" s="10" t="n"/>
      <x:c r="B114" s="11" t="n"/>
      <x:c r="C114" s="11" t="n"/>
      <x:c r="D114" s="11" t="n"/>
      <x:c r="E114" s="11" t="n"/>
      <x:c r="F114" s="11" t="n"/>
      <x:c r="G114" s="11" t="n"/>
      <x:c r="H114" s="11" t="n"/>
      <x:c r="I114" s="12" t="n"/>
      <x:c r="J114" s="12" t="n"/>
      <x:c r="K114" s="12" t="n"/>
      <x:c r="L114" s="12" t="n"/>
      <x:c r="M114" s="12" t="n"/>
      <x:c r="N114" s="12" t="n"/>
      <x:c r="O114" s="12" t="n"/>
      <x:c r="P114" s="11" t="n"/>
      <x:c r="Q114" s="11" t="n"/>
      <x:c r="R114" s="11" t="n"/>
      <x:c r="S114" s="11" t="n"/>
      <x:c r="T114" s="11" t="n"/>
      <x:c r="U114" s="12" t="n"/>
      <x:c r="V114" s="12" t="n"/>
      <x:c r="W114" s="12" t="n"/>
      <x:c r="X114" s="12" t="n"/>
      <x:c r="Y114" s="12" t="n"/>
      <x:c r="Z114" s="13">
        <x:f>IF($C114="","",VLOOKUP($C114,Config!$A$2:$Y$4,2,FALSE))</x:f>
      </x:c>
      <x:c r="AA114" s="13">
        <x:f>IF($C114="","",VLOOKUP($C114,Config!$A$2:$Y$4,5,FALSE))</x:f>
      </x:c>
      <x:c r="AB114" s="14">
        <x:f>IF($C114="","",VLOOKUP($C114,Config!$A$2:$Y$4,7,FALSE))</x:f>
      </x:c>
      <x:c r="AC114" s="14">
        <x:f>IF($C114="","",VLOOKUP($C114,Config!$A$2:$Y$4,8,FALSE))</x:f>
      </x:c>
      <x:c r="AD114" s="14">
        <x:f>IF($C114="","",VLOOKUP($C114,Config!$A$2:$Y$4,9,FALSE))</x:f>
      </x:c>
      <x:c r="AE114" s="14">
        <x:f>IF($C114="","",VLOOKUP($C114,Config!$A$2:$Y$4,10,FALSE))</x:f>
      </x:c>
      <x:c r="AF114" s="14">
        <x:f>IF($C114="","",VLOOKUP($C114,Config!$A$2:$Y$4,11,FALSE))</x:f>
      </x:c>
      <x:c r="AG114" s="14">
        <x:f>IF($C114="","",VLOOKUP($C114,Config!$A$2:$Y$4,12,FALSE))</x:f>
      </x:c>
      <x:c r="AH114" s="14">
        <x:f>IF($C114="","",VLOOKUP($C114,Config!$A$2:$Y$4,13,FALSE))</x:f>
      </x:c>
      <x:c r="AI114" s="14">
        <x:f>IF($C114="","",VLOOKUP($C114,Config!$A$2:$Y$4,14,FALSE))</x:f>
      </x:c>
      <x:c r="AJ114" s="14">
        <x:f>IF($C114="","",VLOOKUP($C114,Config!$A$2:$Y$4,15,FALSE))</x:f>
      </x:c>
      <x:c r="AK114" s="14">
        <x:f>IF($C114="","",VLOOKUP($C114,Config!$A$2:$Y$4,16,FALSE))</x:f>
      </x:c>
      <x:c r="AL114" s="14">
        <x:f>IF($C114="","",VLOOKUP($C114,Config!$A$2:$Y$4,17,FALSE))</x:f>
      </x:c>
      <x:c r="AM114" s="14">
        <x:f>IF($C114="","",VLOOKUP($C114,Config!$A$2:$Y$4,18,FALSE))</x:f>
      </x:c>
      <x:c r="AN114" s="14">
        <x:f>IF($C114="","",VLOOKUP($C114,Config!$A$2:$Y$4,19,FALSE))</x:f>
      </x:c>
      <x:c r="AO114" s="14">
        <x:f>IF($C114="","",VLOOKUP($C114,Config!$A$2:$Y$4,20,FALSE))</x:f>
      </x:c>
      <x:c r="AP114" s="14">
        <x:f>IF($C114="","",VLOOKUP($C114,Config!$A$2:$Y$4,21,FALSE))</x:f>
      </x:c>
      <x:c r="AQ114" s="14">
        <x:f>IF($C114="","",VLOOKUP($C114,Config!$A$2:$Y$4,22,FALSE))</x:f>
      </x:c>
      <x:c r="AR114" s="14">
        <x:f>IF($C114="","",VLOOKUP($C114,Config!$A$2:$Y$4,23,FALSE))</x:f>
      </x:c>
      <x:c r="AS114" s="13">
        <x:f>IF($C114="","",IF($H114="Extra",3,IF($H114="I",2,IF($H114="II",1,0)))&gt;=IF($AA114="Extra",3,IF($AA114="I",2,IF($AA114="II",1,0))))</x:f>
      </x:c>
      <x:c r="AT114" s="13">
        <x:f>IF($C114="","",IF($I114="",FALSE,$I114&gt;=$AB114))</x:f>
      </x:c>
      <x:c r="AU114" s="13">
        <x:f>IF($C114="","",IF($AC114="",TRUE,IF($J114="",FALSE,$J114&lt;=$AC114)))</x:f>
      </x:c>
      <x:c r="AV114" s="13">
        <x:f>IF($C114="","",IF($AD114="",TRUE,IF($K114="",FALSE,$K114&lt;=$AD114)))</x:f>
      </x:c>
      <x:c r="AW114" s="13">
        <x:f>IF($C114="","",IF($AE114="",TRUE,IF($L114="",FALSE,$L114&lt;=$AE114)))</x:f>
      </x:c>
      <x:c r="AX114" s="13">
        <x:f>IF($C114="","",IF($AF114="",TRUE,IF($M114="",FALSE,$M114&lt;=$AF114)))</x:f>
      </x:c>
      <x:c r="AY114" s="13">
        <x:f>IF($C114="","",IF($AG114="",TRUE,IF($N114="",FALSE,$N114&gt;=$AG114)))</x:f>
      </x:c>
      <x:c r="AZ114" s="13">
        <x:f>IF($C114="","",IF(OR($AH114="",$AI114=""),TRUE,IF($O114="",FALSE,AND($O114&gt;=$AH114,$O114&lt;=$AI114))))</x:f>
      </x:c>
      <x:c r="BA114" s="13">
        <x:f>IF($C114="","",IF($AJ114="Y",$P114="Y",TRUE))</x:f>
      </x:c>
      <x:c r="BB114" s="13">
        <x:f>IF($C114="","",IF($AK114="Y",$Q114="Y",TRUE))</x:f>
      </x:c>
      <x:c r="BC114" s="13">
        <x:f>IF($C114="","",IF($AL114="Y",$R114="Y",TRUE))</x:f>
      </x:c>
      <x:c r="BD114" s="13">
        <x:f>IF($C114="","",IF($AM114="Y",$S114="Y",TRUE))</x:f>
      </x:c>
      <x:c r="BE114" s="13">
        <x:f>IF($C114="","",IF($AN114="Y",$T114="Y",TRUE))</x:f>
      </x:c>
      <x:c r="BF114" s="13">
        <x:f>IF($C114="","",IF($AO114="",TRUE,IF($U114="",FALSE,$U114&lt;=$AO114)))</x:f>
      </x:c>
      <x:c r="BG114" s="13">
        <x:f>IF($C114="","",IF($AP114="",TRUE,IF($V114="",FALSE,$V114&lt;=$AP114)))</x:f>
      </x:c>
      <x:c r="BH114" s="13">
        <x:f>IF($C114="","",IF($AQ114="",TRUE,IF($W114="",FALSE,$W114&lt;=$AQ114)))</x:f>
      </x:c>
      <x:c r="BI114" s="13">
        <x:f>IF($C114="","",IF($AR114="",TRUE,IF($X114="",FALSE,$X114&lt;=$AR114)))</x:f>
      </x:c>
      <x:c r="BJ114" s="15">
        <x:f>IF($C114="","",IF($Y114="",0,$Y114)+IF($AS114,10,0)+IF($AT114,8,0)+IF($AU114,5,0)+IF($AV114,8,0)+IF($AW114,15,0)+IF($AX114,4,0)+IF($AY114,5,0)+IF($AZ114,10,0)+IF($BA114,8,0)+IF($BB114,4,0)+IF($BC114,6,0)+IF($BD114,3,0)+IF($BE114,2,0)+IF($BF114,2,0)+IF($BG114,2,0)+IF($BH114,2,0)+IF($BI114,1,0))</x:f>
      </x:c>
      <x:c r="BK114" s="15">
        <x:f>IF($C114="","",IF(NOT($AS114),1,0)+IF(NOT($AW114),1,0)+IF(NOT($AZ114),1,0)+IF(NOT($BA114),1,0)+IF(NOT($BB114),1,0)+IF(NOT($BC114),1,0))</x:f>
      </x:c>
      <x:c r="BL114" s="13">
        <x:f>IF($C114="","",IF($BK114&gt;0,"REJECT",IF(COUNTIF($AS114:$BI114,FALSE)=0,"ACCEPT",IF($BJ114&gt;=85,"ACCEPT WITH SORTING / DISCOUNT","REJECT"))))</x:f>
      </x:c>
    </x:row>
    <x:row r="115" ht="24" customHeight="1">
      <x:c r="A115" s="10" t="n"/>
      <x:c r="B115" s="11" t="n"/>
      <x:c r="C115" s="11" t="n"/>
      <x:c r="D115" s="11" t="n"/>
      <x:c r="E115" s="11" t="n"/>
      <x:c r="F115" s="11" t="n"/>
      <x:c r="G115" s="11" t="n"/>
      <x:c r="H115" s="11" t="n"/>
      <x:c r="I115" s="12" t="n"/>
      <x:c r="J115" s="12" t="n"/>
      <x:c r="K115" s="12" t="n"/>
      <x:c r="L115" s="12" t="n"/>
      <x:c r="M115" s="12" t="n"/>
      <x:c r="N115" s="12" t="n"/>
      <x:c r="O115" s="12" t="n"/>
      <x:c r="P115" s="11" t="n"/>
      <x:c r="Q115" s="11" t="n"/>
      <x:c r="R115" s="11" t="n"/>
      <x:c r="S115" s="11" t="n"/>
      <x:c r="T115" s="11" t="n"/>
      <x:c r="U115" s="12" t="n"/>
      <x:c r="V115" s="12" t="n"/>
      <x:c r="W115" s="12" t="n"/>
      <x:c r="X115" s="12" t="n"/>
      <x:c r="Y115" s="12" t="n"/>
      <x:c r="Z115" s="13">
        <x:f>IF($C115="","",VLOOKUP($C115,Config!$A$2:$Y$4,2,FALSE))</x:f>
      </x:c>
      <x:c r="AA115" s="13">
        <x:f>IF($C115="","",VLOOKUP($C115,Config!$A$2:$Y$4,5,FALSE))</x:f>
      </x:c>
      <x:c r="AB115" s="14">
        <x:f>IF($C115="","",VLOOKUP($C115,Config!$A$2:$Y$4,7,FALSE))</x:f>
      </x:c>
      <x:c r="AC115" s="14">
        <x:f>IF($C115="","",VLOOKUP($C115,Config!$A$2:$Y$4,8,FALSE))</x:f>
      </x:c>
      <x:c r="AD115" s="14">
        <x:f>IF($C115="","",VLOOKUP($C115,Config!$A$2:$Y$4,9,FALSE))</x:f>
      </x:c>
      <x:c r="AE115" s="14">
        <x:f>IF($C115="","",VLOOKUP($C115,Config!$A$2:$Y$4,10,FALSE))</x:f>
      </x:c>
      <x:c r="AF115" s="14">
        <x:f>IF($C115="","",VLOOKUP($C115,Config!$A$2:$Y$4,11,FALSE))</x:f>
      </x:c>
      <x:c r="AG115" s="14">
        <x:f>IF($C115="","",VLOOKUP($C115,Config!$A$2:$Y$4,12,FALSE))</x:f>
      </x:c>
      <x:c r="AH115" s="14">
        <x:f>IF($C115="","",VLOOKUP($C115,Config!$A$2:$Y$4,13,FALSE))</x:f>
      </x:c>
      <x:c r="AI115" s="14">
        <x:f>IF($C115="","",VLOOKUP($C115,Config!$A$2:$Y$4,14,FALSE))</x:f>
      </x:c>
      <x:c r="AJ115" s="14">
        <x:f>IF($C115="","",VLOOKUP($C115,Config!$A$2:$Y$4,15,FALSE))</x:f>
      </x:c>
      <x:c r="AK115" s="14">
        <x:f>IF($C115="","",VLOOKUP($C115,Config!$A$2:$Y$4,16,FALSE))</x:f>
      </x:c>
      <x:c r="AL115" s="14">
        <x:f>IF($C115="","",VLOOKUP($C115,Config!$A$2:$Y$4,17,FALSE))</x:f>
      </x:c>
      <x:c r="AM115" s="14">
        <x:f>IF($C115="","",VLOOKUP($C115,Config!$A$2:$Y$4,18,FALSE))</x:f>
      </x:c>
      <x:c r="AN115" s="14">
        <x:f>IF($C115="","",VLOOKUP($C115,Config!$A$2:$Y$4,19,FALSE))</x:f>
      </x:c>
      <x:c r="AO115" s="14">
        <x:f>IF($C115="","",VLOOKUP($C115,Config!$A$2:$Y$4,20,FALSE))</x:f>
      </x:c>
      <x:c r="AP115" s="14">
        <x:f>IF($C115="","",VLOOKUP($C115,Config!$A$2:$Y$4,21,FALSE))</x:f>
      </x:c>
      <x:c r="AQ115" s="14">
        <x:f>IF($C115="","",VLOOKUP($C115,Config!$A$2:$Y$4,22,FALSE))</x:f>
      </x:c>
      <x:c r="AR115" s="14">
        <x:f>IF($C115="","",VLOOKUP($C115,Config!$A$2:$Y$4,23,FALSE))</x:f>
      </x:c>
      <x:c r="AS115" s="13">
        <x:f>IF($C115="","",IF($H115="Extra",3,IF($H115="I",2,IF($H115="II",1,0)))&gt;=IF($AA115="Extra",3,IF($AA115="I",2,IF($AA115="II",1,0))))</x:f>
      </x:c>
      <x:c r="AT115" s="13">
        <x:f>IF($C115="","",IF($I115="",FALSE,$I115&gt;=$AB115))</x:f>
      </x:c>
      <x:c r="AU115" s="13">
        <x:f>IF($C115="","",IF($AC115="",TRUE,IF($J115="",FALSE,$J115&lt;=$AC115)))</x:f>
      </x:c>
      <x:c r="AV115" s="13">
        <x:f>IF($C115="","",IF($AD115="",TRUE,IF($K115="",FALSE,$K115&lt;=$AD115)))</x:f>
      </x:c>
      <x:c r="AW115" s="13">
        <x:f>IF($C115="","",IF($AE115="",TRUE,IF($L115="",FALSE,$L115&lt;=$AE115)))</x:f>
      </x:c>
      <x:c r="AX115" s="13">
        <x:f>IF($C115="","",IF($AF115="",TRUE,IF($M115="",FALSE,$M115&lt;=$AF115)))</x:f>
      </x:c>
      <x:c r="AY115" s="13">
        <x:f>IF($C115="","",IF($AG115="",TRUE,IF($N115="",FALSE,$N115&gt;=$AG115)))</x:f>
      </x:c>
      <x:c r="AZ115" s="13">
        <x:f>IF($C115="","",IF(OR($AH115="",$AI115=""),TRUE,IF($O115="",FALSE,AND($O115&gt;=$AH115,$O115&lt;=$AI115))))</x:f>
      </x:c>
      <x:c r="BA115" s="13">
        <x:f>IF($C115="","",IF($AJ115="Y",$P115="Y",TRUE))</x:f>
      </x:c>
      <x:c r="BB115" s="13">
        <x:f>IF($C115="","",IF($AK115="Y",$Q115="Y",TRUE))</x:f>
      </x:c>
      <x:c r="BC115" s="13">
        <x:f>IF($C115="","",IF($AL115="Y",$R115="Y",TRUE))</x:f>
      </x:c>
      <x:c r="BD115" s="13">
        <x:f>IF($C115="","",IF($AM115="Y",$S115="Y",TRUE))</x:f>
      </x:c>
      <x:c r="BE115" s="13">
        <x:f>IF($C115="","",IF($AN115="Y",$T115="Y",TRUE))</x:f>
      </x:c>
      <x:c r="BF115" s="13">
        <x:f>IF($C115="","",IF($AO115="",TRUE,IF($U115="",FALSE,$U115&lt;=$AO115)))</x:f>
      </x:c>
      <x:c r="BG115" s="13">
        <x:f>IF($C115="","",IF($AP115="",TRUE,IF($V115="",FALSE,$V115&lt;=$AP115)))</x:f>
      </x:c>
      <x:c r="BH115" s="13">
        <x:f>IF($C115="","",IF($AQ115="",TRUE,IF($W115="",FALSE,$W115&lt;=$AQ115)))</x:f>
      </x:c>
      <x:c r="BI115" s="13">
        <x:f>IF($C115="","",IF($AR115="",TRUE,IF($X115="",FALSE,$X115&lt;=$AR115)))</x:f>
      </x:c>
      <x:c r="BJ115" s="15">
        <x:f>IF($C115="","",IF($Y115="",0,$Y115)+IF($AS115,10,0)+IF($AT115,8,0)+IF($AU115,5,0)+IF($AV115,8,0)+IF($AW115,15,0)+IF($AX115,4,0)+IF($AY115,5,0)+IF($AZ115,10,0)+IF($BA115,8,0)+IF($BB115,4,0)+IF($BC115,6,0)+IF($BD115,3,0)+IF($BE115,2,0)+IF($BF115,2,0)+IF($BG115,2,0)+IF($BH115,2,0)+IF($BI115,1,0))</x:f>
      </x:c>
      <x:c r="BK115" s="15">
        <x:f>IF($C115="","",IF(NOT($AS115),1,0)+IF(NOT($AW115),1,0)+IF(NOT($AZ115),1,0)+IF(NOT($BA115),1,0)+IF(NOT($BB115),1,0)+IF(NOT($BC115),1,0))</x:f>
      </x:c>
      <x:c r="BL115" s="13">
        <x:f>IF($C115="","",IF($BK115&gt;0,"REJECT",IF(COUNTIF($AS115:$BI115,FALSE)=0,"ACCEPT",IF($BJ115&gt;=85,"ACCEPT WITH SORTING / DISCOUNT","REJECT"))))</x:f>
      </x:c>
    </x:row>
    <x:row r="116" ht="24" customHeight="1">
      <x:c r="A116" s="10" t="n"/>
      <x:c r="B116" s="11" t="n"/>
      <x:c r="C116" s="11" t="n"/>
      <x:c r="D116" s="11" t="n"/>
      <x:c r="E116" s="11" t="n"/>
      <x:c r="F116" s="11" t="n"/>
      <x:c r="G116" s="11" t="n"/>
      <x:c r="H116" s="11" t="n"/>
      <x:c r="I116" s="12" t="n"/>
      <x:c r="J116" s="12" t="n"/>
      <x:c r="K116" s="12" t="n"/>
      <x:c r="L116" s="12" t="n"/>
      <x:c r="M116" s="12" t="n"/>
      <x:c r="N116" s="12" t="n"/>
      <x:c r="O116" s="12" t="n"/>
      <x:c r="P116" s="11" t="n"/>
      <x:c r="Q116" s="11" t="n"/>
      <x:c r="R116" s="11" t="n"/>
      <x:c r="S116" s="11" t="n"/>
      <x:c r="T116" s="11" t="n"/>
      <x:c r="U116" s="12" t="n"/>
      <x:c r="V116" s="12" t="n"/>
      <x:c r="W116" s="12" t="n"/>
      <x:c r="X116" s="12" t="n"/>
      <x:c r="Y116" s="12" t="n"/>
      <x:c r="Z116" s="13">
        <x:f>IF($C116="","",VLOOKUP($C116,Config!$A$2:$Y$4,2,FALSE))</x:f>
      </x:c>
      <x:c r="AA116" s="13">
        <x:f>IF($C116="","",VLOOKUP($C116,Config!$A$2:$Y$4,5,FALSE))</x:f>
      </x:c>
      <x:c r="AB116" s="14">
        <x:f>IF($C116="","",VLOOKUP($C116,Config!$A$2:$Y$4,7,FALSE))</x:f>
      </x:c>
      <x:c r="AC116" s="14">
        <x:f>IF($C116="","",VLOOKUP($C116,Config!$A$2:$Y$4,8,FALSE))</x:f>
      </x:c>
      <x:c r="AD116" s="14">
        <x:f>IF($C116="","",VLOOKUP($C116,Config!$A$2:$Y$4,9,FALSE))</x:f>
      </x:c>
      <x:c r="AE116" s="14">
        <x:f>IF($C116="","",VLOOKUP($C116,Config!$A$2:$Y$4,10,FALSE))</x:f>
      </x:c>
      <x:c r="AF116" s="14">
        <x:f>IF($C116="","",VLOOKUP($C116,Config!$A$2:$Y$4,11,FALSE))</x:f>
      </x:c>
      <x:c r="AG116" s="14">
        <x:f>IF($C116="","",VLOOKUP($C116,Config!$A$2:$Y$4,12,FALSE))</x:f>
      </x:c>
      <x:c r="AH116" s="14">
        <x:f>IF($C116="","",VLOOKUP($C116,Config!$A$2:$Y$4,13,FALSE))</x:f>
      </x:c>
      <x:c r="AI116" s="14">
        <x:f>IF($C116="","",VLOOKUP($C116,Config!$A$2:$Y$4,14,FALSE))</x:f>
      </x:c>
      <x:c r="AJ116" s="14">
        <x:f>IF($C116="","",VLOOKUP($C116,Config!$A$2:$Y$4,15,FALSE))</x:f>
      </x:c>
      <x:c r="AK116" s="14">
        <x:f>IF($C116="","",VLOOKUP($C116,Config!$A$2:$Y$4,16,FALSE))</x:f>
      </x:c>
      <x:c r="AL116" s="14">
        <x:f>IF($C116="","",VLOOKUP($C116,Config!$A$2:$Y$4,17,FALSE))</x:f>
      </x:c>
      <x:c r="AM116" s="14">
        <x:f>IF($C116="","",VLOOKUP($C116,Config!$A$2:$Y$4,18,FALSE))</x:f>
      </x:c>
      <x:c r="AN116" s="14">
        <x:f>IF($C116="","",VLOOKUP($C116,Config!$A$2:$Y$4,19,FALSE))</x:f>
      </x:c>
      <x:c r="AO116" s="14">
        <x:f>IF($C116="","",VLOOKUP($C116,Config!$A$2:$Y$4,20,FALSE))</x:f>
      </x:c>
      <x:c r="AP116" s="14">
        <x:f>IF($C116="","",VLOOKUP($C116,Config!$A$2:$Y$4,21,FALSE))</x:f>
      </x:c>
      <x:c r="AQ116" s="14">
        <x:f>IF($C116="","",VLOOKUP($C116,Config!$A$2:$Y$4,22,FALSE))</x:f>
      </x:c>
      <x:c r="AR116" s="14">
        <x:f>IF($C116="","",VLOOKUP($C116,Config!$A$2:$Y$4,23,FALSE))</x:f>
      </x:c>
      <x:c r="AS116" s="13">
        <x:f>IF($C116="","",IF($H116="Extra",3,IF($H116="I",2,IF($H116="II",1,0)))&gt;=IF($AA116="Extra",3,IF($AA116="I",2,IF($AA116="II",1,0))))</x:f>
      </x:c>
      <x:c r="AT116" s="13">
        <x:f>IF($C116="","",IF($I116="",FALSE,$I116&gt;=$AB116))</x:f>
      </x:c>
      <x:c r="AU116" s="13">
        <x:f>IF($C116="","",IF($AC116="",TRUE,IF($J116="",FALSE,$J116&lt;=$AC116)))</x:f>
      </x:c>
      <x:c r="AV116" s="13">
        <x:f>IF($C116="","",IF($AD116="",TRUE,IF($K116="",FALSE,$K116&lt;=$AD116)))</x:f>
      </x:c>
      <x:c r="AW116" s="13">
        <x:f>IF($C116="","",IF($AE116="",TRUE,IF($L116="",FALSE,$L116&lt;=$AE116)))</x:f>
      </x:c>
      <x:c r="AX116" s="13">
        <x:f>IF($C116="","",IF($AF116="",TRUE,IF($M116="",FALSE,$M116&lt;=$AF116)))</x:f>
      </x:c>
      <x:c r="AY116" s="13">
        <x:f>IF($C116="","",IF($AG116="",TRUE,IF($N116="",FALSE,$N116&gt;=$AG116)))</x:f>
      </x:c>
      <x:c r="AZ116" s="13">
        <x:f>IF($C116="","",IF(OR($AH116="",$AI116=""),TRUE,IF($O116="",FALSE,AND($O116&gt;=$AH116,$O116&lt;=$AI116))))</x:f>
      </x:c>
      <x:c r="BA116" s="13">
        <x:f>IF($C116="","",IF($AJ116="Y",$P116="Y",TRUE))</x:f>
      </x:c>
      <x:c r="BB116" s="13">
        <x:f>IF($C116="","",IF($AK116="Y",$Q116="Y",TRUE))</x:f>
      </x:c>
      <x:c r="BC116" s="13">
        <x:f>IF($C116="","",IF($AL116="Y",$R116="Y",TRUE))</x:f>
      </x:c>
      <x:c r="BD116" s="13">
        <x:f>IF($C116="","",IF($AM116="Y",$S116="Y",TRUE))</x:f>
      </x:c>
      <x:c r="BE116" s="13">
        <x:f>IF($C116="","",IF($AN116="Y",$T116="Y",TRUE))</x:f>
      </x:c>
      <x:c r="BF116" s="13">
        <x:f>IF($C116="","",IF($AO116="",TRUE,IF($U116="",FALSE,$U116&lt;=$AO116)))</x:f>
      </x:c>
      <x:c r="BG116" s="13">
        <x:f>IF($C116="","",IF($AP116="",TRUE,IF($V116="",FALSE,$V116&lt;=$AP116)))</x:f>
      </x:c>
      <x:c r="BH116" s="13">
        <x:f>IF($C116="","",IF($AQ116="",TRUE,IF($W116="",FALSE,$W116&lt;=$AQ116)))</x:f>
      </x:c>
      <x:c r="BI116" s="13">
        <x:f>IF($C116="","",IF($AR116="",TRUE,IF($X116="",FALSE,$X116&lt;=$AR116)))</x:f>
      </x:c>
      <x:c r="BJ116" s="15">
        <x:f>IF($C116="","",IF($Y116="",0,$Y116)+IF($AS116,10,0)+IF($AT116,8,0)+IF($AU116,5,0)+IF($AV116,8,0)+IF($AW116,15,0)+IF($AX116,4,0)+IF($AY116,5,0)+IF($AZ116,10,0)+IF($BA116,8,0)+IF($BB116,4,0)+IF($BC116,6,0)+IF($BD116,3,0)+IF($BE116,2,0)+IF($BF116,2,0)+IF($BG116,2,0)+IF($BH116,2,0)+IF($BI116,1,0))</x:f>
      </x:c>
      <x:c r="BK116" s="15">
        <x:f>IF($C116="","",IF(NOT($AS116),1,0)+IF(NOT($AW116),1,0)+IF(NOT($AZ116),1,0)+IF(NOT($BA116),1,0)+IF(NOT($BB116),1,0)+IF(NOT($BC116),1,0))</x:f>
      </x:c>
      <x:c r="BL116" s="13">
        <x:f>IF($C116="","",IF($BK116&gt;0,"REJECT",IF(COUNTIF($AS116:$BI116,FALSE)=0,"ACCEPT",IF($BJ116&gt;=85,"ACCEPT WITH SORTING / DISCOUNT","REJECT"))))</x:f>
      </x:c>
    </x:row>
    <x:row r="117" ht="24" customHeight="1">
      <x:c r="A117" s="10" t="n"/>
      <x:c r="B117" s="11" t="n"/>
      <x:c r="C117" s="11" t="n"/>
      <x:c r="D117" s="11" t="n"/>
      <x:c r="E117" s="11" t="n"/>
      <x:c r="F117" s="11" t="n"/>
      <x:c r="G117" s="11" t="n"/>
      <x:c r="H117" s="11" t="n"/>
      <x:c r="I117" s="12" t="n"/>
      <x:c r="J117" s="12" t="n"/>
      <x:c r="K117" s="12" t="n"/>
      <x:c r="L117" s="12" t="n"/>
      <x:c r="M117" s="12" t="n"/>
      <x:c r="N117" s="12" t="n"/>
      <x:c r="O117" s="12" t="n"/>
      <x:c r="P117" s="11" t="n"/>
      <x:c r="Q117" s="11" t="n"/>
      <x:c r="R117" s="11" t="n"/>
      <x:c r="S117" s="11" t="n"/>
      <x:c r="T117" s="11" t="n"/>
      <x:c r="U117" s="12" t="n"/>
      <x:c r="V117" s="12" t="n"/>
      <x:c r="W117" s="12" t="n"/>
      <x:c r="X117" s="12" t="n"/>
      <x:c r="Y117" s="12" t="n"/>
      <x:c r="Z117" s="13">
        <x:f>IF($C117="","",VLOOKUP($C117,Config!$A$2:$Y$4,2,FALSE))</x:f>
      </x:c>
      <x:c r="AA117" s="13">
        <x:f>IF($C117="","",VLOOKUP($C117,Config!$A$2:$Y$4,5,FALSE))</x:f>
      </x:c>
      <x:c r="AB117" s="14">
        <x:f>IF($C117="","",VLOOKUP($C117,Config!$A$2:$Y$4,7,FALSE))</x:f>
      </x:c>
      <x:c r="AC117" s="14">
        <x:f>IF($C117="","",VLOOKUP($C117,Config!$A$2:$Y$4,8,FALSE))</x:f>
      </x:c>
      <x:c r="AD117" s="14">
        <x:f>IF($C117="","",VLOOKUP($C117,Config!$A$2:$Y$4,9,FALSE))</x:f>
      </x:c>
      <x:c r="AE117" s="14">
        <x:f>IF($C117="","",VLOOKUP($C117,Config!$A$2:$Y$4,10,FALSE))</x:f>
      </x:c>
      <x:c r="AF117" s="14">
        <x:f>IF($C117="","",VLOOKUP($C117,Config!$A$2:$Y$4,11,FALSE))</x:f>
      </x:c>
      <x:c r="AG117" s="14">
        <x:f>IF($C117="","",VLOOKUP($C117,Config!$A$2:$Y$4,12,FALSE))</x:f>
      </x:c>
      <x:c r="AH117" s="14">
        <x:f>IF($C117="","",VLOOKUP($C117,Config!$A$2:$Y$4,13,FALSE))</x:f>
      </x:c>
      <x:c r="AI117" s="14">
        <x:f>IF($C117="","",VLOOKUP($C117,Config!$A$2:$Y$4,14,FALSE))</x:f>
      </x:c>
      <x:c r="AJ117" s="14">
        <x:f>IF($C117="","",VLOOKUP($C117,Config!$A$2:$Y$4,15,FALSE))</x:f>
      </x:c>
      <x:c r="AK117" s="14">
        <x:f>IF($C117="","",VLOOKUP($C117,Config!$A$2:$Y$4,16,FALSE))</x:f>
      </x:c>
      <x:c r="AL117" s="14">
        <x:f>IF($C117="","",VLOOKUP($C117,Config!$A$2:$Y$4,17,FALSE))</x:f>
      </x:c>
      <x:c r="AM117" s="14">
        <x:f>IF($C117="","",VLOOKUP($C117,Config!$A$2:$Y$4,18,FALSE))</x:f>
      </x:c>
      <x:c r="AN117" s="14">
        <x:f>IF($C117="","",VLOOKUP($C117,Config!$A$2:$Y$4,19,FALSE))</x:f>
      </x:c>
      <x:c r="AO117" s="14">
        <x:f>IF($C117="","",VLOOKUP($C117,Config!$A$2:$Y$4,20,FALSE))</x:f>
      </x:c>
      <x:c r="AP117" s="14">
        <x:f>IF($C117="","",VLOOKUP($C117,Config!$A$2:$Y$4,21,FALSE))</x:f>
      </x:c>
      <x:c r="AQ117" s="14">
        <x:f>IF($C117="","",VLOOKUP($C117,Config!$A$2:$Y$4,22,FALSE))</x:f>
      </x:c>
      <x:c r="AR117" s="14">
        <x:f>IF($C117="","",VLOOKUP($C117,Config!$A$2:$Y$4,23,FALSE))</x:f>
      </x:c>
      <x:c r="AS117" s="13">
        <x:f>IF($C117="","",IF($H117="Extra",3,IF($H117="I",2,IF($H117="II",1,0)))&gt;=IF($AA117="Extra",3,IF($AA117="I",2,IF($AA117="II",1,0))))</x:f>
      </x:c>
      <x:c r="AT117" s="13">
        <x:f>IF($C117="","",IF($I117="",FALSE,$I117&gt;=$AB117))</x:f>
      </x:c>
      <x:c r="AU117" s="13">
        <x:f>IF($C117="","",IF($AC117="",TRUE,IF($J117="",FALSE,$J117&lt;=$AC117)))</x:f>
      </x:c>
      <x:c r="AV117" s="13">
        <x:f>IF($C117="","",IF($AD117="",TRUE,IF($K117="",FALSE,$K117&lt;=$AD117)))</x:f>
      </x:c>
      <x:c r="AW117" s="13">
        <x:f>IF($C117="","",IF($AE117="",TRUE,IF($L117="",FALSE,$L117&lt;=$AE117)))</x:f>
      </x:c>
      <x:c r="AX117" s="13">
        <x:f>IF($C117="","",IF($AF117="",TRUE,IF($M117="",FALSE,$M117&lt;=$AF117)))</x:f>
      </x:c>
      <x:c r="AY117" s="13">
        <x:f>IF($C117="","",IF($AG117="",TRUE,IF($N117="",FALSE,$N117&gt;=$AG117)))</x:f>
      </x:c>
      <x:c r="AZ117" s="13">
        <x:f>IF($C117="","",IF(OR($AH117="",$AI117=""),TRUE,IF($O117="",FALSE,AND($O117&gt;=$AH117,$O117&lt;=$AI117))))</x:f>
      </x:c>
      <x:c r="BA117" s="13">
        <x:f>IF($C117="","",IF($AJ117="Y",$P117="Y",TRUE))</x:f>
      </x:c>
      <x:c r="BB117" s="13">
        <x:f>IF($C117="","",IF($AK117="Y",$Q117="Y",TRUE))</x:f>
      </x:c>
      <x:c r="BC117" s="13">
        <x:f>IF($C117="","",IF($AL117="Y",$R117="Y",TRUE))</x:f>
      </x:c>
      <x:c r="BD117" s="13">
        <x:f>IF($C117="","",IF($AM117="Y",$S117="Y",TRUE))</x:f>
      </x:c>
      <x:c r="BE117" s="13">
        <x:f>IF($C117="","",IF($AN117="Y",$T117="Y",TRUE))</x:f>
      </x:c>
      <x:c r="BF117" s="13">
        <x:f>IF($C117="","",IF($AO117="",TRUE,IF($U117="",FALSE,$U117&lt;=$AO117)))</x:f>
      </x:c>
      <x:c r="BG117" s="13">
        <x:f>IF($C117="","",IF($AP117="",TRUE,IF($V117="",FALSE,$V117&lt;=$AP117)))</x:f>
      </x:c>
      <x:c r="BH117" s="13">
        <x:f>IF($C117="","",IF($AQ117="",TRUE,IF($W117="",FALSE,$W117&lt;=$AQ117)))</x:f>
      </x:c>
      <x:c r="BI117" s="13">
        <x:f>IF($C117="","",IF($AR117="",TRUE,IF($X117="",FALSE,$X117&lt;=$AR117)))</x:f>
      </x:c>
      <x:c r="BJ117" s="15">
        <x:f>IF($C117="","",IF($Y117="",0,$Y117)+IF($AS117,10,0)+IF($AT117,8,0)+IF($AU117,5,0)+IF($AV117,8,0)+IF($AW117,15,0)+IF($AX117,4,0)+IF($AY117,5,0)+IF($AZ117,10,0)+IF($BA117,8,0)+IF($BB117,4,0)+IF($BC117,6,0)+IF($BD117,3,0)+IF($BE117,2,0)+IF($BF117,2,0)+IF($BG117,2,0)+IF($BH117,2,0)+IF($BI117,1,0))</x:f>
      </x:c>
      <x:c r="BK117" s="15">
        <x:f>IF($C117="","",IF(NOT($AS117),1,0)+IF(NOT($AW117),1,0)+IF(NOT($AZ117),1,0)+IF(NOT($BA117),1,0)+IF(NOT($BB117),1,0)+IF(NOT($BC117),1,0))</x:f>
      </x:c>
      <x:c r="BL117" s="13">
        <x:f>IF($C117="","",IF($BK117&gt;0,"REJECT",IF(COUNTIF($AS117:$BI117,FALSE)=0,"ACCEPT",IF($BJ117&gt;=85,"ACCEPT WITH SORTING / DISCOUNT","REJECT"))))</x:f>
      </x:c>
    </x:row>
    <x:row r="118" ht="24" customHeight="1">
      <x:c r="A118" s="10" t="n"/>
      <x:c r="B118" s="11" t="n"/>
      <x:c r="C118" s="11" t="n"/>
      <x:c r="D118" s="11" t="n"/>
      <x:c r="E118" s="11" t="n"/>
      <x:c r="F118" s="11" t="n"/>
      <x:c r="G118" s="11" t="n"/>
      <x:c r="H118" s="11" t="n"/>
      <x:c r="I118" s="12" t="n"/>
      <x:c r="J118" s="12" t="n"/>
      <x:c r="K118" s="12" t="n"/>
      <x:c r="L118" s="12" t="n"/>
      <x:c r="M118" s="12" t="n"/>
      <x:c r="N118" s="12" t="n"/>
      <x:c r="O118" s="12" t="n"/>
      <x:c r="P118" s="11" t="n"/>
      <x:c r="Q118" s="11" t="n"/>
      <x:c r="R118" s="11" t="n"/>
      <x:c r="S118" s="11" t="n"/>
      <x:c r="T118" s="11" t="n"/>
      <x:c r="U118" s="12" t="n"/>
      <x:c r="V118" s="12" t="n"/>
      <x:c r="W118" s="12" t="n"/>
      <x:c r="X118" s="12" t="n"/>
      <x:c r="Y118" s="12" t="n"/>
      <x:c r="Z118" s="13">
        <x:f>IF($C118="","",VLOOKUP($C118,Config!$A$2:$Y$4,2,FALSE))</x:f>
      </x:c>
      <x:c r="AA118" s="13">
        <x:f>IF($C118="","",VLOOKUP($C118,Config!$A$2:$Y$4,5,FALSE))</x:f>
      </x:c>
      <x:c r="AB118" s="14">
        <x:f>IF($C118="","",VLOOKUP($C118,Config!$A$2:$Y$4,7,FALSE))</x:f>
      </x:c>
      <x:c r="AC118" s="14">
        <x:f>IF($C118="","",VLOOKUP($C118,Config!$A$2:$Y$4,8,FALSE))</x:f>
      </x:c>
      <x:c r="AD118" s="14">
        <x:f>IF($C118="","",VLOOKUP($C118,Config!$A$2:$Y$4,9,FALSE))</x:f>
      </x:c>
      <x:c r="AE118" s="14">
        <x:f>IF($C118="","",VLOOKUP($C118,Config!$A$2:$Y$4,10,FALSE))</x:f>
      </x:c>
      <x:c r="AF118" s="14">
        <x:f>IF($C118="","",VLOOKUP($C118,Config!$A$2:$Y$4,11,FALSE))</x:f>
      </x:c>
      <x:c r="AG118" s="14">
        <x:f>IF($C118="","",VLOOKUP($C118,Config!$A$2:$Y$4,12,FALSE))</x:f>
      </x:c>
      <x:c r="AH118" s="14">
        <x:f>IF($C118="","",VLOOKUP($C118,Config!$A$2:$Y$4,13,FALSE))</x:f>
      </x:c>
      <x:c r="AI118" s="14">
        <x:f>IF($C118="","",VLOOKUP($C118,Config!$A$2:$Y$4,14,FALSE))</x:f>
      </x:c>
      <x:c r="AJ118" s="14">
        <x:f>IF($C118="","",VLOOKUP($C118,Config!$A$2:$Y$4,15,FALSE))</x:f>
      </x:c>
      <x:c r="AK118" s="14">
        <x:f>IF($C118="","",VLOOKUP($C118,Config!$A$2:$Y$4,16,FALSE))</x:f>
      </x:c>
      <x:c r="AL118" s="14">
        <x:f>IF($C118="","",VLOOKUP($C118,Config!$A$2:$Y$4,17,FALSE))</x:f>
      </x:c>
      <x:c r="AM118" s="14">
        <x:f>IF($C118="","",VLOOKUP($C118,Config!$A$2:$Y$4,18,FALSE))</x:f>
      </x:c>
      <x:c r="AN118" s="14">
        <x:f>IF($C118="","",VLOOKUP($C118,Config!$A$2:$Y$4,19,FALSE))</x:f>
      </x:c>
      <x:c r="AO118" s="14">
        <x:f>IF($C118="","",VLOOKUP($C118,Config!$A$2:$Y$4,20,FALSE))</x:f>
      </x:c>
      <x:c r="AP118" s="14">
        <x:f>IF($C118="","",VLOOKUP($C118,Config!$A$2:$Y$4,21,FALSE))</x:f>
      </x:c>
      <x:c r="AQ118" s="14">
        <x:f>IF($C118="","",VLOOKUP($C118,Config!$A$2:$Y$4,22,FALSE))</x:f>
      </x:c>
      <x:c r="AR118" s="14">
        <x:f>IF($C118="","",VLOOKUP($C118,Config!$A$2:$Y$4,23,FALSE))</x:f>
      </x:c>
      <x:c r="AS118" s="13">
        <x:f>IF($C118="","",IF($H118="Extra",3,IF($H118="I",2,IF($H118="II",1,0)))&gt;=IF($AA118="Extra",3,IF($AA118="I",2,IF($AA118="II",1,0))))</x:f>
      </x:c>
      <x:c r="AT118" s="13">
        <x:f>IF($C118="","",IF($I118="",FALSE,$I118&gt;=$AB118))</x:f>
      </x:c>
      <x:c r="AU118" s="13">
        <x:f>IF($C118="","",IF($AC118="",TRUE,IF($J118="",FALSE,$J118&lt;=$AC118)))</x:f>
      </x:c>
      <x:c r="AV118" s="13">
        <x:f>IF($C118="","",IF($AD118="",TRUE,IF($K118="",FALSE,$K118&lt;=$AD118)))</x:f>
      </x:c>
      <x:c r="AW118" s="13">
        <x:f>IF($C118="","",IF($AE118="",TRUE,IF($L118="",FALSE,$L118&lt;=$AE118)))</x:f>
      </x:c>
      <x:c r="AX118" s="13">
        <x:f>IF($C118="","",IF($AF118="",TRUE,IF($M118="",FALSE,$M118&lt;=$AF118)))</x:f>
      </x:c>
      <x:c r="AY118" s="13">
        <x:f>IF($C118="","",IF($AG118="",TRUE,IF($N118="",FALSE,$N118&gt;=$AG118)))</x:f>
      </x:c>
      <x:c r="AZ118" s="13">
        <x:f>IF($C118="","",IF(OR($AH118="",$AI118=""),TRUE,IF($O118="",FALSE,AND($O118&gt;=$AH118,$O118&lt;=$AI118))))</x:f>
      </x:c>
      <x:c r="BA118" s="13">
        <x:f>IF($C118="","",IF($AJ118="Y",$P118="Y",TRUE))</x:f>
      </x:c>
      <x:c r="BB118" s="13">
        <x:f>IF($C118="","",IF($AK118="Y",$Q118="Y",TRUE))</x:f>
      </x:c>
      <x:c r="BC118" s="13">
        <x:f>IF($C118="","",IF($AL118="Y",$R118="Y",TRUE))</x:f>
      </x:c>
      <x:c r="BD118" s="13">
        <x:f>IF($C118="","",IF($AM118="Y",$S118="Y",TRUE))</x:f>
      </x:c>
      <x:c r="BE118" s="13">
        <x:f>IF($C118="","",IF($AN118="Y",$T118="Y",TRUE))</x:f>
      </x:c>
      <x:c r="BF118" s="13">
        <x:f>IF($C118="","",IF($AO118="",TRUE,IF($U118="",FALSE,$U118&lt;=$AO118)))</x:f>
      </x:c>
      <x:c r="BG118" s="13">
        <x:f>IF($C118="","",IF($AP118="",TRUE,IF($V118="",FALSE,$V118&lt;=$AP118)))</x:f>
      </x:c>
      <x:c r="BH118" s="13">
        <x:f>IF($C118="","",IF($AQ118="",TRUE,IF($W118="",FALSE,$W118&lt;=$AQ118)))</x:f>
      </x:c>
      <x:c r="BI118" s="13">
        <x:f>IF($C118="","",IF($AR118="",TRUE,IF($X118="",FALSE,$X118&lt;=$AR118)))</x:f>
      </x:c>
      <x:c r="BJ118" s="15">
        <x:f>IF($C118="","",IF($Y118="",0,$Y118)+IF($AS118,10,0)+IF($AT118,8,0)+IF($AU118,5,0)+IF($AV118,8,0)+IF($AW118,15,0)+IF($AX118,4,0)+IF($AY118,5,0)+IF($AZ118,10,0)+IF($BA118,8,0)+IF($BB118,4,0)+IF($BC118,6,0)+IF($BD118,3,0)+IF($BE118,2,0)+IF($BF118,2,0)+IF($BG118,2,0)+IF($BH118,2,0)+IF($BI118,1,0))</x:f>
      </x:c>
      <x:c r="BK118" s="15">
        <x:f>IF($C118="","",IF(NOT($AS118),1,0)+IF(NOT($AW118),1,0)+IF(NOT($AZ118),1,0)+IF(NOT($BA118),1,0)+IF(NOT($BB118),1,0)+IF(NOT($BC118),1,0))</x:f>
      </x:c>
      <x:c r="BL118" s="13">
        <x:f>IF($C118="","",IF($BK118&gt;0,"REJECT",IF(COUNTIF($AS118:$BI118,FALSE)=0,"ACCEPT",IF($BJ118&gt;=85,"ACCEPT WITH SORTING / DISCOUNT","REJECT"))))</x:f>
      </x:c>
    </x:row>
    <x:row r="119" ht="24" customHeight="1">
      <x:c r="A119" s="10" t="n"/>
      <x:c r="B119" s="11" t="n"/>
      <x:c r="C119" s="11" t="n"/>
      <x:c r="D119" s="11" t="n"/>
      <x:c r="E119" s="11" t="n"/>
      <x:c r="F119" s="11" t="n"/>
      <x:c r="G119" s="11" t="n"/>
      <x:c r="H119" s="11" t="n"/>
      <x:c r="I119" s="12" t="n"/>
      <x:c r="J119" s="12" t="n"/>
      <x:c r="K119" s="12" t="n"/>
      <x:c r="L119" s="12" t="n"/>
      <x:c r="M119" s="12" t="n"/>
      <x:c r="N119" s="12" t="n"/>
      <x:c r="O119" s="12" t="n"/>
      <x:c r="P119" s="11" t="n"/>
      <x:c r="Q119" s="11" t="n"/>
      <x:c r="R119" s="11" t="n"/>
      <x:c r="S119" s="11" t="n"/>
      <x:c r="T119" s="11" t="n"/>
      <x:c r="U119" s="12" t="n"/>
      <x:c r="V119" s="12" t="n"/>
      <x:c r="W119" s="12" t="n"/>
      <x:c r="X119" s="12" t="n"/>
      <x:c r="Y119" s="12" t="n"/>
      <x:c r="Z119" s="13">
        <x:f>IF($C119="","",VLOOKUP($C119,Config!$A$2:$Y$4,2,FALSE))</x:f>
      </x:c>
      <x:c r="AA119" s="13">
        <x:f>IF($C119="","",VLOOKUP($C119,Config!$A$2:$Y$4,5,FALSE))</x:f>
      </x:c>
      <x:c r="AB119" s="14">
        <x:f>IF($C119="","",VLOOKUP($C119,Config!$A$2:$Y$4,7,FALSE))</x:f>
      </x:c>
      <x:c r="AC119" s="14">
        <x:f>IF($C119="","",VLOOKUP($C119,Config!$A$2:$Y$4,8,FALSE))</x:f>
      </x:c>
      <x:c r="AD119" s="14">
        <x:f>IF($C119="","",VLOOKUP($C119,Config!$A$2:$Y$4,9,FALSE))</x:f>
      </x:c>
      <x:c r="AE119" s="14">
        <x:f>IF($C119="","",VLOOKUP($C119,Config!$A$2:$Y$4,10,FALSE))</x:f>
      </x:c>
      <x:c r="AF119" s="14">
        <x:f>IF($C119="","",VLOOKUP($C119,Config!$A$2:$Y$4,11,FALSE))</x:f>
      </x:c>
      <x:c r="AG119" s="14">
        <x:f>IF($C119="","",VLOOKUP($C119,Config!$A$2:$Y$4,12,FALSE))</x:f>
      </x:c>
      <x:c r="AH119" s="14">
        <x:f>IF($C119="","",VLOOKUP($C119,Config!$A$2:$Y$4,13,FALSE))</x:f>
      </x:c>
      <x:c r="AI119" s="14">
        <x:f>IF($C119="","",VLOOKUP($C119,Config!$A$2:$Y$4,14,FALSE))</x:f>
      </x:c>
      <x:c r="AJ119" s="14">
        <x:f>IF($C119="","",VLOOKUP($C119,Config!$A$2:$Y$4,15,FALSE))</x:f>
      </x:c>
      <x:c r="AK119" s="14">
        <x:f>IF($C119="","",VLOOKUP($C119,Config!$A$2:$Y$4,16,FALSE))</x:f>
      </x:c>
      <x:c r="AL119" s="14">
        <x:f>IF($C119="","",VLOOKUP($C119,Config!$A$2:$Y$4,17,FALSE))</x:f>
      </x:c>
      <x:c r="AM119" s="14">
        <x:f>IF($C119="","",VLOOKUP($C119,Config!$A$2:$Y$4,18,FALSE))</x:f>
      </x:c>
      <x:c r="AN119" s="14">
        <x:f>IF($C119="","",VLOOKUP($C119,Config!$A$2:$Y$4,19,FALSE))</x:f>
      </x:c>
      <x:c r="AO119" s="14">
        <x:f>IF($C119="","",VLOOKUP($C119,Config!$A$2:$Y$4,20,FALSE))</x:f>
      </x:c>
      <x:c r="AP119" s="14">
        <x:f>IF($C119="","",VLOOKUP($C119,Config!$A$2:$Y$4,21,FALSE))</x:f>
      </x:c>
      <x:c r="AQ119" s="14">
        <x:f>IF($C119="","",VLOOKUP($C119,Config!$A$2:$Y$4,22,FALSE))</x:f>
      </x:c>
      <x:c r="AR119" s="14">
        <x:f>IF($C119="","",VLOOKUP($C119,Config!$A$2:$Y$4,23,FALSE))</x:f>
      </x:c>
      <x:c r="AS119" s="13">
        <x:f>IF($C119="","",IF($H119="Extra",3,IF($H119="I",2,IF($H119="II",1,0)))&gt;=IF($AA119="Extra",3,IF($AA119="I",2,IF($AA119="II",1,0))))</x:f>
      </x:c>
      <x:c r="AT119" s="13">
        <x:f>IF($C119="","",IF($I119="",FALSE,$I119&gt;=$AB119))</x:f>
      </x:c>
      <x:c r="AU119" s="13">
        <x:f>IF($C119="","",IF($AC119="",TRUE,IF($J119="",FALSE,$J119&lt;=$AC119)))</x:f>
      </x:c>
      <x:c r="AV119" s="13">
        <x:f>IF($C119="","",IF($AD119="",TRUE,IF($K119="",FALSE,$K119&lt;=$AD119)))</x:f>
      </x:c>
      <x:c r="AW119" s="13">
        <x:f>IF($C119="","",IF($AE119="",TRUE,IF($L119="",FALSE,$L119&lt;=$AE119)))</x:f>
      </x:c>
      <x:c r="AX119" s="13">
        <x:f>IF($C119="","",IF($AF119="",TRUE,IF($M119="",FALSE,$M119&lt;=$AF119)))</x:f>
      </x:c>
      <x:c r="AY119" s="13">
        <x:f>IF($C119="","",IF($AG119="",TRUE,IF($N119="",FALSE,$N119&gt;=$AG119)))</x:f>
      </x:c>
      <x:c r="AZ119" s="13">
        <x:f>IF($C119="","",IF(OR($AH119="",$AI119=""),TRUE,IF($O119="",FALSE,AND($O119&gt;=$AH119,$O119&lt;=$AI119))))</x:f>
      </x:c>
      <x:c r="BA119" s="13">
        <x:f>IF($C119="","",IF($AJ119="Y",$P119="Y",TRUE))</x:f>
      </x:c>
      <x:c r="BB119" s="13">
        <x:f>IF($C119="","",IF($AK119="Y",$Q119="Y",TRUE))</x:f>
      </x:c>
      <x:c r="BC119" s="13">
        <x:f>IF($C119="","",IF($AL119="Y",$R119="Y",TRUE))</x:f>
      </x:c>
      <x:c r="BD119" s="13">
        <x:f>IF($C119="","",IF($AM119="Y",$S119="Y",TRUE))</x:f>
      </x:c>
      <x:c r="BE119" s="13">
        <x:f>IF($C119="","",IF($AN119="Y",$T119="Y",TRUE))</x:f>
      </x:c>
      <x:c r="BF119" s="13">
        <x:f>IF($C119="","",IF($AO119="",TRUE,IF($U119="",FALSE,$U119&lt;=$AO119)))</x:f>
      </x:c>
      <x:c r="BG119" s="13">
        <x:f>IF($C119="","",IF($AP119="",TRUE,IF($V119="",FALSE,$V119&lt;=$AP119)))</x:f>
      </x:c>
      <x:c r="BH119" s="13">
        <x:f>IF($C119="","",IF($AQ119="",TRUE,IF($W119="",FALSE,$W119&lt;=$AQ119)))</x:f>
      </x:c>
      <x:c r="BI119" s="13">
        <x:f>IF($C119="","",IF($AR119="",TRUE,IF($X119="",FALSE,$X119&lt;=$AR119)))</x:f>
      </x:c>
      <x:c r="BJ119" s="15">
        <x:f>IF($C119="","",IF($Y119="",0,$Y119)+IF($AS119,10,0)+IF($AT119,8,0)+IF($AU119,5,0)+IF($AV119,8,0)+IF($AW119,15,0)+IF($AX119,4,0)+IF($AY119,5,0)+IF($AZ119,10,0)+IF($BA119,8,0)+IF($BB119,4,0)+IF($BC119,6,0)+IF($BD119,3,0)+IF($BE119,2,0)+IF($BF119,2,0)+IF($BG119,2,0)+IF($BH119,2,0)+IF($BI119,1,0))</x:f>
      </x:c>
      <x:c r="BK119" s="15">
        <x:f>IF($C119="","",IF(NOT($AS119),1,0)+IF(NOT($AW119),1,0)+IF(NOT($AZ119),1,0)+IF(NOT($BA119),1,0)+IF(NOT($BB119),1,0)+IF(NOT($BC119),1,0))</x:f>
      </x:c>
      <x:c r="BL119" s="13">
        <x:f>IF($C119="","",IF($BK119&gt;0,"REJECT",IF(COUNTIF($AS119:$BI119,FALSE)=0,"ACCEPT",IF($BJ119&gt;=85,"ACCEPT WITH SORTING / DISCOUNT","REJECT"))))</x:f>
      </x:c>
    </x:row>
    <x:row r="120" ht="24" customHeight="1">
      <x:c r="A120" s="10" t="n"/>
      <x:c r="B120" s="11" t="n"/>
      <x:c r="C120" s="11" t="n"/>
      <x:c r="D120" s="11" t="n"/>
      <x:c r="E120" s="11" t="n"/>
      <x:c r="F120" s="11" t="n"/>
      <x:c r="G120" s="11" t="n"/>
      <x:c r="H120" s="11" t="n"/>
      <x:c r="I120" s="12" t="n"/>
      <x:c r="J120" s="12" t="n"/>
      <x:c r="K120" s="12" t="n"/>
      <x:c r="L120" s="12" t="n"/>
      <x:c r="M120" s="12" t="n"/>
      <x:c r="N120" s="12" t="n"/>
      <x:c r="O120" s="12" t="n"/>
      <x:c r="P120" s="11" t="n"/>
      <x:c r="Q120" s="11" t="n"/>
      <x:c r="R120" s="11" t="n"/>
      <x:c r="S120" s="11" t="n"/>
      <x:c r="T120" s="11" t="n"/>
      <x:c r="U120" s="12" t="n"/>
      <x:c r="V120" s="12" t="n"/>
      <x:c r="W120" s="12" t="n"/>
      <x:c r="X120" s="12" t="n"/>
      <x:c r="Y120" s="12" t="n"/>
      <x:c r="Z120" s="13">
        <x:f>IF($C120="","",VLOOKUP($C120,Config!$A$2:$Y$4,2,FALSE))</x:f>
      </x:c>
      <x:c r="AA120" s="13">
        <x:f>IF($C120="","",VLOOKUP($C120,Config!$A$2:$Y$4,5,FALSE))</x:f>
      </x:c>
      <x:c r="AB120" s="14">
        <x:f>IF($C120="","",VLOOKUP($C120,Config!$A$2:$Y$4,7,FALSE))</x:f>
      </x:c>
      <x:c r="AC120" s="14">
        <x:f>IF($C120="","",VLOOKUP($C120,Config!$A$2:$Y$4,8,FALSE))</x:f>
      </x:c>
      <x:c r="AD120" s="14">
        <x:f>IF($C120="","",VLOOKUP($C120,Config!$A$2:$Y$4,9,FALSE))</x:f>
      </x:c>
      <x:c r="AE120" s="14">
        <x:f>IF($C120="","",VLOOKUP($C120,Config!$A$2:$Y$4,10,FALSE))</x:f>
      </x:c>
      <x:c r="AF120" s="14">
        <x:f>IF($C120="","",VLOOKUP($C120,Config!$A$2:$Y$4,11,FALSE))</x:f>
      </x:c>
      <x:c r="AG120" s="14">
        <x:f>IF($C120="","",VLOOKUP($C120,Config!$A$2:$Y$4,12,FALSE))</x:f>
      </x:c>
      <x:c r="AH120" s="14">
        <x:f>IF($C120="","",VLOOKUP($C120,Config!$A$2:$Y$4,13,FALSE))</x:f>
      </x:c>
      <x:c r="AI120" s="14">
        <x:f>IF($C120="","",VLOOKUP($C120,Config!$A$2:$Y$4,14,FALSE))</x:f>
      </x:c>
      <x:c r="AJ120" s="14">
        <x:f>IF($C120="","",VLOOKUP($C120,Config!$A$2:$Y$4,15,FALSE))</x:f>
      </x:c>
      <x:c r="AK120" s="14">
        <x:f>IF($C120="","",VLOOKUP($C120,Config!$A$2:$Y$4,16,FALSE))</x:f>
      </x:c>
      <x:c r="AL120" s="14">
        <x:f>IF($C120="","",VLOOKUP($C120,Config!$A$2:$Y$4,17,FALSE))</x:f>
      </x:c>
      <x:c r="AM120" s="14">
        <x:f>IF($C120="","",VLOOKUP($C120,Config!$A$2:$Y$4,18,FALSE))</x:f>
      </x:c>
      <x:c r="AN120" s="14">
        <x:f>IF($C120="","",VLOOKUP($C120,Config!$A$2:$Y$4,19,FALSE))</x:f>
      </x:c>
      <x:c r="AO120" s="14">
        <x:f>IF($C120="","",VLOOKUP($C120,Config!$A$2:$Y$4,20,FALSE))</x:f>
      </x:c>
      <x:c r="AP120" s="14">
        <x:f>IF($C120="","",VLOOKUP($C120,Config!$A$2:$Y$4,21,FALSE))</x:f>
      </x:c>
      <x:c r="AQ120" s="14">
        <x:f>IF($C120="","",VLOOKUP($C120,Config!$A$2:$Y$4,22,FALSE))</x:f>
      </x:c>
      <x:c r="AR120" s="14">
        <x:f>IF($C120="","",VLOOKUP($C120,Config!$A$2:$Y$4,23,FALSE))</x:f>
      </x:c>
      <x:c r="AS120" s="13">
        <x:f>IF($C120="","",IF($H120="Extra",3,IF($H120="I",2,IF($H120="II",1,0)))&gt;=IF($AA120="Extra",3,IF($AA120="I",2,IF($AA120="II",1,0))))</x:f>
      </x:c>
      <x:c r="AT120" s="13">
        <x:f>IF($C120="","",IF($I120="",FALSE,$I120&gt;=$AB120))</x:f>
      </x:c>
      <x:c r="AU120" s="13">
        <x:f>IF($C120="","",IF($AC120="",TRUE,IF($J120="",FALSE,$J120&lt;=$AC120)))</x:f>
      </x:c>
      <x:c r="AV120" s="13">
        <x:f>IF($C120="","",IF($AD120="",TRUE,IF($K120="",FALSE,$K120&lt;=$AD120)))</x:f>
      </x:c>
      <x:c r="AW120" s="13">
        <x:f>IF($C120="","",IF($AE120="",TRUE,IF($L120="",FALSE,$L120&lt;=$AE120)))</x:f>
      </x:c>
      <x:c r="AX120" s="13">
        <x:f>IF($C120="","",IF($AF120="",TRUE,IF($M120="",FALSE,$M120&lt;=$AF120)))</x:f>
      </x:c>
      <x:c r="AY120" s="13">
        <x:f>IF($C120="","",IF($AG120="",TRUE,IF($N120="",FALSE,$N120&gt;=$AG120)))</x:f>
      </x:c>
      <x:c r="AZ120" s="13">
        <x:f>IF($C120="","",IF(OR($AH120="",$AI120=""),TRUE,IF($O120="",FALSE,AND($O120&gt;=$AH120,$O120&lt;=$AI120))))</x:f>
      </x:c>
      <x:c r="BA120" s="13">
        <x:f>IF($C120="","",IF($AJ120="Y",$P120="Y",TRUE))</x:f>
      </x:c>
      <x:c r="BB120" s="13">
        <x:f>IF($C120="","",IF($AK120="Y",$Q120="Y",TRUE))</x:f>
      </x:c>
      <x:c r="BC120" s="13">
        <x:f>IF($C120="","",IF($AL120="Y",$R120="Y",TRUE))</x:f>
      </x:c>
      <x:c r="BD120" s="13">
        <x:f>IF($C120="","",IF($AM120="Y",$S120="Y",TRUE))</x:f>
      </x:c>
      <x:c r="BE120" s="13">
        <x:f>IF($C120="","",IF($AN120="Y",$T120="Y",TRUE))</x:f>
      </x:c>
      <x:c r="BF120" s="13">
        <x:f>IF($C120="","",IF($AO120="",TRUE,IF($U120="",FALSE,$U120&lt;=$AO120)))</x:f>
      </x:c>
      <x:c r="BG120" s="13">
        <x:f>IF($C120="","",IF($AP120="",TRUE,IF($V120="",FALSE,$V120&lt;=$AP120)))</x:f>
      </x:c>
      <x:c r="BH120" s="13">
        <x:f>IF($C120="","",IF($AQ120="",TRUE,IF($W120="",FALSE,$W120&lt;=$AQ120)))</x:f>
      </x:c>
      <x:c r="BI120" s="13">
        <x:f>IF($C120="","",IF($AR120="",TRUE,IF($X120="",FALSE,$X120&lt;=$AR120)))</x:f>
      </x:c>
      <x:c r="BJ120" s="15">
        <x:f>IF($C120="","",IF($Y120="",0,$Y120)+IF($AS120,10,0)+IF($AT120,8,0)+IF($AU120,5,0)+IF($AV120,8,0)+IF($AW120,15,0)+IF($AX120,4,0)+IF($AY120,5,0)+IF($AZ120,10,0)+IF($BA120,8,0)+IF($BB120,4,0)+IF($BC120,6,0)+IF($BD120,3,0)+IF($BE120,2,0)+IF($BF120,2,0)+IF($BG120,2,0)+IF($BH120,2,0)+IF($BI120,1,0))</x:f>
      </x:c>
      <x:c r="BK120" s="15">
        <x:f>IF($C120="","",IF(NOT($AS120),1,0)+IF(NOT($AW120),1,0)+IF(NOT($AZ120),1,0)+IF(NOT($BA120),1,0)+IF(NOT($BB120),1,0)+IF(NOT($BC120),1,0))</x:f>
      </x:c>
      <x:c r="BL120" s="13">
        <x:f>IF($C120="","",IF($BK120&gt;0,"REJECT",IF(COUNTIF($AS120:$BI120,FALSE)=0,"ACCEPT",IF($BJ120&gt;=85,"ACCEPT WITH SORTING / DISCOUNT","REJECT"))))</x:f>
      </x:c>
    </x:row>
    <x:row r="121" ht="24" customHeight="1">
      <x:c r="A121" s="10" t="n"/>
      <x:c r="B121" s="11" t="n"/>
      <x:c r="C121" s="11" t="n"/>
      <x:c r="D121" s="11" t="n"/>
      <x:c r="E121" s="11" t="n"/>
      <x:c r="F121" s="11" t="n"/>
      <x:c r="G121" s="11" t="n"/>
      <x:c r="H121" s="11" t="n"/>
      <x:c r="I121" s="12" t="n"/>
      <x:c r="J121" s="12" t="n"/>
      <x:c r="K121" s="12" t="n"/>
      <x:c r="L121" s="12" t="n"/>
      <x:c r="M121" s="12" t="n"/>
      <x:c r="N121" s="12" t="n"/>
      <x:c r="O121" s="12" t="n"/>
      <x:c r="P121" s="11" t="n"/>
      <x:c r="Q121" s="11" t="n"/>
      <x:c r="R121" s="11" t="n"/>
      <x:c r="S121" s="11" t="n"/>
      <x:c r="T121" s="11" t="n"/>
      <x:c r="U121" s="12" t="n"/>
      <x:c r="V121" s="12" t="n"/>
      <x:c r="W121" s="12" t="n"/>
      <x:c r="X121" s="12" t="n"/>
      <x:c r="Y121" s="12" t="n"/>
      <x:c r="Z121" s="13">
        <x:f>IF($C121="","",VLOOKUP($C121,Config!$A$2:$Y$4,2,FALSE))</x:f>
      </x:c>
      <x:c r="AA121" s="13">
        <x:f>IF($C121="","",VLOOKUP($C121,Config!$A$2:$Y$4,5,FALSE))</x:f>
      </x:c>
      <x:c r="AB121" s="14">
        <x:f>IF($C121="","",VLOOKUP($C121,Config!$A$2:$Y$4,7,FALSE))</x:f>
      </x:c>
      <x:c r="AC121" s="14">
        <x:f>IF($C121="","",VLOOKUP($C121,Config!$A$2:$Y$4,8,FALSE))</x:f>
      </x:c>
      <x:c r="AD121" s="14">
        <x:f>IF($C121="","",VLOOKUP($C121,Config!$A$2:$Y$4,9,FALSE))</x:f>
      </x:c>
      <x:c r="AE121" s="14">
        <x:f>IF($C121="","",VLOOKUP($C121,Config!$A$2:$Y$4,10,FALSE))</x:f>
      </x:c>
      <x:c r="AF121" s="14">
        <x:f>IF($C121="","",VLOOKUP($C121,Config!$A$2:$Y$4,11,FALSE))</x:f>
      </x:c>
      <x:c r="AG121" s="14">
        <x:f>IF($C121="","",VLOOKUP($C121,Config!$A$2:$Y$4,12,FALSE))</x:f>
      </x:c>
      <x:c r="AH121" s="14">
        <x:f>IF($C121="","",VLOOKUP($C121,Config!$A$2:$Y$4,13,FALSE))</x:f>
      </x:c>
      <x:c r="AI121" s="14">
        <x:f>IF($C121="","",VLOOKUP($C121,Config!$A$2:$Y$4,14,FALSE))</x:f>
      </x:c>
      <x:c r="AJ121" s="14">
        <x:f>IF($C121="","",VLOOKUP($C121,Config!$A$2:$Y$4,15,FALSE))</x:f>
      </x:c>
      <x:c r="AK121" s="14">
        <x:f>IF($C121="","",VLOOKUP($C121,Config!$A$2:$Y$4,16,FALSE))</x:f>
      </x:c>
      <x:c r="AL121" s="14">
        <x:f>IF($C121="","",VLOOKUP($C121,Config!$A$2:$Y$4,17,FALSE))</x:f>
      </x:c>
      <x:c r="AM121" s="14">
        <x:f>IF($C121="","",VLOOKUP($C121,Config!$A$2:$Y$4,18,FALSE))</x:f>
      </x:c>
      <x:c r="AN121" s="14">
        <x:f>IF($C121="","",VLOOKUP($C121,Config!$A$2:$Y$4,19,FALSE))</x:f>
      </x:c>
      <x:c r="AO121" s="14">
        <x:f>IF($C121="","",VLOOKUP($C121,Config!$A$2:$Y$4,20,FALSE))</x:f>
      </x:c>
      <x:c r="AP121" s="14">
        <x:f>IF($C121="","",VLOOKUP($C121,Config!$A$2:$Y$4,21,FALSE))</x:f>
      </x:c>
      <x:c r="AQ121" s="14">
        <x:f>IF($C121="","",VLOOKUP($C121,Config!$A$2:$Y$4,22,FALSE))</x:f>
      </x:c>
      <x:c r="AR121" s="14">
        <x:f>IF($C121="","",VLOOKUP($C121,Config!$A$2:$Y$4,23,FALSE))</x:f>
      </x:c>
      <x:c r="AS121" s="13">
        <x:f>IF($C121="","",IF($H121="Extra",3,IF($H121="I",2,IF($H121="II",1,0)))&gt;=IF($AA121="Extra",3,IF($AA121="I",2,IF($AA121="II",1,0))))</x:f>
      </x:c>
      <x:c r="AT121" s="13">
        <x:f>IF($C121="","",IF($I121="",FALSE,$I121&gt;=$AB121))</x:f>
      </x:c>
      <x:c r="AU121" s="13">
        <x:f>IF($C121="","",IF($AC121="",TRUE,IF($J121="",FALSE,$J121&lt;=$AC121)))</x:f>
      </x:c>
      <x:c r="AV121" s="13">
        <x:f>IF($C121="","",IF($AD121="",TRUE,IF($K121="",FALSE,$K121&lt;=$AD121)))</x:f>
      </x:c>
      <x:c r="AW121" s="13">
        <x:f>IF($C121="","",IF($AE121="",TRUE,IF($L121="",FALSE,$L121&lt;=$AE121)))</x:f>
      </x:c>
      <x:c r="AX121" s="13">
        <x:f>IF($C121="","",IF($AF121="",TRUE,IF($M121="",FALSE,$M121&lt;=$AF121)))</x:f>
      </x:c>
      <x:c r="AY121" s="13">
        <x:f>IF($C121="","",IF($AG121="",TRUE,IF($N121="",FALSE,$N121&gt;=$AG121)))</x:f>
      </x:c>
      <x:c r="AZ121" s="13">
        <x:f>IF($C121="","",IF(OR($AH121="",$AI121=""),TRUE,IF($O121="",FALSE,AND($O121&gt;=$AH121,$O121&lt;=$AI121))))</x:f>
      </x:c>
      <x:c r="BA121" s="13">
        <x:f>IF($C121="","",IF($AJ121="Y",$P121="Y",TRUE))</x:f>
      </x:c>
      <x:c r="BB121" s="13">
        <x:f>IF($C121="","",IF($AK121="Y",$Q121="Y",TRUE))</x:f>
      </x:c>
      <x:c r="BC121" s="13">
        <x:f>IF($C121="","",IF($AL121="Y",$R121="Y",TRUE))</x:f>
      </x:c>
      <x:c r="BD121" s="13">
        <x:f>IF($C121="","",IF($AM121="Y",$S121="Y",TRUE))</x:f>
      </x:c>
      <x:c r="BE121" s="13">
        <x:f>IF($C121="","",IF($AN121="Y",$T121="Y",TRUE))</x:f>
      </x:c>
      <x:c r="BF121" s="13">
        <x:f>IF($C121="","",IF($AO121="",TRUE,IF($U121="",FALSE,$U121&lt;=$AO121)))</x:f>
      </x:c>
      <x:c r="BG121" s="13">
        <x:f>IF($C121="","",IF($AP121="",TRUE,IF($V121="",FALSE,$V121&lt;=$AP121)))</x:f>
      </x:c>
      <x:c r="BH121" s="13">
        <x:f>IF($C121="","",IF($AQ121="",TRUE,IF($W121="",FALSE,$W121&lt;=$AQ121)))</x:f>
      </x:c>
      <x:c r="BI121" s="13">
        <x:f>IF($C121="","",IF($AR121="",TRUE,IF($X121="",FALSE,$X121&lt;=$AR121)))</x:f>
      </x:c>
      <x:c r="BJ121" s="15">
        <x:f>IF($C121="","",IF($Y121="",0,$Y121)+IF($AS121,10,0)+IF($AT121,8,0)+IF($AU121,5,0)+IF($AV121,8,0)+IF($AW121,15,0)+IF($AX121,4,0)+IF($AY121,5,0)+IF($AZ121,10,0)+IF($BA121,8,0)+IF($BB121,4,0)+IF($BC121,6,0)+IF($BD121,3,0)+IF($BE121,2,0)+IF($BF121,2,0)+IF($BG121,2,0)+IF($BH121,2,0)+IF($BI121,1,0))</x:f>
      </x:c>
      <x:c r="BK121" s="15">
        <x:f>IF($C121="","",IF(NOT($AS121),1,0)+IF(NOT($AW121),1,0)+IF(NOT($AZ121),1,0)+IF(NOT($BA121),1,0)+IF(NOT($BB121),1,0)+IF(NOT($BC121),1,0))</x:f>
      </x:c>
      <x:c r="BL121" s="13">
        <x:f>IF($C121="","",IF($BK121&gt;0,"REJECT",IF(COUNTIF($AS121:$BI121,FALSE)=0,"ACCEPT",IF($BJ121&gt;=85,"ACCEPT WITH SORTING / DISCOUNT","REJECT"))))</x:f>
      </x:c>
    </x:row>
    <x:row r="122" ht="24" customHeight="1">
      <x:c r="A122" s="10" t="n"/>
      <x:c r="B122" s="11" t="n"/>
      <x:c r="C122" s="11" t="n"/>
      <x:c r="D122" s="11" t="n"/>
      <x:c r="E122" s="11" t="n"/>
      <x:c r="F122" s="11" t="n"/>
      <x:c r="G122" s="11" t="n"/>
      <x:c r="H122" s="11" t="n"/>
      <x:c r="I122" s="12" t="n"/>
      <x:c r="J122" s="12" t="n"/>
      <x:c r="K122" s="12" t="n"/>
      <x:c r="L122" s="12" t="n"/>
      <x:c r="M122" s="12" t="n"/>
      <x:c r="N122" s="12" t="n"/>
      <x:c r="O122" s="12" t="n"/>
      <x:c r="P122" s="11" t="n"/>
      <x:c r="Q122" s="11" t="n"/>
      <x:c r="R122" s="11" t="n"/>
      <x:c r="S122" s="11" t="n"/>
      <x:c r="T122" s="11" t="n"/>
      <x:c r="U122" s="12" t="n"/>
      <x:c r="V122" s="12" t="n"/>
      <x:c r="W122" s="12" t="n"/>
      <x:c r="X122" s="12" t="n"/>
      <x:c r="Y122" s="12" t="n"/>
      <x:c r="Z122" s="13">
        <x:f>IF($C122="","",VLOOKUP($C122,Config!$A$2:$Y$4,2,FALSE))</x:f>
      </x:c>
      <x:c r="AA122" s="13">
        <x:f>IF($C122="","",VLOOKUP($C122,Config!$A$2:$Y$4,5,FALSE))</x:f>
      </x:c>
      <x:c r="AB122" s="14">
        <x:f>IF($C122="","",VLOOKUP($C122,Config!$A$2:$Y$4,7,FALSE))</x:f>
      </x:c>
      <x:c r="AC122" s="14">
        <x:f>IF($C122="","",VLOOKUP($C122,Config!$A$2:$Y$4,8,FALSE))</x:f>
      </x:c>
      <x:c r="AD122" s="14">
        <x:f>IF($C122="","",VLOOKUP($C122,Config!$A$2:$Y$4,9,FALSE))</x:f>
      </x:c>
      <x:c r="AE122" s="14">
        <x:f>IF($C122="","",VLOOKUP($C122,Config!$A$2:$Y$4,10,FALSE))</x:f>
      </x:c>
      <x:c r="AF122" s="14">
        <x:f>IF($C122="","",VLOOKUP($C122,Config!$A$2:$Y$4,11,FALSE))</x:f>
      </x:c>
      <x:c r="AG122" s="14">
        <x:f>IF($C122="","",VLOOKUP($C122,Config!$A$2:$Y$4,12,FALSE))</x:f>
      </x:c>
      <x:c r="AH122" s="14">
        <x:f>IF($C122="","",VLOOKUP($C122,Config!$A$2:$Y$4,13,FALSE))</x:f>
      </x:c>
      <x:c r="AI122" s="14">
        <x:f>IF($C122="","",VLOOKUP($C122,Config!$A$2:$Y$4,14,FALSE))</x:f>
      </x:c>
      <x:c r="AJ122" s="14">
        <x:f>IF($C122="","",VLOOKUP($C122,Config!$A$2:$Y$4,15,FALSE))</x:f>
      </x:c>
      <x:c r="AK122" s="14">
        <x:f>IF($C122="","",VLOOKUP($C122,Config!$A$2:$Y$4,16,FALSE))</x:f>
      </x:c>
      <x:c r="AL122" s="14">
        <x:f>IF($C122="","",VLOOKUP($C122,Config!$A$2:$Y$4,17,FALSE))</x:f>
      </x:c>
      <x:c r="AM122" s="14">
        <x:f>IF($C122="","",VLOOKUP($C122,Config!$A$2:$Y$4,18,FALSE))</x:f>
      </x:c>
      <x:c r="AN122" s="14">
        <x:f>IF($C122="","",VLOOKUP($C122,Config!$A$2:$Y$4,19,FALSE))</x:f>
      </x:c>
      <x:c r="AO122" s="14">
        <x:f>IF($C122="","",VLOOKUP($C122,Config!$A$2:$Y$4,20,FALSE))</x:f>
      </x:c>
      <x:c r="AP122" s="14">
        <x:f>IF($C122="","",VLOOKUP($C122,Config!$A$2:$Y$4,21,FALSE))</x:f>
      </x:c>
      <x:c r="AQ122" s="14">
        <x:f>IF($C122="","",VLOOKUP($C122,Config!$A$2:$Y$4,22,FALSE))</x:f>
      </x:c>
      <x:c r="AR122" s="14">
        <x:f>IF($C122="","",VLOOKUP($C122,Config!$A$2:$Y$4,23,FALSE))</x:f>
      </x:c>
      <x:c r="AS122" s="13">
        <x:f>IF($C122="","",IF($H122="Extra",3,IF($H122="I",2,IF($H122="II",1,0)))&gt;=IF($AA122="Extra",3,IF($AA122="I",2,IF($AA122="II",1,0))))</x:f>
      </x:c>
      <x:c r="AT122" s="13">
        <x:f>IF($C122="","",IF($I122="",FALSE,$I122&gt;=$AB122))</x:f>
      </x:c>
      <x:c r="AU122" s="13">
        <x:f>IF($C122="","",IF($AC122="",TRUE,IF($J122="",FALSE,$J122&lt;=$AC122)))</x:f>
      </x:c>
      <x:c r="AV122" s="13">
        <x:f>IF($C122="","",IF($AD122="",TRUE,IF($K122="",FALSE,$K122&lt;=$AD122)))</x:f>
      </x:c>
      <x:c r="AW122" s="13">
        <x:f>IF($C122="","",IF($AE122="",TRUE,IF($L122="",FALSE,$L122&lt;=$AE122)))</x:f>
      </x:c>
      <x:c r="AX122" s="13">
        <x:f>IF($C122="","",IF($AF122="",TRUE,IF($M122="",FALSE,$M122&lt;=$AF122)))</x:f>
      </x:c>
      <x:c r="AY122" s="13">
        <x:f>IF($C122="","",IF($AG122="",TRUE,IF($N122="",FALSE,$N122&gt;=$AG122)))</x:f>
      </x:c>
      <x:c r="AZ122" s="13">
        <x:f>IF($C122="","",IF(OR($AH122="",$AI122=""),TRUE,IF($O122="",FALSE,AND($O122&gt;=$AH122,$O122&lt;=$AI122))))</x:f>
      </x:c>
      <x:c r="BA122" s="13">
        <x:f>IF($C122="","",IF($AJ122="Y",$P122="Y",TRUE))</x:f>
      </x:c>
      <x:c r="BB122" s="13">
        <x:f>IF($C122="","",IF($AK122="Y",$Q122="Y",TRUE))</x:f>
      </x:c>
      <x:c r="BC122" s="13">
        <x:f>IF($C122="","",IF($AL122="Y",$R122="Y",TRUE))</x:f>
      </x:c>
      <x:c r="BD122" s="13">
        <x:f>IF($C122="","",IF($AM122="Y",$S122="Y",TRUE))</x:f>
      </x:c>
      <x:c r="BE122" s="13">
        <x:f>IF($C122="","",IF($AN122="Y",$T122="Y",TRUE))</x:f>
      </x:c>
      <x:c r="BF122" s="13">
        <x:f>IF($C122="","",IF($AO122="",TRUE,IF($U122="",FALSE,$U122&lt;=$AO122)))</x:f>
      </x:c>
      <x:c r="BG122" s="13">
        <x:f>IF($C122="","",IF($AP122="",TRUE,IF($V122="",FALSE,$V122&lt;=$AP122)))</x:f>
      </x:c>
      <x:c r="BH122" s="13">
        <x:f>IF($C122="","",IF($AQ122="",TRUE,IF($W122="",FALSE,$W122&lt;=$AQ122)))</x:f>
      </x:c>
      <x:c r="BI122" s="13">
        <x:f>IF($C122="","",IF($AR122="",TRUE,IF($X122="",FALSE,$X122&lt;=$AR122)))</x:f>
      </x:c>
      <x:c r="BJ122" s="15">
        <x:f>IF($C122="","",IF($Y122="",0,$Y122)+IF($AS122,10,0)+IF($AT122,8,0)+IF($AU122,5,0)+IF($AV122,8,0)+IF($AW122,15,0)+IF($AX122,4,0)+IF($AY122,5,0)+IF($AZ122,10,0)+IF($BA122,8,0)+IF($BB122,4,0)+IF($BC122,6,0)+IF($BD122,3,0)+IF($BE122,2,0)+IF($BF122,2,0)+IF($BG122,2,0)+IF($BH122,2,0)+IF($BI122,1,0))</x:f>
      </x:c>
      <x:c r="BK122" s="15">
        <x:f>IF($C122="","",IF(NOT($AS122),1,0)+IF(NOT($AW122),1,0)+IF(NOT($AZ122),1,0)+IF(NOT($BA122),1,0)+IF(NOT($BB122),1,0)+IF(NOT($BC122),1,0))</x:f>
      </x:c>
      <x:c r="BL122" s="13">
        <x:f>IF($C122="","",IF($BK122&gt;0,"REJECT",IF(COUNTIF($AS122:$BI122,FALSE)=0,"ACCEPT",IF($BJ122&gt;=85,"ACCEPT WITH SORTING / DISCOUNT","REJECT"))))</x:f>
      </x:c>
    </x:row>
    <x:row r="123" ht="24" customHeight="1">
      <x:c r="A123" s="10" t="n"/>
      <x:c r="B123" s="11" t="n"/>
      <x:c r="C123" s="11" t="n"/>
      <x:c r="D123" s="11" t="n"/>
      <x:c r="E123" s="11" t="n"/>
      <x:c r="F123" s="11" t="n"/>
      <x:c r="G123" s="11" t="n"/>
      <x:c r="H123" s="11" t="n"/>
      <x:c r="I123" s="12" t="n"/>
      <x:c r="J123" s="12" t="n"/>
      <x:c r="K123" s="12" t="n"/>
      <x:c r="L123" s="12" t="n"/>
      <x:c r="M123" s="12" t="n"/>
      <x:c r="N123" s="12" t="n"/>
      <x:c r="O123" s="12" t="n"/>
      <x:c r="P123" s="11" t="n"/>
      <x:c r="Q123" s="11" t="n"/>
      <x:c r="R123" s="11" t="n"/>
      <x:c r="S123" s="11" t="n"/>
      <x:c r="T123" s="11" t="n"/>
      <x:c r="U123" s="12" t="n"/>
      <x:c r="V123" s="12" t="n"/>
      <x:c r="W123" s="12" t="n"/>
      <x:c r="X123" s="12" t="n"/>
      <x:c r="Y123" s="12" t="n"/>
      <x:c r="Z123" s="13">
        <x:f>IF($C123="","",VLOOKUP($C123,Config!$A$2:$Y$4,2,FALSE))</x:f>
      </x:c>
      <x:c r="AA123" s="13">
        <x:f>IF($C123="","",VLOOKUP($C123,Config!$A$2:$Y$4,5,FALSE))</x:f>
      </x:c>
      <x:c r="AB123" s="14">
        <x:f>IF($C123="","",VLOOKUP($C123,Config!$A$2:$Y$4,7,FALSE))</x:f>
      </x:c>
      <x:c r="AC123" s="14">
        <x:f>IF($C123="","",VLOOKUP($C123,Config!$A$2:$Y$4,8,FALSE))</x:f>
      </x:c>
      <x:c r="AD123" s="14">
        <x:f>IF($C123="","",VLOOKUP($C123,Config!$A$2:$Y$4,9,FALSE))</x:f>
      </x:c>
      <x:c r="AE123" s="14">
        <x:f>IF($C123="","",VLOOKUP($C123,Config!$A$2:$Y$4,10,FALSE))</x:f>
      </x:c>
      <x:c r="AF123" s="14">
        <x:f>IF($C123="","",VLOOKUP($C123,Config!$A$2:$Y$4,11,FALSE))</x:f>
      </x:c>
      <x:c r="AG123" s="14">
        <x:f>IF($C123="","",VLOOKUP($C123,Config!$A$2:$Y$4,12,FALSE))</x:f>
      </x:c>
      <x:c r="AH123" s="14">
        <x:f>IF($C123="","",VLOOKUP($C123,Config!$A$2:$Y$4,13,FALSE))</x:f>
      </x:c>
      <x:c r="AI123" s="14">
        <x:f>IF($C123="","",VLOOKUP($C123,Config!$A$2:$Y$4,14,FALSE))</x:f>
      </x:c>
      <x:c r="AJ123" s="14">
        <x:f>IF($C123="","",VLOOKUP($C123,Config!$A$2:$Y$4,15,FALSE))</x:f>
      </x:c>
      <x:c r="AK123" s="14">
        <x:f>IF($C123="","",VLOOKUP($C123,Config!$A$2:$Y$4,16,FALSE))</x:f>
      </x:c>
      <x:c r="AL123" s="14">
        <x:f>IF($C123="","",VLOOKUP($C123,Config!$A$2:$Y$4,17,FALSE))</x:f>
      </x:c>
      <x:c r="AM123" s="14">
        <x:f>IF($C123="","",VLOOKUP($C123,Config!$A$2:$Y$4,18,FALSE))</x:f>
      </x:c>
      <x:c r="AN123" s="14">
        <x:f>IF($C123="","",VLOOKUP($C123,Config!$A$2:$Y$4,19,FALSE))</x:f>
      </x:c>
      <x:c r="AO123" s="14">
        <x:f>IF($C123="","",VLOOKUP($C123,Config!$A$2:$Y$4,20,FALSE))</x:f>
      </x:c>
      <x:c r="AP123" s="14">
        <x:f>IF($C123="","",VLOOKUP($C123,Config!$A$2:$Y$4,21,FALSE))</x:f>
      </x:c>
      <x:c r="AQ123" s="14">
        <x:f>IF($C123="","",VLOOKUP($C123,Config!$A$2:$Y$4,22,FALSE))</x:f>
      </x:c>
      <x:c r="AR123" s="14">
        <x:f>IF($C123="","",VLOOKUP($C123,Config!$A$2:$Y$4,23,FALSE))</x:f>
      </x:c>
      <x:c r="AS123" s="13">
        <x:f>IF($C123="","",IF($H123="Extra",3,IF($H123="I",2,IF($H123="II",1,0)))&gt;=IF($AA123="Extra",3,IF($AA123="I",2,IF($AA123="II",1,0))))</x:f>
      </x:c>
      <x:c r="AT123" s="13">
        <x:f>IF($C123="","",IF($I123="",FALSE,$I123&gt;=$AB123))</x:f>
      </x:c>
      <x:c r="AU123" s="13">
        <x:f>IF($C123="","",IF($AC123="",TRUE,IF($J123="",FALSE,$J123&lt;=$AC123)))</x:f>
      </x:c>
      <x:c r="AV123" s="13">
        <x:f>IF($C123="","",IF($AD123="",TRUE,IF($K123="",FALSE,$K123&lt;=$AD123)))</x:f>
      </x:c>
      <x:c r="AW123" s="13">
        <x:f>IF($C123="","",IF($AE123="",TRUE,IF($L123="",FALSE,$L123&lt;=$AE123)))</x:f>
      </x:c>
      <x:c r="AX123" s="13">
        <x:f>IF($C123="","",IF($AF123="",TRUE,IF($M123="",FALSE,$M123&lt;=$AF123)))</x:f>
      </x:c>
      <x:c r="AY123" s="13">
        <x:f>IF($C123="","",IF($AG123="",TRUE,IF($N123="",FALSE,$N123&gt;=$AG123)))</x:f>
      </x:c>
      <x:c r="AZ123" s="13">
        <x:f>IF($C123="","",IF(OR($AH123="",$AI123=""),TRUE,IF($O123="",FALSE,AND($O123&gt;=$AH123,$O123&lt;=$AI123))))</x:f>
      </x:c>
      <x:c r="BA123" s="13">
        <x:f>IF($C123="","",IF($AJ123="Y",$P123="Y",TRUE))</x:f>
      </x:c>
      <x:c r="BB123" s="13">
        <x:f>IF($C123="","",IF($AK123="Y",$Q123="Y",TRUE))</x:f>
      </x:c>
      <x:c r="BC123" s="13">
        <x:f>IF($C123="","",IF($AL123="Y",$R123="Y",TRUE))</x:f>
      </x:c>
      <x:c r="BD123" s="13">
        <x:f>IF($C123="","",IF($AM123="Y",$S123="Y",TRUE))</x:f>
      </x:c>
      <x:c r="BE123" s="13">
        <x:f>IF($C123="","",IF($AN123="Y",$T123="Y",TRUE))</x:f>
      </x:c>
      <x:c r="BF123" s="13">
        <x:f>IF($C123="","",IF($AO123="",TRUE,IF($U123="",FALSE,$U123&lt;=$AO123)))</x:f>
      </x:c>
      <x:c r="BG123" s="13">
        <x:f>IF($C123="","",IF($AP123="",TRUE,IF($V123="",FALSE,$V123&lt;=$AP123)))</x:f>
      </x:c>
      <x:c r="BH123" s="13">
        <x:f>IF($C123="","",IF($AQ123="",TRUE,IF($W123="",FALSE,$W123&lt;=$AQ123)))</x:f>
      </x:c>
      <x:c r="BI123" s="13">
        <x:f>IF($C123="","",IF($AR123="",TRUE,IF($X123="",FALSE,$X123&lt;=$AR123)))</x:f>
      </x:c>
      <x:c r="BJ123" s="15">
        <x:f>IF($C123="","",IF($Y123="",0,$Y123)+IF($AS123,10,0)+IF($AT123,8,0)+IF($AU123,5,0)+IF($AV123,8,0)+IF($AW123,15,0)+IF($AX123,4,0)+IF($AY123,5,0)+IF($AZ123,10,0)+IF($BA123,8,0)+IF($BB123,4,0)+IF($BC123,6,0)+IF($BD123,3,0)+IF($BE123,2,0)+IF($BF123,2,0)+IF($BG123,2,0)+IF($BH123,2,0)+IF($BI123,1,0))</x:f>
      </x:c>
      <x:c r="BK123" s="15">
        <x:f>IF($C123="","",IF(NOT($AS123),1,0)+IF(NOT($AW123),1,0)+IF(NOT($AZ123),1,0)+IF(NOT($BA123),1,0)+IF(NOT($BB123),1,0)+IF(NOT($BC123),1,0))</x:f>
      </x:c>
      <x:c r="BL123" s="13">
        <x:f>IF($C123="","",IF($BK123&gt;0,"REJECT",IF(COUNTIF($AS123:$BI123,FALSE)=0,"ACCEPT",IF($BJ123&gt;=85,"ACCEPT WITH SORTING / DISCOUNT","REJECT"))))</x:f>
      </x:c>
    </x:row>
    <x:row r="124" ht="24" customHeight="1">
      <x:c r="A124" s="10" t="n"/>
      <x:c r="B124" s="11" t="n"/>
      <x:c r="C124" s="11" t="n"/>
      <x:c r="D124" s="11" t="n"/>
      <x:c r="E124" s="11" t="n"/>
      <x:c r="F124" s="11" t="n"/>
      <x:c r="G124" s="11" t="n"/>
      <x:c r="H124" s="11" t="n"/>
      <x:c r="I124" s="12" t="n"/>
      <x:c r="J124" s="12" t="n"/>
      <x:c r="K124" s="12" t="n"/>
      <x:c r="L124" s="12" t="n"/>
      <x:c r="M124" s="12" t="n"/>
      <x:c r="N124" s="12" t="n"/>
      <x:c r="O124" s="12" t="n"/>
      <x:c r="P124" s="11" t="n"/>
      <x:c r="Q124" s="11" t="n"/>
      <x:c r="R124" s="11" t="n"/>
      <x:c r="S124" s="11" t="n"/>
      <x:c r="T124" s="11" t="n"/>
      <x:c r="U124" s="12" t="n"/>
      <x:c r="V124" s="12" t="n"/>
      <x:c r="W124" s="12" t="n"/>
      <x:c r="X124" s="12" t="n"/>
      <x:c r="Y124" s="12" t="n"/>
      <x:c r="Z124" s="13">
        <x:f>IF($C124="","",VLOOKUP($C124,Config!$A$2:$Y$4,2,FALSE))</x:f>
      </x:c>
      <x:c r="AA124" s="13">
        <x:f>IF($C124="","",VLOOKUP($C124,Config!$A$2:$Y$4,5,FALSE))</x:f>
      </x:c>
      <x:c r="AB124" s="14">
        <x:f>IF($C124="","",VLOOKUP($C124,Config!$A$2:$Y$4,7,FALSE))</x:f>
      </x:c>
      <x:c r="AC124" s="14">
        <x:f>IF($C124="","",VLOOKUP($C124,Config!$A$2:$Y$4,8,FALSE))</x:f>
      </x:c>
      <x:c r="AD124" s="14">
        <x:f>IF($C124="","",VLOOKUP($C124,Config!$A$2:$Y$4,9,FALSE))</x:f>
      </x:c>
      <x:c r="AE124" s="14">
        <x:f>IF($C124="","",VLOOKUP($C124,Config!$A$2:$Y$4,10,FALSE))</x:f>
      </x:c>
      <x:c r="AF124" s="14">
        <x:f>IF($C124="","",VLOOKUP($C124,Config!$A$2:$Y$4,11,FALSE))</x:f>
      </x:c>
      <x:c r="AG124" s="14">
        <x:f>IF($C124="","",VLOOKUP($C124,Config!$A$2:$Y$4,12,FALSE))</x:f>
      </x:c>
      <x:c r="AH124" s="14">
        <x:f>IF($C124="","",VLOOKUP($C124,Config!$A$2:$Y$4,13,FALSE))</x:f>
      </x:c>
      <x:c r="AI124" s="14">
        <x:f>IF($C124="","",VLOOKUP($C124,Config!$A$2:$Y$4,14,FALSE))</x:f>
      </x:c>
      <x:c r="AJ124" s="14">
        <x:f>IF($C124="","",VLOOKUP($C124,Config!$A$2:$Y$4,15,FALSE))</x:f>
      </x:c>
      <x:c r="AK124" s="14">
        <x:f>IF($C124="","",VLOOKUP($C124,Config!$A$2:$Y$4,16,FALSE))</x:f>
      </x:c>
      <x:c r="AL124" s="14">
        <x:f>IF($C124="","",VLOOKUP($C124,Config!$A$2:$Y$4,17,FALSE))</x:f>
      </x:c>
      <x:c r="AM124" s="14">
        <x:f>IF($C124="","",VLOOKUP($C124,Config!$A$2:$Y$4,18,FALSE))</x:f>
      </x:c>
      <x:c r="AN124" s="14">
        <x:f>IF($C124="","",VLOOKUP($C124,Config!$A$2:$Y$4,19,FALSE))</x:f>
      </x:c>
      <x:c r="AO124" s="14">
        <x:f>IF($C124="","",VLOOKUP($C124,Config!$A$2:$Y$4,20,FALSE))</x:f>
      </x:c>
      <x:c r="AP124" s="14">
        <x:f>IF($C124="","",VLOOKUP($C124,Config!$A$2:$Y$4,21,FALSE))</x:f>
      </x:c>
      <x:c r="AQ124" s="14">
        <x:f>IF($C124="","",VLOOKUP($C124,Config!$A$2:$Y$4,22,FALSE))</x:f>
      </x:c>
      <x:c r="AR124" s="14">
        <x:f>IF($C124="","",VLOOKUP($C124,Config!$A$2:$Y$4,23,FALSE))</x:f>
      </x:c>
      <x:c r="AS124" s="13">
        <x:f>IF($C124="","",IF($H124="Extra",3,IF($H124="I",2,IF($H124="II",1,0)))&gt;=IF($AA124="Extra",3,IF($AA124="I",2,IF($AA124="II",1,0))))</x:f>
      </x:c>
      <x:c r="AT124" s="13">
        <x:f>IF($C124="","",IF($I124="",FALSE,$I124&gt;=$AB124))</x:f>
      </x:c>
      <x:c r="AU124" s="13">
        <x:f>IF($C124="","",IF($AC124="",TRUE,IF($J124="",FALSE,$J124&lt;=$AC124)))</x:f>
      </x:c>
      <x:c r="AV124" s="13">
        <x:f>IF($C124="","",IF($AD124="",TRUE,IF($K124="",FALSE,$K124&lt;=$AD124)))</x:f>
      </x:c>
      <x:c r="AW124" s="13">
        <x:f>IF($C124="","",IF($AE124="",TRUE,IF($L124="",FALSE,$L124&lt;=$AE124)))</x:f>
      </x:c>
      <x:c r="AX124" s="13">
        <x:f>IF($C124="","",IF($AF124="",TRUE,IF($M124="",FALSE,$M124&lt;=$AF124)))</x:f>
      </x:c>
      <x:c r="AY124" s="13">
        <x:f>IF($C124="","",IF($AG124="",TRUE,IF($N124="",FALSE,$N124&gt;=$AG124)))</x:f>
      </x:c>
      <x:c r="AZ124" s="13">
        <x:f>IF($C124="","",IF(OR($AH124="",$AI124=""),TRUE,IF($O124="",FALSE,AND($O124&gt;=$AH124,$O124&lt;=$AI124))))</x:f>
      </x:c>
      <x:c r="BA124" s="13">
        <x:f>IF($C124="","",IF($AJ124="Y",$P124="Y",TRUE))</x:f>
      </x:c>
      <x:c r="BB124" s="13">
        <x:f>IF($C124="","",IF($AK124="Y",$Q124="Y",TRUE))</x:f>
      </x:c>
      <x:c r="BC124" s="13">
        <x:f>IF($C124="","",IF($AL124="Y",$R124="Y",TRUE))</x:f>
      </x:c>
      <x:c r="BD124" s="13">
        <x:f>IF($C124="","",IF($AM124="Y",$S124="Y",TRUE))</x:f>
      </x:c>
      <x:c r="BE124" s="13">
        <x:f>IF($C124="","",IF($AN124="Y",$T124="Y",TRUE))</x:f>
      </x:c>
      <x:c r="BF124" s="13">
        <x:f>IF($C124="","",IF($AO124="",TRUE,IF($U124="",FALSE,$U124&lt;=$AO124)))</x:f>
      </x:c>
      <x:c r="BG124" s="13">
        <x:f>IF($C124="","",IF($AP124="",TRUE,IF($V124="",FALSE,$V124&lt;=$AP124)))</x:f>
      </x:c>
      <x:c r="BH124" s="13">
        <x:f>IF($C124="","",IF($AQ124="",TRUE,IF($W124="",FALSE,$W124&lt;=$AQ124)))</x:f>
      </x:c>
      <x:c r="BI124" s="13">
        <x:f>IF($C124="","",IF($AR124="",TRUE,IF($X124="",FALSE,$X124&lt;=$AR124)))</x:f>
      </x:c>
      <x:c r="BJ124" s="15">
        <x:f>IF($C124="","",IF($Y124="",0,$Y124)+IF($AS124,10,0)+IF($AT124,8,0)+IF($AU124,5,0)+IF($AV124,8,0)+IF($AW124,15,0)+IF($AX124,4,0)+IF($AY124,5,0)+IF($AZ124,10,0)+IF($BA124,8,0)+IF($BB124,4,0)+IF($BC124,6,0)+IF($BD124,3,0)+IF($BE124,2,0)+IF($BF124,2,0)+IF($BG124,2,0)+IF($BH124,2,0)+IF($BI124,1,0))</x:f>
      </x:c>
      <x:c r="BK124" s="15">
        <x:f>IF($C124="","",IF(NOT($AS124),1,0)+IF(NOT($AW124),1,0)+IF(NOT($AZ124),1,0)+IF(NOT($BA124),1,0)+IF(NOT($BB124),1,0)+IF(NOT($BC124),1,0))</x:f>
      </x:c>
      <x:c r="BL124" s="13">
        <x:f>IF($C124="","",IF($BK124&gt;0,"REJECT",IF(COUNTIF($AS124:$BI124,FALSE)=0,"ACCEPT",IF($BJ124&gt;=85,"ACCEPT WITH SORTING / DISCOUNT","REJECT"))))</x:f>
      </x:c>
    </x:row>
    <x:row r="125" ht="24" customHeight="1">
      <x:c r="A125" s="10" t="n"/>
      <x:c r="B125" s="11" t="n"/>
      <x:c r="C125" s="11" t="n"/>
      <x:c r="D125" s="11" t="n"/>
      <x:c r="E125" s="11" t="n"/>
      <x:c r="F125" s="11" t="n"/>
      <x:c r="G125" s="11" t="n"/>
      <x:c r="H125" s="11" t="n"/>
      <x:c r="I125" s="12" t="n"/>
      <x:c r="J125" s="12" t="n"/>
      <x:c r="K125" s="12" t="n"/>
      <x:c r="L125" s="12" t="n"/>
      <x:c r="M125" s="12" t="n"/>
      <x:c r="N125" s="12" t="n"/>
      <x:c r="O125" s="12" t="n"/>
      <x:c r="P125" s="11" t="n"/>
      <x:c r="Q125" s="11" t="n"/>
      <x:c r="R125" s="11" t="n"/>
      <x:c r="S125" s="11" t="n"/>
      <x:c r="T125" s="11" t="n"/>
      <x:c r="U125" s="12" t="n"/>
      <x:c r="V125" s="12" t="n"/>
      <x:c r="W125" s="12" t="n"/>
      <x:c r="X125" s="12" t="n"/>
      <x:c r="Y125" s="12" t="n"/>
      <x:c r="Z125" s="13">
        <x:f>IF($C125="","",VLOOKUP($C125,Config!$A$2:$Y$4,2,FALSE))</x:f>
      </x:c>
      <x:c r="AA125" s="13">
        <x:f>IF($C125="","",VLOOKUP($C125,Config!$A$2:$Y$4,5,FALSE))</x:f>
      </x:c>
      <x:c r="AB125" s="14">
        <x:f>IF($C125="","",VLOOKUP($C125,Config!$A$2:$Y$4,7,FALSE))</x:f>
      </x:c>
      <x:c r="AC125" s="14">
        <x:f>IF($C125="","",VLOOKUP($C125,Config!$A$2:$Y$4,8,FALSE))</x:f>
      </x:c>
      <x:c r="AD125" s="14">
        <x:f>IF($C125="","",VLOOKUP($C125,Config!$A$2:$Y$4,9,FALSE))</x:f>
      </x:c>
      <x:c r="AE125" s="14">
        <x:f>IF($C125="","",VLOOKUP($C125,Config!$A$2:$Y$4,10,FALSE))</x:f>
      </x:c>
      <x:c r="AF125" s="14">
        <x:f>IF($C125="","",VLOOKUP($C125,Config!$A$2:$Y$4,11,FALSE))</x:f>
      </x:c>
      <x:c r="AG125" s="14">
        <x:f>IF($C125="","",VLOOKUP($C125,Config!$A$2:$Y$4,12,FALSE))</x:f>
      </x:c>
      <x:c r="AH125" s="14">
        <x:f>IF($C125="","",VLOOKUP($C125,Config!$A$2:$Y$4,13,FALSE))</x:f>
      </x:c>
      <x:c r="AI125" s="14">
        <x:f>IF($C125="","",VLOOKUP($C125,Config!$A$2:$Y$4,14,FALSE))</x:f>
      </x:c>
      <x:c r="AJ125" s="14">
        <x:f>IF($C125="","",VLOOKUP($C125,Config!$A$2:$Y$4,15,FALSE))</x:f>
      </x:c>
      <x:c r="AK125" s="14">
        <x:f>IF($C125="","",VLOOKUP($C125,Config!$A$2:$Y$4,16,FALSE))</x:f>
      </x:c>
      <x:c r="AL125" s="14">
        <x:f>IF($C125="","",VLOOKUP($C125,Config!$A$2:$Y$4,17,FALSE))</x:f>
      </x:c>
      <x:c r="AM125" s="14">
        <x:f>IF($C125="","",VLOOKUP($C125,Config!$A$2:$Y$4,18,FALSE))</x:f>
      </x:c>
      <x:c r="AN125" s="14">
        <x:f>IF($C125="","",VLOOKUP($C125,Config!$A$2:$Y$4,19,FALSE))</x:f>
      </x:c>
      <x:c r="AO125" s="14">
        <x:f>IF($C125="","",VLOOKUP($C125,Config!$A$2:$Y$4,20,FALSE))</x:f>
      </x:c>
      <x:c r="AP125" s="14">
        <x:f>IF($C125="","",VLOOKUP($C125,Config!$A$2:$Y$4,21,FALSE))</x:f>
      </x:c>
      <x:c r="AQ125" s="14">
        <x:f>IF($C125="","",VLOOKUP($C125,Config!$A$2:$Y$4,22,FALSE))</x:f>
      </x:c>
      <x:c r="AR125" s="14">
        <x:f>IF($C125="","",VLOOKUP($C125,Config!$A$2:$Y$4,23,FALSE))</x:f>
      </x:c>
      <x:c r="AS125" s="13">
        <x:f>IF($C125="","",IF($H125="Extra",3,IF($H125="I",2,IF($H125="II",1,0)))&gt;=IF($AA125="Extra",3,IF($AA125="I",2,IF($AA125="II",1,0))))</x:f>
      </x:c>
      <x:c r="AT125" s="13">
        <x:f>IF($C125="","",IF($I125="",FALSE,$I125&gt;=$AB125))</x:f>
      </x:c>
      <x:c r="AU125" s="13">
        <x:f>IF($C125="","",IF($AC125="",TRUE,IF($J125="",FALSE,$J125&lt;=$AC125)))</x:f>
      </x:c>
      <x:c r="AV125" s="13">
        <x:f>IF($C125="","",IF($AD125="",TRUE,IF($K125="",FALSE,$K125&lt;=$AD125)))</x:f>
      </x:c>
      <x:c r="AW125" s="13">
        <x:f>IF($C125="","",IF($AE125="",TRUE,IF($L125="",FALSE,$L125&lt;=$AE125)))</x:f>
      </x:c>
      <x:c r="AX125" s="13">
        <x:f>IF($C125="","",IF($AF125="",TRUE,IF($M125="",FALSE,$M125&lt;=$AF125)))</x:f>
      </x:c>
      <x:c r="AY125" s="13">
        <x:f>IF($C125="","",IF($AG125="",TRUE,IF($N125="",FALSE,$N125&gt;=$AG125)))</x:f>
      </x:c>
      <x:c r="AZ125" s="13">
        <x:f>IF($C125="","",IF(OR($AH125="",$AI125=""),TRUE,IF($O125="",FALSE,AND($O125&gt;=$AH125,$O125&lt;=$AI125))))</x:f>
      </x:c>
      <x:c r="BA125" s="13">
        <x:f>IF($C125="","",IF($AJ125="Y",$P125="Y",TRUE))</x:f>
      </x:c>
      <x:c r="BB125" s="13">
        <x:f>IF($C125="","",IF($AK125="Y",$Q125="Y",TRUE))</x:f>
      </x:c>
      <x:c r="BC125" s="13">
        <x:f>IF($C125="","",IF($AL125="Y",$R125="Y",TRUE))</x:f>
      </x:c>
      <x:c r="BD125" s="13">
        <x:f>IF($C125="","",IF($AM125="Y",$S125="Y",TRUE))</x:f>
      </x:c>
      <x:c r="BE125" s="13">
        <x:f>IF($C125="","",IF($AN125="Y",$T125="Y",TRUE))</x:f>
      </x:c>
      <x:c r="BF125" s="13">
        <x:f>IF($C125="","",IF($AO125="",TRUE,IF($U125="",FALSE,$U125&lt;=$AO125)))</x:f>
      </x:c>
      <x:c r="BG125" s="13">
        <x:f>IF($C125="","",IF($AP125="",TRUE,IF($V125="",FALSE,$V125&lt;=$AP125)))</x:f>
      </x:c>
      <x:c r="BH125" s="13">
        <x:f>IF($C125="","",IF($AQ125="",TRUE,IF($W125="",FALSE,$W125&lt;=$AQ125)))</x:f>
      </x:c>
      <x:c r="BI125" s="13">
        <x:f>IF($C125="","",IF($AR125="",TRUE,IF($X125="",FALSE,$X125&lt;=$AR125)))</x:f>
      </x:c>
      <x:c r="BJ125" s="15">
        <x:f>IF($C125="","",IF($Y125="",0,$Y125)+IF($AS125,10,0)+IF($AT125,8,0)+IF($AU125,5,0)+IF($AV125,8,0)+IF($AW125,15,0)+IF($AX125,4,0)+IF($AY125,5,0)+IF($AZ125,10,0)+IF($BA125,8,0)+IF($BB125,4,0)+IF($BC125,6,0)+IF($BD125,3,0)+IF($BE125,2,0)+IF($BF125,2,0)+IF($BG125,2,0)+IF($BH125,2,0)+IF($BI125,1,0))</x:f>
      </x:c>
      <x:c r="BK125" s="15">
        <x:f>IF($C125="","",IF(NOT($AS125),1,0)+IF(NOT($AW125),1,0)+IF(NOT($AZ125),1,0)+IF(NOT($BA125),1,0)+IF(NOT($BB125),1,0)+IF(NOT($BC125),1,0))</x:f>
      </x:c>
      <x:c r="BL125" s="13">
        <x:f>IF($C125="","",IF($BK125&gt;0,"REJECT",IF(COUNTIF($AS125:$BI125,FALSE)=0,"ACCEPT",IF($BJ125&gt;=85,"ACCEPT WITH SORTING / DISCOUNT","REJECT"))))</x:f>
      </x:c>
    </x:row>
    <x:row r="126" ht="24" customHeight="1">
      <x:c r="A126" s="10" t="n"/>
      <x:c r="B126" s="11" t="n"/>
      <x:c r="C126" s="11" t="n"/>
      <x:c r="D126" s="11" t="n"/>
      <x:c r="E126" s="11" t="n"/>
      <x:c r="F126" s="11" t="n"/>
      <x:c r="G126" s="11" t="n"/>
      <x:c r="H126" s="11" t="n"/>
      <x:c r="I126" s="12" t="n"/>
      <x:c r="J126" s="12" t="n"/>
      <x:c r="K126" s="12" t="n"/>
      <x:c r="L126" s="12" t="n"/>
      <x:c r="M126" s="12" t="n"/>
      <x:c r="N126" s="12" t="n"/>
      <x:c r="O126" s="12" t="n"/>
      <x:c r="P126" s="11" t="n"/>
      <x:c r="Q126" s="11" t="n"/>
      <x:c r="R126" s="11" t="n"/>
      <x:c r="S126" s="11" t="n"/>
      <x:c r="T126" s="11" t="n"/>
      <x:c r="U126" s="12" t="n"/>
      <x:c r="V126" s="12" t="n"/>
      <x:c r="W126" s="12" t="n"/>
      <x:c r="X126" s="12" t="n"/>
      <x:c r="Y126" s="12" t="n"/>
      <x:c r="Z126" s="13">
        <x:f>IF($C126="","",VLOOKUP($C126,Config!$A$2:$Y$4,2,FALSE))</x:f>
      </x:c>
      <x:c r="AA126" s="13">
        <x:f>IF($C126="","",VLOOKUP($C126,Config!$A$2:$Y$4,5,FALSE))</x:f>
      </x:c>
      <x:c r="AB126" s="14">
        <x:f>IF($C126="","",VLOOKUP($C126,Config!$A$2:$Y$4,7,FALSE))</x:f>
      </x:c>
      <x:c r="AC126" s="14">
        <x:f>IF($C126="","",VLOOKUP($C126,Config!$A$2:$Y$4,8,FALSE))</x:f>
      </x:c>
      <x:c r="AD126" s="14">
        <x:f>IF($C126="","",VLOOKUP($C126,Config!$A$2:$Y$4,9,FALSE))</x:f>
      </x:c>
      <x:c r="AE126" s="14">
        <x:f>IF($C126="","",VLOOKUP($C126,Config!$A$2:$Y$4,10,FALSE))</x:f>
      </x:c>
      <x:c r="AF126" s="14">
        <x:f>IF($C126="","",VLOOKUP($C126,Config!$A$2:$Y$4,11,FALSE))</x:f>
      </x:c>
      <x:c r="AG126" s="14">
        <x:f>IF($C126="","",VLOOKUP($C126,Config!$A$2:$Y$4,12,FALSE))</x:f>
      </x:c>
      <x:c r="AH126" s="14">
        <x:f>IF($C126="","",VLOOKUP($C126,Config!$A$2:$Y$4,13,FALSE))</x:f>
      </x:c>
      <x:c r="AI126" s="14">
        <x:f>IF($C126="","",VLOOKUP($C126,Config!$A$2:$Y$4,14,FALSE))</x:f>
      </x:c>
      <x:c r="AJ126" s="14">
        <x:f>IF($C126="","",VLOOKUP($C126,Config!$A$2:$Y$4,15,FALSE))</x:f>
      </x:c>
      <x:c r="AK126" s="14">
        <x:f>IF($C126="","",VLOOKUP($C126,Config!$A$2:$Y$4,16,FALSE))</x:f>
      </x:c>
      <x:c r="AL126" s="14">
        <x:f>IF($C126="","",VLOOKUP($C126,Config!$A$2:$Y$4,17,FALSE))</x:f>
      </x:c>
      <x:c r="AM126" s="14">
        <x:f>IF($C126="","",VLOOKUP($C126,Config!$A$2:$Y$4,18,FALSE))</x:f>
      </x:c>
      <x:c r="AN126" s="14">
        <x:f>IF($C126="","",VLOOKUP($C126,Config!$A$2:$Y$4,19,FALSE))</x:f>
      </x:c>
      <x:c r="AO126" s="14">
        <x:f>IF($C126="","",VLOOKUP($C126,Config!$A$2:$Y$4,20,FALSE))</x:f>
      </x:c>
      <x:c r="AP126" s="14">
        <x:f>IF($C126="","",VLOOKUP($C126,Config!$A$2:$Y$4,21,FALSE))</x:f>
      </x:c>
      <x:c r="AQ126" s="14">
        <x:f>IF($C126="","",VLOOKUP($C126,Config!$A$2:$Y$4,22,FALSE))</x:f>
      </x:c>
      <x:c r="AR126" s="14">
        <x:f>IF($C126="","",VLOOKUP($C126,Config!$A$2:$Y$4,23,FALSE))</x:f>
      </x:c>
      <x:c r="AS126" s="13">
        <x:f>IF($C126="","",IF($H126="Extra",3,IF($H126="I",2,IF($H126="II",1,0)))&gt;=IF($AA126="Extra",3,IF($AA126="I",2,IF($AA126="II",1,0))))</x:f>
      </x:c>
      <x:c r="AT126" s="13">
        <x:f>IF($C126="","",IF($I126="",FALSE,$I126&gt;=$AB126))</x:f>
      </x:c>
      <x:c r="AU126" s="13">
        <x:f>IF($C126="","",IF($AC126="",TRUE,IF($J126="",FALSE,$J126&lt;=$AC126)))</x:f>
      </x:c>
      <x:c r="AV126" s="13">
        <x:f>IF($C126="","",IF($AD126="",TRUE,IF($K126="",FALSE,$K126&lt;=$AD126)))</x:f>
      </x:c>
      <x:c r="AW126" s="13">
        <x:f>IF($C126="","",IF($AE126="",TRUE,IF($L126="",FALSE,$L126&lt;=$AE126)))</x:f>
      </x:c>
      <x:c r="AX126" s="13">
        <x:f>IF($C126="","",IF($AF126="",TRUE,IF($M126="",FALSE,$M126&lt;=$AF126)))</x:f>
      </x:c>
      <x:c r="AY126" s="13">
        <x:f>IF($C126="","",IF($AG126="",TRUE,IF($N126="",FALSE,$N126&gt;=$AG126)))</x:f>
      </x:c>
      <x:c r="AZ126" s="13">
        <x:f>IF($C126="","",IF(OR($AH126="",$AI126=""),TRUE,IF($O126="",FALSE,AND($O126&gt;=$AH126,$O126&lt;=$AI126))))</x:f>
      </x:c>
      <x:c r="BA126" s="13">
        <x:f>IF($C126="","",IF($AJ126="Y",$P126="Y",TRUE))</x:f>
      </x:c>
      <x:c r="BB126" s="13">
        <x:f>IF($C126="","",IF($AK126="Y",$Q126="Y",TRUE))</x:f>
      </x:c>
      <x:c r="BC126" s="13">
        <x:f>IF($C126="","",IF($AL126="Y",$R126="Y",TRUE))</x:f>
      </x:c>
      <x:c r="BD126" s="13">
        <x:f>IF($C126="","",IF($AM126="Y",$S126="Y",TRUE))</x:f>
      </x:c>
      <x:c r="BE126" s="13">
        <x:f>IF($C126="","",IF($AN126="Y",$T126="Y",TRUE))</x:f>
      </x:c>
      <x:c r="BF126" s="13">
        <x:f>IF($C126="","",IF($AO126="",TRUE,IF($U126="",FALSE,$U126&lt;=$AO126)))</x:f>
      </x:c>
      <x:c r="BG126" s="13">
        <x:f>IF($C126="","",IF($AP126="",TRUE,IF($V126="",FALSE,$V126&lt;=$AP126)))</x:f>
      </x:c>
      <x:c r="BH126" s="13">
        <x:f>IF($C126="","",IF($AQ126="",TRUE,IF($W126="",FALSE,$W126&lt;=$AQ126)))</x:f>
      </x:c>
      <x:c r="BI126" s="13">
        <x:f>IF($C126="","",IF($AR126="",TRUE,IF($X126="",FALSE,$X126&lt;=$AR126)))</x:f>
      </x:c>
      <x:c r="BJ126" s="15">
        <x:f>IF($C126="","",IF($Y126="",0,$Y126)+IF($AS126,10,0)+IF($AT126,8,0)+IF($AU126,5,0)+IF($AV126,8,0)+IF($AW126,15,0)+IF($AX126,4,0)+IF($AY126,5,0)+IF($AZ126,10,0)+IF($BA126,8,0)+IF($BB126,4,0)+IF($BC126,6,0)+IF($BD126,3,0)+IF($BE126,2,0)+IF($BF126,2,0)+IF($BG126,2,0)+IF($BH126,2,0)+IF($BI126,1,0))</x:f>
      </x:c>
      <x:c r="BK126" s="15">
        <x:f>IF($C126="","",IF(NOT($AS126),1,0)+IF(NOT($AW126),1,0)+IF(NOT($AZ126),1,0)+IF(NOT($BA126),1,0)+IF(NOT($BB126),1,0)+IF(NOT($BC126),1,0))</x:f>
      </x:c>
      <x:c r="BL126" s="13">
        <x:f>IF($C126="","",IF($BK126&gt;0,"REJECT",IF(COUNTIF($AS126:$BI126,FALSE)=0,"ACCEPT",IF($BJ126&gt;=85,"ACCEPT WITH SORTING / DISCOUNT","REJECT"))))</x:f>
      </x:c>
    </x:row>
    <x:row r="127" ht="24" customHeight="1">
      <x:c r="A127" s="10" t="n"/>
      <x:c r="B127" s="11" t="n"/>
      <x:c r="C127" s="11" t="n"/>
      <x:c r="D127" s="11" t="n"/>
      <x:c r="E127" s="11" t="n"/>
      <x:c r="F127" s="11" t="n"/>
      <x:c r="G127" s="11" t="n"/>
      <x:c r="H127" s="11" t="n"/>
      <x:c r="I127" s="12" t="n"/>
      <x:c r="J127" s="12" t="n"/>
      <x:c r="K127" s="12" t="n"/>
      <x:c r="L127" s="12" t="n"/>
      <x:c r="M127" s="12" t="n"/>
      <x:c r="N127" s="12" t="n"/>
      <x:c r="O127" s="12" t="n"/>
      <x:c r="P127" s="11" t="n"/>
      <x:c r="Q127" s="11" t="n"/>
      <x:c r="R127" s="11" t="n"/>
      <x:c r="S127" s="11" t="n"/>
      <x:c r="T127" s="11" t="n"/>
      <x:c r="U127" s="12" t="n"/>
      <x:c r="V127" s="12" t="n"/>
      <x:c r="W127" s="12" t="n"/>
      <x:c r="X127" s="12" t="n"/>
      <x:c r="Y127" s="12" t="n"/>
      <x:c r="Z127" s="13">
        <x:f>IF($C127="","",VLOOKUP($C127,Config!$A$2:$Y$4,2,FALSE))</x:f>
      </x:c>
      <x:c r="AA127" s="13">
        <x:f>IF($C127="","",VLOOKUP($C127,Config!$A$2:$Y$4,5,FALSE))</x:f>
      </x:c>
      <x:c r="AB127" s="14">
        <x:f>IF($C127="","",VLOOKUP($C127,Config!$A$2:$Y$4,7,FALSE))</x:f>
      </x:c>
      <x:c r="AC127" s="14">
        <x:f>IF($C127="","",VLOOKUP($C127,Config!$A$2:$Y$4,8,FALSE))</x:f>
      </x:c>
      <x:c r="AD127" s="14">
        <x:f>IF($C127="","",VLOOKUP($C127,Config!$A$2:$Y$4,9,FALSE))</x:f>
      </x:c>
      <x:c r="AE127" s="14">
        <x:f>IF($C127="","",VLOOKUP($C127,Config!$A$2:$Y$4,10,FALSE))</x:f>
      </x:c>
      <x:c r="AF127" s="14">
        <x:f>IF($C127="","",VLOOKUP($C127,Config!$A$2:$Y$4,11,FALSE))</x:f>
      </x:c>
      <x:c r="AG127" s="14">
        <x:f>IF($C127="","",VLOOKUP($C127,Config!$A$2:$Y$4,12,FALSE))</x:f>
      </x:c>
      <x:c r="AH127" s="14">
        <x:f>IF($C127="","",VLOOKUP($C127,Config!$A$2:$Y$4,13,FALSE))</x:f>
      </x:c>
      <x:c r="AI127" s="14">
        <x:f>IF($C127="","",VLOOKUP($C127,Config!$A$2:$Y$4,14,FALSE))</x:f>
      </x:c>
      <x:c r="AJ127" s="14">
        <x:f>IF($C127="","",VLOOKUP($C127,Config!$A$2:$Y$4,15,FALSE))</x:f>
      </x:c>
      <x:c r="AK127" s="14">
        <x:f>IF($C127="","",VLOOKUP($C127,Config!$A$2:$Y$4,16,FALSE))</x:f>
      </x:c>
      <x:c r="AL127" s="14">
        <x:f>IF($C127="","",VLOOKUP($C127,Config!$A$2:$Y$4,17,FALSE))</x:f>
      </x:c>
      <x:c r="AM127" s="14">
        <x:f>IF($C127="","",VLOOKUP($C127,Config!$A$2:$Y$4,18,FALSE))</x:f>
      </x:c>
      <x:c r="AN127" s="14">
        <x:f>IF($C127="","",VLOOKUP($C127,Config!$A$2:$Y$4,19,FALSE))</x:f>
      </x:c>
      <x:c r="AO127" s="14">
        <x:f>IF($C127="","",VLOOKUP($C127,Config!$A$2:$Y$4,20,FALSE))</x:f>
      </x:c>
      <x:c r="AP127" s="14">
        <x:f>IF($C127="","",VLOOKUP($C127,Config!$A$2:$Y$4,21,FALSE))</x:f>
      </x:c>
      <x:c r="AQ127" s="14">
        <x:f>IF($C127="","",VLOOKUP($C127,Config!$A$2:$Y$4,22,FALSE))</x:f>
      </x:c>
      <x:c r="AR127" s="14">
        <x:f>IF($C127="","",VLOOKUP($C127,Config!$A$2:$Y$4,23,FALSE))</x:f>
      </x:c>
      <x:c r="AS127" s="13">
        <x:f>IF($C127="","",IF($H127="Extra",3,IF($H127="I",2,IF($H127="II",1,0)))&gt;=IF($AA127="Extra",3,IF($AA127="I",2,IF($AA127="II",1,0))))</x:f>
      </x:c>
      <x:c r="AT127" s="13">
        <x:f>IF($C127="","",IF($I127="",FALSE,$I127&gt;=$AB127))</x:f>
      </x:c>
      <x:c r="AU127" s="13">
        <x:f>IF($C127="","",IF($AC127="",TRUE,IF($J127="",FALSE,$J127&lt;=$AC127)))</x:f>
      </x:c>
      <x:c r="AV127" s="13">
        <x:f>IF($C127="","",IF($AD127="",TRUE,IF($K127="",FALSE,$K127&lt;=$AD127)))</x:f>
      </x:c>
      <x:c r="AW127" s="13">
        <x:f>IF($C127="","",IF($AE127="",TRUE,IF($L127="",FALSE,$L127&lt;=$AE127)))</x:f>
      </x:c>
      <x:c r="AX127" s="13">
        <x:f>IF($C127="","",IF($AF127="",TRUE,IF($M127="",FALSE,$M127&lt;=$AF127)))</x:f>
      </x:c>
      <x:c r="AY127" s="13">
        <x:f>IF($C127="","",IF($AG127="",TRUE,IF($N127="",FALSE,$N127&gt;=$AG127)))</x:f>
      </x:c>
      <x:c r="AZ127" s="13">
        <x:f>IF($C127="","",IF(OR($AH127="",$AI127=""),TRUE,IF($O127="",FALSE,AND($O127&gt;=$AH127,$O127&lt;=$AI127))))</x:f>
      </x:c>
      <x:c r="BA127" s="13">
        <x:f>IF($C127="","",IF($AJ127="Y",$P127="Y",TRUE))</x:f>
      </x:c>
      <x:c r="BB127" s="13">
        <x:f>IF($C127="","",IF($AK127="Y",$Q127="Y",TRUE))</x:f>
      </x:c>
      <x:c r="BC127" s="13">
        <x:f>IF($C127="","",IF($AL127="Y",$R127="Y",TRUE))</x:f>
      </x:c>
      <x:c r="BD127" s="13">
        <x:f>IF($C127="","",IF($AM127="Y",$S127="Y",TRUE))</x:f>
      </x:c>
      <x:c r="BE127" s="13">
        <x:f>IF($C127="","",IF($AN127="Y",$T127="Y",TRUE))</x:f>
      </x:c>
      <x:c r="BF127" s="13">
        <x:f>IF($C127="","",IF($AO127="",TRUE,IF($U127="",FALSE,$U127&lt;=$AO127)))</x:f>
      </x:c>
      <x:c r="BG127" s="13">
        <x:f>IF($C127="","",IF($AP127="",TRUE,IF($V127="",FALSE,$V127&lt;=$AP127)))</x:f>
      </x:c>
      <x:c r="BH127" s="13">
        <x:f>IF($C127="","",IF($AQ127="",TRUE,IF($W127="",FALSE,$W127&lt;=$AQ127)))</x:f>
      </x:c>
      <x:c r="BI127" s="13">
        <x:f>IF($C127="","",IF($AR127="",TRUE,IF($X127="",FALSE,$X127&lt;=$AR127)))</x:f>
      </x:c>
      <x:c r="BJ127" s="15">
        <x:f>IF($C127="","",IF($Y127="",0,$Y127)+IF($AS127,10,0)+IF($AT127,8,0)+IF($AU127,5,0)+IF($AV127,8,0)+IF($AW127,15,0)+IF($AX127,4,0)+IF($AY127,5,0)+IF($AZ127,10,0)+IF($BA127,8,0)+IF($BB127,4,0)+IF($BC127,6,0)+IF($BD127,3,0)+IF($BE127,2,0)+IF($BF127,2,0)+IF($BG127,2,0)+IF($BH127,2,0)+IF($BI127,1,0))</x:f>
      </x:c>
      <x:c r="BK127" s="15">
        <x:f>IF($C127="","",IF(NOT($AS127),1,0)+IF(NOT($AW127),1,0)+IF(NOT($AZ127),1,0)+IF(NOT($BA127),1,0)+IF(NOT($BB127),1,0)+IF(NOT($BC127),1,0))</x:f>
      </x:c>
      <x:c r="BL127" s="13">
        <x:f>IF($C127="","",IF($BK127&gt;0,"REJECT",IF(COUNTIF($AS127:$BI127,FALSE)=0,"ACCEPT",IF($BJ127&gt;=85,"ACCEPT WITH SORTING / DISCOUNT","REJECT"))))</x:f>
      </x:c>
    </x:row>
    <x:row r="128" ht="24" customHeight="1">
      <x:c r="A128" s="10" t="n"/>
      <x:c r="B128" s="11" t="n"/>
      <x:c r="C128" s="11" t="n"/>
      <x:c r="D128" s="11" t="n"/>
      <x:c r="E128" s="11" t="n"/>
      <x:c r="F128" s="11" t="n"/>
      <x:c r="G128" s="11" t="n"/>
      <x:c r="H128" s="11" t="n"/>
      <x:c r="I128" s="12" t="n"/>
      <x:c r="J128" s="12" t="n"/>
      <x:c r="K128" s="12" t="n"/>
      <x:c r="L128" s="12" t="n"/>
      <x:c r="M128" s="12" t="n"/>
      <x:c r="N128" s="12" t="n"/>
      <x:c r="O128" s="12" t="n"/>
      <x:c r="P128" s="11" t="n"/>
      <x:c r="Q128" s="11" t="n"/>
      <x:c r="R128" s="11" t="n"/>
      <x:c r="S128" s="11" t="n"/>
      <x:c r="T128" s="11" t="n"/>
      <x:c r="U128" s="12" t="n"/>
      <x:c r="V128" s="12" t="n"/>
      <x:c r="W128" s="12" t="n"/>
      <x:c r="X128" s="12" t="n"/>
      <x:c r="Y128" s="12" t="n"/>
      <x:c r="Z128" s="13">
        <x:f>IF($C128="","",VLOOKUP($C128,Config!$A$2:$Y$4,2,FALSE))</x:f>
      </x:c>
      <x:c r="AA128" s="13">
        <x:f>IF($C128="","",VLOOKUP($C128,Config!$A$2:$Y$4,5,FALSE))</x:f>
      </x:c>
      <x:c r="AB128" s="14">
        <x:f>IF($C128="","",VLOOKUP($C128,Config!$A$2:$Y$4,7,FALSE))</x:f>
      </x:c>
      <x:c r="AC128" s="14">
        <x:f>IF($C128="","",VLOOKUP($C128,Config!$A$2:$Y$4,8,FALSE))</x:f>
      </x:c>
      <x:c r="AD128" s="14">
        <x:f>IF($C128="","",VLOOKUP($C128,Config!$A$2:$Y$4,9,FALSE))</x:f>
      </x:c>
      <x:c r="AE128" s="14">
        <x:f>IF($C128="","",VLOOKUP($C128,Config!$A$2:$Y$4,10,FALSE))</x:f>
      </x:c>
      <x:c r="AF128" s="14">
        <x:f>IF($C128="","",VLOOKUP($C128,Config!$A$2:$Y$4,11,FALSE))</x:f>
      </x:c>
      <x:c r="AG128" s="14">
        <x:f>IF($C128="","",VLOOKUP($C128,Config!$A$2:$Y$4,12,FALSE))</x:f>
      </x:c>
      <x:c r="AH128" s="14">
        <x:f>IF($C128="","",VLOOKUP($C128,Config!$A$2:$Y$4,13,FALSE))</x:f>
      </x:c>
      <x:c r="AI128" s="14">
        <x:f>IF($C128="","",VLOOKUP($C128,Config!$A$2:$Y$4,14,FALSE))</x:f>
      </x:c>
      <x:c r="AJ128" s="14">
        <x:f>IF($C128="","",VLOOKUP($C128,Config!$A$2:$Y$4,15,FALSE))</x:f>
      </x:c>
      <x:c r="AK128" s="14">
        <x:f>IF($C128="","",VLOOKUP($C128,Config!$A$2:$Y$4,16,FALSE))</x:f>
      </x:c>
      <x:c r="AL128" s="14">
        <x:f>IF($C128="","",VLOOKUP($C128,Config!$A$2:$Y$4,17,FALSE))</x:f>
      </x:c>
      <x:c r="AM128" s="14">
        <x:f>IF($C128="","",VLOOKUP($C128,Config!$A$2:$Y$4,18,FALSE))</x:f>
      </x:c>
      <x:c r="AN128" s="14">
        <x:f>IF($C128="","",VLOOKUP($C128,Config!$A$2:$Y$4,19,FALSE))</x:f>
      </x:c>
      <x:c r="AO128" s="14">
        <x:f>IF($C128="","",VLOOKUP($C128,Config!$A$2:$Y$4,20,FALSE))</x:f>
      </x:c>
      <x:c r="AP128" s="14">
        <x:f>IF($C128="","",VLOOKUP($C128,Config!$A$2:$Y$4,21,FALSE))</x:f>
      </x:c>
      <x:c r="AQ128" s="14">
        <x:f>IF($C128="","",VLOOKUP($C128,Config!$A$2:$Y$4,22,FALSE))</x:f>
      </x:c>
      <x:c r="AR128" s="14">
        <x:f>IF($C128="","",VLOOKUP($C128,Config!$A$2:$Y$4,23,FALSE))</x:f>
      </x:c>
      <x:c r="AS128" s="13">
        <x:f>IF($C128="","",IF($H128="Extra",3,IF($H128="I",2,IF($H128="II",1,0)))&gt;=IF($AA128="Extra",3,IF($AA128="I",2,IF($AA128="II",1,0))))</x:f>
      </x:c>
      <x:c r="AT128" s="13">
        <x:f>IF($C128="","",IF($I128="",FALSE,$I128&gt;=$AB128))</x:f>
      </x:c>
      <x:c r="AU128" s="13">
        <x:f>IF($C128="","",IF($AC128="",TRUE,IF($J128="",FALSE,$J128&lt;=$AC128)))</x:f>
      </x:c>
      <x:c r="AV128" s="13">
        <x:f>IF($C128="","",IF($AD128="",TRUE,IF($K128="",FALSE,$K128&lt;=$AD128)))</x:f>
      </x:c>
      <x:c r="AW128" s="13">
        <x:f>IF($C128="","",IF($AE128="",TRUE,IF($L128="",FALSE,$L128&lt;=$AE128)))</x:f>
      </x:c>
      <x:c r="AX128" s="13">
        <x:f>IF($C128="","",IF($AF128="",TRUE,IF($M128="",FALSE,$M128&lt;=$AF128)))</x:f>
      </x:c>
      <x:c r="AY128" s="13">
        <x:f>IF($C128="","",IF($AG128="",TRUE,IF($N128="",FALSE,$N128&gt;=$AG128)))</x:f>
      </x:c>
      <x:c r="AZ128" s="13">
        <x:f>IF($C128="","",IF(OR($AH128="",$AI128=""),TRUE,IF($O128="",FALSE,AND($O128&gt;=$AH128,$O128&lt;=$AI128))))</x:f>
      </x:c>
      <x:c r="BA128" s="13">
        <x:f>IF($C128="","",IF($AJ128="Y",$P128="Y",TRUE))</x:f>
      </x:c>
      <x:c r="BB128" s="13">
        <x:f>IF($C128="","",IF($AK128="Y",$Q128="Y",TRUE))</x:f>
      </x:c>
      <x:c r="BC128" s="13">
        <x:f>IF($C128="","",IF($AL128="Y",$R128="Y",TRUE))</x:f>
      </x:c>
      <x:c r="BD128" s="13">
        <x:f>IF($C128="","",IF($AM128="Y",$S128="Y",TRUE))</x:f>
      </x:c>
      <x:c r="BE128" s="13">
        <x:f>IF($C128="","",IF($AN128="Y",$T128="Y",TRUE))</x:f>
      </x:c>
      <x:c r="BF128" s="13">
        <x:f>IF($C128="","",IF($AO128="",TRUE,IF($U128="",FALSE,$U128&lt;=$AO128)))</x:f>
      </x:c>
      <x:c r="BG128" s="13">
        <x:f>IF($C128="","",IF($AP128="",TRUE,IF($V128="",FALSE,$V128&lt;=$AP128)))</x:f>
      </x:c>
      <x:c r="BH128" s="13">
        <x:f>IF($C128="","",IF($AQ128="",TRUE,IF($W128="",FALSE,$W128&lt;=$AQ128)))</x:f>
      </x:c>
      <x:c r="BI128" s="13">
        <x:f>IF($C128="","",IF($AR128="",TRUE,IF($X128="",FALSE,$X128&lt;=$AR128)))</x:f>
      </x:c>
      <x:c r="BJ128" s="15">
        <x:f>IF($C128="","",IF($Y128="",0,$Y128)+IF($AS128,10,0)+IF($AT128,8,0)+IF($AU128,5,0)+IF($AV128,8,0)+IF($AW128,15,0)+IF($AX128,4,0)+IF($AY128,5,0)+IF($AZ128,10,0)+IF($BA128,8,0)+IF($BB128,4,0)+IF($BC128,6,0)+IF($BD128,3,0)+IF($BE128,2,0)+IF($BF128,2,0)+IF($BG128,2,0)+IF($BH128,2,0)+IF($BI128,1,0))</x:f>
      </x:c>
      <x:c r="BK128" s="15">
        <x:f>IF($C128="","",IF(NOT($AS128),1,0)+IF(NOT($AW128),1,0)+IF(NOT($AZ128),1,0)+IF(NOT($BA128),1,0)+IF(NOT($BB128),1,0)+IF(NOT($BC128),1,0))</x:f>
      </x:c>
      <x:c r="BL128" s="13">
        <x:f>IF($C128="","",IF($BK128&gt;0,"REJECT",IF(COUNTIF($AS128:$BI128,FALSE)=0,"ACCEPT",IF($BJ128&gt;=85,"ACCEPT WITH SORTING / DISCOUNT","REJECT"))))</x:f>
      </x:c>
    </x:row>
    <x:row r="129" ht="24" customHeight="1">
      <x:c r="A129" s="10" t="n"/>
      <x:c r="B129" s="11" t="n"/>
      <x:c r="C129" s="11" t="n"/>
      <x:c r="D129" s="11" t="n"/>
      <x:c r="E129" s="11" t="n"/>
      <x:c r="F129" s="11" t="n"/>
      <x:c r="G129" s="11" t="n"/>
      <x:c r="H129" s="11" t="n"/>
      <x:c r="I129" s="12" t="n"/>
      <x:c r="J129" s="12" t="n"/>
      <x:c r="K129" s="12" t="n"/>
      <x:c r="L129" s="12" t="n"/>
      <x:c r="M129" s="12" t="n"/>
      <x:c r="N129" s="12" t="n"/>
      <x:c r="O129" s="12" t="n"/>
      <x:c r="P129" s="11" t="n"/>
      <x:c r="Q129" s="11" t="n"/>
      <x:c r="R129" s="11" t="n"/>
      <x:c r="S129" s="11" t="n"/>
      <x:c r="T129" s="11" t="n"/>
      <x:c r="U129" s="12" t="n"/>
      <x:c r="V129" s="12" t="n"/>
      <x:c r="W129" s="12" t="n"/>
      <x:c r="X129" s="12" t="n"/>
      <x:c r="Y129" s="12" t="n"/>
      <x:c r="Z129" s="13">
        <x:f>IF($C129="","",VLOOKUP($C129,Config!$A$2:$Y$4,2,FALSE))</x:f>
      </x:c>
      <x:c r="AA129" s="13">
        <x:f>IF($C129="","",VLOOKUP($C129,Config!$A$2:$Y$4,5,FALSE))</x:f>
      </x:c>
      <x:c r="AB129" s="14">
        <x:f>IF($C129="","",VLOOKUP($C129,Config!$A$2:$Y$4,7,FALSE))</x:f>
      </x:c>
      <x:c r="AC129" s="14">
        <x:f>IF($C129="","",VLOOKUP($C129,Config!$A$2:$Y$4,8,FALSE))</x:f>
      </x:c>
      <x:c r="AD129" s="14">
        <x:f>IF($C129="","",VLOOKUP($C129,Config!$A$2:$Y$4,9,FALSE))</x:f>
      </x:c>
      <x:c r="AE129" s="14">
        <x:f>IF($C129="","",VLOOKUP($C129,Config!$A$2:$Y$4,10,FALSE))</x:f>
      </x:c>
      <x:c r="AF129" s="14">
        <x:f>IF($C129="","",VLOOKUP($C129,Config!$A$2:$Y$4,11,FALSE))</x:f>
      </x:c>
      <x:c r="AG129" s="14">
        <x:f>IF($C129="","",VLOOKUP($C129,Config!$A$2:$Y$4,12,FALSE))</x:f>
      </x:c>
      <x:c r="AH129" s="14">
        <x:f>IF($C129="","",VLOOKUP($C129,Config!$A$2:$Y$4,13,FALSE))</x:f>
      </x:c>
      <x:c r="AI129" s="14">
        <x:f>IF($C129="","",VLOOKUP($C129,Config!$A$2:$Y$4,14,FALSE))</x:f>
      </x:c>
      <x:c r="AJ129" s="14">
        <x:f>IF($C129="","",VLOOKUP($C129,Config!$A$2:$Y$4,15,FALSE))</x:f>
      </x:c>
      <x:c r="AK129" s="14">
        <x:f>IF($C129="","",VLOOKUP($C129,Config!$A$2:$Y$4,16,FALSE))</x:f>
      </x:c>
      <x:c r="AL129" s="14">
        <x:f>IF($C129="","",VLOOKUP($C129,Config!$A$2:$Y$4,17,FALSE))</x:f>
      </x:c>
      <x:c r="AM129" s="14">
        <x:f>IF($C129="","",VLOOKUP($C129,Config!$A$2:$Y$4,18,FALSE))</x:f>
      </x:c>
      <x:c r="AN129" s="14">
        <x:f>IF($C129="","",VLOOKUP($C129,Config!$A$2:$Y$4,19,FALSE))</x:f>
      </x:c>
      <x:c r="AO129" s="14">
        <x:f>IF($C129="","",VLOOKUP($C129,Config!$A$2:$Y$4,20,FALSE))</x:f>
      </x:c>
      <x:c r="AP129" s="14">
        <x:f>IF($C129="","",VLOOKUP($C129,Config!$A$2:$Y$4,21,FALSE))</x:f>
      </x:c>
      <x:c r="AQ129" s="14">
        <x:f>IF($C129="","",VLOOKUP($C129,Config!$A$2:$Y$4,22,FALSE))</x:f>
      </x:c>
      <x:c r="AR129" s="14">
        <x:f>IF($C129="","",VLOOKUP($C129,Config!$A$2:$Y$4,23,FALSE))</x:f>
      </x:c>
      <x:c r="AS129" s="13">
        <x:f>IF($C129="","",IF($H129="Extra",3,IF($H129="I",2,IF($H129="II",1,0)))&gt;=IF($AA129="Extra",3,IF($AA129="I",2,IF($AA129="II",1,0))))</x:f>
      </x:c>
      <x:c r="AT129" s="13">
        <x:f>IF($C129="","",IF($I129="",FALSE,$I129&gt;=$AB129))</x:f>
      </x:c>
      <x:c r="AU129" s="13">
        <x:f>IF($C129="","",IF($AC129="",TRUE,IF($J129="",FALSE,$J129&lt;=$AC129)))</x:f>
      </x:c>
      <x:c r="AV129" s="13">
        <x:f>IF($C129="","",IF($AD129="",TRUE,IF($K129="",FALSE,$K129&lt;=$AD129)))</x:f>
      </x:c>
      <x:c r="AW129" s="13">
        <x:f>IF($C129="","",IF($AE129="",TRUE,IF($L129="",FALSE,$L129&lt;=$AE129)))</x:f>
      </x:c>
      <x:c r="AX129" s="13">
        <x:f>IF($C129="","",IF($AF129="",TRUE,IF($M129="",FALSE,$M129&lt;=$AF129)))</x:f>
      </x:c>
      <x:c r="AY129" s="13">
        <x:f>IF($C129="","",IF($AG129="",TRUE,IF($N129="",FALSE,$N129&gt;=$AG129)))</x:f>
      </x:c>
      <x:c r="AZ129" s="13">
        <x:f>IF($C129="","",IF(OR($AH129="",$AI129=""),TRUE,IF($O129="",FALSE,AND($O129&gt;=$AH129,$O129&lt;=$AI129))))</x:f>
      </x:c>
      <x:c r="BA129" s="13">
        <x:f>IF($C129="","",IF($AJ129="Y",$P129="Y",TRUE))</x:f>
      </x:c>
      <x:c r="BB129" s="13">
        <x:f>IF($C129="","",IF($AK129="Y",$Q129="Y",TRUE))</x:f>
      </x:c>
      <x:c r="BC129" s="13">
        <x:f>IF($C129="","",IF($AL129="Y",$R129="Y",TRUE))</x:f>
      </x:c>
      <x:c r="BD129" s="13">
        <x:f>IF($C129="","",IF($AM129="Y",$S129="Y",TRUE))</x:f>
      </x:c>
      <x:c r="BE129" s="13">
        <x:f>IF($C129="","",IF($AN129="Y",$T129="Y",TRUE))</x:f>
      </x:c>
      <x:c r="BF129" s="13">
        <x:f>IF($C129="","",IF($AO129="",TRUE,IF($U129="",FALSE,$U129&lt;=$AO129)))</x:f>
      </x:c>
      <x:c r="BG129" s="13">
        <x:f>IF($C129="","",IF($AP129="",TRUE,IF($V129="",FALSE,$V129&lt;=$AP129)))</x:f>
      </x:c>
      <x:c r="BH129" s="13">
        <x:f>IF($C129="","",IF($AQ129="",TRUE,IF($W129="",FALSE,$W129&lt;=$AQ129)))</x:f>
      </x:c>
      <x:c r="BI129" s="13">
        <x:f>IF($C129="","",IF($AR129="",TRUE,IF($X129="",FALSE,$X129&lt;=$AR129)))</x:f>
      </x:c>
      <x:c r="BJ129" s="15">
        <x:f>IF($C129="","",IF($Y129="",0,$Y129)+IF($AS129,10,0)+IF($AT129,8,0)+IF($AU129,5,0)+IF($AV129,8,0)+IF($AW129,15,0)+IF($AX129,4,0)+IF($AY129,5,0)+IF($AZ129,10,0)+IF($BA129,8,0)+IF($BB129,4,0)+IF($BC129,6,0)+IF($BD129,3,0)+IF($BE129,2,0)+IF($BF129,2,0)+IF($BG129,2,0)+IF($BH129,2,0)+IF($BI129,1,0))</x:f>
      </x:c>
      <x:c r="BK129" s="15">
        <x:f>IF($C129="","",IF(NOT($AS129),1,0)+IF(NOT($AW129),1,0)+IF(NOT($AZ129),1,0)+IF(NOT($BA129),1,0)+IF(NOT($BB129),1,0)+IF(NOT($BC129),1,0))</x:f>
      </x:c>
      <x:c r="BL129" s="13">
        <x:f>IF($C129="","",IF($BK129&gt;0,"REJECT",IF(COUNTIF($AS129:$BI129,FALSE)=0,"ACCEPT",IF($BJ129&gt;=85,"ACCEPT WITH SORTING / DISCOUNT","REJECT"))))</x:f>
      </x:c>
    </x:row>
    <x:row r="130" ht="24" customHeight="1">
      <x:c r="A130" s="10" t="n"/>
      <x:c r="B130" s="11" t="n"/>
      <x:c r="C130" s="11" t="n"/>
      <x:c r="D130" s="11" t="n"/>
      <x:c r="E130" s="11" t="n"/>
      <x:c r="F130" s="11" t="n"/>
      <x:c r="G130" s="11" t="n"/>
      <x:c r="H130" s="11" t="n"/>
      <x:c r="I130" s="12" t="n"/>
      <x:c r="J130" s="12" t="n"/>
      <x:c r="K130" s="12" t="n"/>
      <x:c r="L130" s="12" t="n"/>
      <x:c r="M130" s="12" t="n"/>
      <x:c r="N130" s="12" t="n"/>
      <x:c r="O130" s="12" t="n"/>
      <x:c r="P130" s="11" t="n"/>
      <x:c r="Q130" s="11" t="n"/>
      <x:c r="R130" s="11" t="n"/>
      <x:c r="S130" s="11" t="n"/>
      <x:c r="T130" s="11" t="n"/>
      <x:c r="U130" s="12" t="n"/>
      <x:c r="V130" s="12" t="n"/>
      <x:c r="W130" s="12" t="n"/>
      <x:c r="X130" s="12" t="n"/>
      <x:c r="Y130" s="12" t="n"/>
      <x:c r="Z130" s="13">
        <x:f>IF($C130="","",VLOOKUP($C130,Config!$A$2:$Y$4,2,FALSE))</x:f>
      </x:c>
      <x:c r="AA130" s="13">
        <x:f>IF($C130="","",VLOOKUP($C130,Config!$A$2:$Y$4,5,FALSE))</x:f>
      </x:c>
      <x:c r="AB130" s="14">
        <x:f>IF($C130="","",VLOOKUP($C130,Config!$A$2:$Y$4,7,FALSE))</x:f>
      </x:c>
      <x:c r="AC130" s="14">
        <x:f>IF($C130="","",VLOOKUP($C130,Config!$A$2:$Y$4,8,FALSE))</x:f>
      </x:c>
      <x:c r="AD130" s="14">
        <x:f>IF($C130="","",VLOOKUP($C130,Config!$A$2:$Y$4,9,FALSE))</x:f>
      </x:c>
      <x:c r="AE130" s="14">
        <x:f>IF($C130="","",VLOOKUP($C130,Config!$A$2:$Y$4,10,FALSE))</x:f>
      </x:c>
      <x:c r="AF130" s="14">
        <x:f>IF($C130="","",VLOOKUP($C130,Config!$A$2:$Y$4,11,FALSE))</x:f>
      </x:c>
      <x:c r="AG130" s="14">
        <x:f>IF($C130="","",VLOOKUP($C130,Config!$A$2:$Y$4,12,FALSE))</x:f>
      </x:c>
      <x:c r="AH130" s="14">
        <x:f>IF($C130="","",VLOOKUP($C130,Config!$A$2:$Y$4,13,FALSE))</x:f>
      </x:c>
      <x:c r="AI130" s="14">
        <x:f>IF($C130="","",VLOOKUP($C130,Config!$A$2:$Y$4,14,FALSE))</x:f>
      </x:c>
      <x:c r="AJ130" s="14">
        <x:f>IF($C130="","",VLOOKUP($C130,Config!$A$2:$Y$4,15,FALSE))</x:f>
      </x:c>
      <x:c r="AK130" s="14">
        <x:f>IF($C130="","",VLOOKUP($C130,Config!$A$2:$Y$4,16,FALSE))</x:f>
      </x:c>
      <x:c r="AL130" s="14">
        <x:f>IF($C130="","",VLOOKUP($C130,Config!$A$2:$Y$4,17,FALSE))</x:f>
      </x:c>
      <x:c r="AM130" s="14">
        <x:f>IF($C130="","",VLOOKUP($C130,Config!$A$2:$Y$4,18,FALSE))</x:f>
      </x:c>
      <x:c r="AN130" s="14">
        <x:f>IF($C130="","",VLOOKUP($C130,Config!$A$2:$Y$4,19,FALSE))</x:f>
      </x:c>
      <x:c r="AO130" s="14">
        <x:f>IF($C130="","",VLOOKUP($C130,Config!$A$2:$Y$4,20,FALSE))</x:f>
      </x:c>
      <x:c r="AP130" s="14">
        <x:f>IF($C130="","",VLOOKUP($C130,Config!$A$2:$Y$4,21,FALSE))</x:f>
      </x:c>
      <x:c r="AQ130" s="14">
        <x:f>IF($C130="","",VLOOKUP($C130,Config!$A$2:$Y$4,22,FALSE))</x:f>
      </x:c>
      <x:c r="AR130" s="14">
        <x:f>IF($C130="","",VLOOKUP($C130,Config!$A$2:$Y$4,23,FALSE))</x:f>
      </x:c>
      <x:c r="AS130" s="13">
        <x:f>IF($C130="","",IF($H130="Extra",3,IF($H130="I",2,IF($H130="II",1,0)))&gt;=IF($AA130="Extra",3,IF($AA130="I",2,IF($AA130="II",1,0))))</x:f>
      </x:c>
      <x:c r="AT130" s="13">
        <x:f>IF($C130="","",IF($I130="",FALSE,$I130&gt;=$AB130))</x:f>
      </x:c>
      <x:c r="AU130" s="13">
        <x:f>IF($C130="","",IF($AC130="",TRUE,IF($J130="",FALSE,$J130&lt;=$AC130)))</x:f>
      </x:c>
      <x:c r="AV130" s="13">
        <x:f>IF($C130="","",IF($AD130="",TRUE,IF($K130="",FALSE,$K130&lt;=$AD130)))</x:f>
      </x:c>
      <x:c r="AW130" s="13">
        <x:f>IF($C130="","",IF($AE130="",TRUE,IF($L130="",FALSE,$L130&lt;=$AE130)))</x:f>
      </x:c>
      <x:c r="AX130" s="13">
        <x:f>IF($C130="","",IF($AF130="",TRUE,IF($M130="",FALSE,$M130&lt;=$AF130)))</x:f>
      </x:c>
      <x:c r="AY130" s="13">
        <x:f>IF($C130="","",IF($AG130="",TRUE,IF($N130="",FALSE,$N130&gt;=$AG130)))</x:f>
      </x:c>
      <x:c r="AZ130" s="13">
        <x:f>IF($C130="","",IF(OR($AH130="",$AI130=""),TRUE,IF($O130="",FALSE,AND($O130&gt;=$AH130,$O130&lt;=$AI130))))</x:f>
      </x:c>
      <x:c r="BA130" s="13">
        <x:f>IF($C130="","",IF($AJ130="Y",$P130="Y",TRUE))</x:f>
      </x:c>
      <x:c r="BB130" s="13">
        <x:f>IF($C130="","",IF($AK130="Y",$Q130="Y",TRUE))</x:f>
      </x:c>
      <x:c r="BC130" s="13">
        <x:f>IF($C130="","",IF($AL130="Y",$R130="Y",TRUE))</x:f>
      </x:c>
      <x:c r="BD130" s="13">
        <x:f>IF($C130="","",IF($AM130="Y",$S130="Y",TRUE))</x:f>
      </x:c>
      <x:c r="BE130" s="13">
        <x:f>IF($C130="","",IF($AN130="Y",$T130="Y",TRUE))</x:f>
      </x:c>
      <x:c r="BF130" s="13">
        <x:f>IF($C130="","",IF($AO130="",TRUE,IF($U130="",FALSE,$U130&lt;=$AO130)))</x:f>
      </x:c>
      <x:c r="BG130" s="13">
        <x:f>IF($C130="","",IF($AP130="",TRUE,IF($V130="",FALSE,$V130&lt;=$AP130)))</x:f>
      </x:c>
      <x:c r="BH130" s="13">
        <x:f>IF($C130="","",IF($AQ130="",TRUE,IF($W130="",FALSE,$W130&lt;=$AQ130)))</x:f>
      </x:c>
      <x:c r="BI130" s="13">
        <x:f>IF($C130="","",IF($AR130="",TRUE,IF($X130="",FALSE,$X130&lt;=$AR130)))</x:f>
      </x:c>
      <x:c r="BJ130" s="15">
        <x:f>IF($C130="","",IF($Y130="",0,$Y130)+IF($AS130,10,0)+IF($AT130,8,0)+IF($AU130,5,0)+IF($AV130,8,0)+IF($AW130,15,0)+IF($AX130,4,0)+IF($AY130,5,0)+IF($AZ130,10,0)+IF($BA130,8,0)+IF($BB130,4,0)+IF($BC130,6,0)+IF($BD130,3,0)+IF($BE130,2,0)+IF($BF130,2,0)+IF($BG130,2,0)+IF($BH130,2,0)+IF($BI130,1,0))</x:f>
      </x:c>
      <x:c r="BK130" s="15">
        <x:f>IF($C130="","",IF(NOT($AS130),1,0)+IF(NOT($AW130),1,0)+IF(NOT($AZ130),1,0)+IF(NOT($BA130),1,0)+IF(NOT($BB130),1,0)+IF(NOT($BC130),1,0))</x:f>
      </x:c>
      <x:c r="BL130" s="13">
        <x:f>IF($C130="","",IF($BK130&gt;0,"REJECT",IF(COUNTIF($AS130:$BI130,FALSE)=0,"ACCEPT",IF($BJ130&gt;=85,"ACCEPT WITH SORTING / DISCOUNT","REJECT"))))</x:f>
      </x:c>
    </x:row>
    <x:row r="131" ht="24" customHeight="1">
      <x:c r="A131" s="10" t="n"/>
      <x:c r="B131" s="11" t="n"/>
      <x:c r="C131" s="11" t="n"/>
      <x:c r="D131" s="11" t="n"/>
      <x:c r="E131" s="11" t="n"/>
      <x:c r="F131" s="11" t="n"/>
      <x:c r="G131" s="11" t="n"/>
      <x:c r="H131" s="11" t="n"/>
      <x:c r="I131" s="12" t="n"/>
      <x:c r="J131" s="12" t="n"/>
      <x:c r="K131" s="12" t="n"/>
      <x:c r="L131" s="12" t="n"/>
      <x:c r="M131" s="12" t="n"/>
      <x:c r="N131" s="12" t="n"/>
      <x:c r="O131" s="12" t="n"/>
      <x:c r="P131" s="11" t="n"/>
      <x:c r="Q131" s="11" t="n"/>
      <x:c r="R131" s="11" t="n"/>
      <x:c r="S131" s="11" t="n"/>
      <x:c r="T131" s="11" t="n"/>
      <x:c r="U131" s="12" t="n"/>
      <x:c r="V131" s="12" t="n"/>
      <x:c r="W131" s="12" t="n"/>
      <x:c r="X131" s="12" t="n"/>
      <x:c r="Y131" s="12" t="n"/>
      <x:c r="Z131" s="13">
        <x:f>IF($C131="","",VLOOKUP($C131,Config!$A$2:$Y$4,2,FALSE))</x:f>
      </x:c>
      <x:c r="AA131" s="13">
        <x:f>IF($C131="","",VLOOKUP($C131,Config!$A$2:$Y$4,5,FALSE))</x:f>
      </x:c>
      <x:c r="AB131" s="14">
        <x:f>IF($C131="","",VLOOKUP($C131,Config!$A$2:$Y$4,7,FALSE))</x:f>
      </x:c>
      <x:c r="AC131" s="14">
        <x:f>IF($C131="","",VLOOKUP($C131,Config!$A$2:$Y$4,8,FALSE))</x:f>
      </x:c>
      <x:c r="AD131" s="14">
        <x:f>IF($C131="","",VLOOKUP($C131,Config!$A$2:$Y$4,9,FALSE))</x:f>
      </x:c>
      <x:c r="AE131" s="14">
        <x:f>IF($C131="","",VLOOKUP($C131,Config!$A$2:$Y$4,10,FALSE))</x:f>
      </x:c>
      <x:c r="AF131" s="14">
        <x:f>IF($C131="","",VLOOKUP($C131,Config!$A$2:$Y$4,11,FALSE))</x:f>
      </x:c>
      <x:c r="AG131" s="14">
        <x:f>IF($C131="","",VLOOKUP($C131,Config!$A$2:$Y$4,12,FALSE))</x:f>
      </x:c>
      <x:c r="AH131" s="14">
        <x:f>IF($C131="","",VLOOKUP($C131,Config!$A$2:$Y$4,13,FALSE))</x:f>
      </x:c>
      <x:c r="AI131" s="14">
        <x:f>IF($C131="","",VLOOKUP($C131,Config!$A$2:$Y$4,14,FALSE))</x:f>
      </x:c>
      <x:c r="AJ131" s="14">
        <x:f>IF($C131="","",VLOOKUP($C131,Config!$A$2:$Y$4,15,FALSE))</x:f>
      </x:c>
      <x:c r="AK131" s="14">
        <x:f>IF($C131="","",VLOOKUP($C131,Config!$A$2:$Y$4,16,FALSE))</x:f>
      </x:c>
      <x:c r="AL131" s="14">
        <x:f>IF($C131="","",VLOOKUP($C131,Config!$A$2:$Y$4,17,FALSE))</x:f>
      </x:c>
      <x:c r="AM131" s="14">
        <x:f>IF($C131="","",VLOOKUP($C131,Config!$A$2:$Y$4,18,FALSE))</x:f>
      </x:c>
      <x:c r="AN131" s="14">
        <x:f>IF($C131="","",VLOOKUP($C131,Config!$A$2:$Y$4,19,FALSE))</x:f>
      </x:c>
      <x:c r="AO131" s="14">
        <x:f>IF($C131="","",VLOOKUP($C131,Config!$A$2:$Y$4,20,FALSE))</x:f>
      </x:c>
      <x:c r="AP131" s="14">
        <x:f>IF($C131="","",VLOOKUP($C131,Config!$A$2:$Y$4,21,FALSE))</x:f>
      </x:c>
      <x:c r="AQ131" s="14">
        <x:f>IF($C131="","",VLOOKUP($C131,Config!$A$2:$Y$4,22,FALSE))</x:f>
      </x:c>
      <x:c r="AR131" s="14">
        <x:f>IF($C131="","",VLOOKUP($C131,Config!$A$2:$Y$4,23,FALSE))</x:f>
      </x:c>
      <x:c r="AS131" s="13">
        <x:f>IF($C131="","",IF($H131="Extra",3,IF($H131="I",2,IF($H131="II",1,0)))&gt;=IF($AA131="Extra",3,IF($AA131="I",2,IF($AA131="II",1,0))))</x:f>
      </x:c>
      <x:c r="AT131" s="13">
        <x:f>IF($C131="","",IF($I131="",FALSE,$I131&gt;=$AB131))</x:f>
      </x:c>
      <x:c r="AU131" s="13">
        <x:f>IF($C131="","",IF($AC131="",TRUE,IF($J131="",FALSE,$J131&lt;=$AC131)))</x:f>
      </x:c>
      <x:c r="AV131" s="13">
        <x:f>IF($C131="","",IF($AD131="",TRUE,IF($K131="",FALSE,$K131&lt;=$AD131)))</x:f>
      </x:c>
      <x:c r="AW131" s="13">
        <x:f>IF($C131="","",IF($AE131="",TRUE,IF($L131="",FALSE,$L131&lt;=$AE131)))</x:f>
      </x:c>
      <x:c r="AX131" s="13">
        <x:f>IF($C131="","",IF($AF131="",TRUE,IF($M131="",FALSE,$M131&lt;=$AF131)))</x:f>
      </x:c>
      <x:c r="AY131" s="13">
        <x:f>IF($C131="","",IF($AG131="",TRUE,IF($N131="",FALSE,$N131&gt;=$AG131)))</x:f>
      </x:c>
      <x:c r="AZ131" s="13">
        <x:f>IF($C131="","",IF(OR($AH131="",$AI131=""),TRUE,IF($O131="",FALSE,AND($O131&gt;=$AH131,$O131&lt;=$AI131))))</x:f>
      </x:c>
      <x:c r="BA131" s="13">
        <x:f>IF($C131="","",IF($AJ131="Y",$P131="Y",TRUE))</x:f>
      </x:c>
      <x:c r="BB131" s="13">
        <x:f>IF($C131="","",IF($AK131="Y",$Q131="Y",TRUE))</x:f>
      </x:c>
      <x:c r="BC131" s="13">
        <x:f>IF($C131="","",IF($AL131="Y",$R131="Y",TRUE))</x:f>
      </x:c>
      <x:c r="BD131" s="13">
        <x:f>IF($C131="","",IF($AM131="Y",$S131="Y",TRUE))</x:f>
      </x:c>
      <x:c r="BE131" s="13">
        <x:f>IF($C131="","",IF($AN131="Y",$T131="Y",TRUE))</x:f>
      </x:c>
      <x:c r="BF131" s="13">
        <x:f>IF($C131="","",IF($AO131="",TRUE,IF($U131="",FALSE,$U131&lt;=$AO131)))</x:f>
      </x:c>
      <x:c r="BG131" s="13">
        <x:f>IF($C131="","",IF($AP131="",TRUE,IF($V131="",FALSE,$V131&lt;=$AP131)))</x:f>
      </x:c>
      <x:c r="BH131" s="13">
        <x:f>IF($C131="","",IF($AQ131="",TRUE,IF($W131="",FALSE,$W131&lt;=$AQ131)))</x:f>
      </x:c>
      <x:c r="BI131" s="13">
        <x:f>IF($C131="","",IF($AR131="",TRUE,IF($X131="",FALSE,$X131&lt;=$AR131)))</x:f>
      </x:c>
      <x:c r="BJ131" s="15">
        <x:f>IF($C131="","",IF($Y131="",0,$Y131)+IF($AS131,10,0)+IF($AT131,8,0)+IF($AU131,5,0)+IF($AV131,8,0)+IF($AW131,15,0)+IF($AX131,4,0)+IF($AY131,5,0)+IF($AZ131,10,0)+IF($BA131,8,0)+IF($BB131,4,0)+IF($BC131,6,0)+IF($BD131,3,0)+IF($BE131,2,0)+IF($BF131,2,0)+IF($BG131,2,0)+IF($BH131,2,0)+IF($BI131,1,0))</x:f>
      </x:c>
      <x:c r="BK131" s="15">
        <x:f>IF($C131="","",IF(NOT($AS131),1,0)+IF(NOT($AW131),1,0)+IF(NOT($AZ131),1,0)+IF(NOT($BA131),1,0)+IF(NOT($BB131),1,0)+IF(NOT($BC131),1,0))</x:f>
      </x:c>
      <x:c r="BL131" s="13">
        <x:f>IF($C131="","",IF($BK131&gt;0,"REJECT",IF(COUNTIF($AS131:$BI131,FALSE)=0,"ACCEPT",IF($BJ131&gt;=85,"ACCEPT WITH SORTING / DISCOUNT","REJECT"))))</x:f>
      </x:c>
    </x:row>
    <x:row r="132" ht="24" customHeight="1">
      <x:c r="A132" s="10" t="n"/>
      <x:c r="B132" s="11" t="n"/>
      <x:c r="C132" s="11" t="n"/>
      <x:c r="D132" s="11" t="n"/>
      <x:c r="E132" s="11" t="n"/>
      <x:c r="F132" s="11" t="n"/>
      <x:c r="G132" s="11" t="n"/>
      <x:c r="H132" s="11" t="n"/>
      <x:c r="I132" s="12" t="n"/>
      <x:c r="J132" s="12" t="n"/>
      <x:c r="K132" s="12" t="n"/>
      <x:c r="L132" s="12" t="n"/>
      <x:c r="M132" s="12" t="n"/>
      <x:c r="N132" s="12" t="n"/>
      <x:c r="O132" s="12" t="n"/>
      <x:c r="P132" s="11" t="n"/>
      <x:c r="Q132" s="11" t="n"/>
      <x:c r="R132" s="11" t="n"/>
      <x:c r="S132" s="11" t="n"/>
      <x:c r="T132" s="11" t="n"/>
      <x:c r="U132" s="12" t="n"/>
      <x:c r="V132" s="12" t="n"/>
      <x:c r="W132" s="12" t="n"/>
      <x:c r="X132" s="12" t="n"/>
      <x:c r="Y132" s="12" t="n"/>
      <x:c r="Z132" s="13">
        <x:f>IF($C132="","",VLOOKUP($C132,Config!$A$2:$Y$4,2,FALSE))</x:f>
      </x:c>
      <x:c r="AA132" s="13">
        <x:f>IF($C132="","",VLOOKUP($C132,Config!$A$2:$Y$4,5,FALSE))</x:f>
      </x:c>
      <x:c r="AB132" s="14">
        <x:f>IF($C132="","",VLOOKUP($C132,Config!$A$2:$Y$4,7,FALSE))</x:f>
      </x:c>
      <x:c r="AC132" s="14">
        <x:f>IF($C132="","",VLOOKUP($C132,Config!$A$2:$Y$4,8,FALSE))</x:f>
      </x:c>
      <x:c r="AD132" s="14">
        <x:f>IF($C132="","",VLOOKUP($C132,Config!$A$2:$Y$4,9,FALSE))</x:f>
      </x:c>
      <x:c r="AE132" s="14">
        <x:f>IF($C132="","",VLOOKUP($C132,Config!$A$2:$Y$4,10,FALSE))</x:f>
      </x:c>
      <x:c r="AF132" s="14">
        <x:f>IF($C132="","",VLOOKUP($C132,Config!$A$2:$Y$4,11,FALSE))</x:f>
      </x:c>
      <x:c r="AG132" s="14">
        <x:f>IF($C132="","",VLOOKUP($C132,Config!$A$2:$Y$4,12,FALSE))</x:f>
      </x:c>
      <x:c r="AH132" s="14">
        <x:f>IF($C132="","",VLOOKUP($C132,Config!$A$2:$Y$4,13,FALSE))</x:f>
      </x:c>
      <x:c r="AI132" s="14">
        <x:f>IF($C132="","",VLOOKUP($C132,Config!$A$2:$Y$4,14,FALSE))</x:f>
      </x:c>
      <x:c r="AJ132" s="14">
        <x:f>IF($C132="","",VLOOKUP($C132,Config!$A$2:$Y$4,15,FALSE))</x:f>
      </x:c>
      <x:c r="AK132" s="14">
        <x:f>IF($C132="","",VLOOKUP($C132,Config!$A$2:$Y$4,16,FALSE))</x:f>
      </x:c>
      <x:c r="AL132" s="14">
        <x:f>IF($C132="","",VLOOKUP($C132,Config!$A$2:$Y$4,17,FALSE))</x:f>
      </x:c>
      <x:c r="AM132" s="14">
        <x:f>IF($C132="","",VLOOKUP($C132,Config!$A$2:$Y$4,18,FALSE))</x:f>
      </x:c>
      <x:c r="AN132" s="14">
        <x:f>IF($C132="","",VLOOKUP($C132,Config!$A$2:$Y$4,19,FALSE))</x:f>
      </x:c>
      <x:c r="AO132" s="14">
        <x:f>IF($C132="","",VLOOKUP($C132,Config!$A$2:$Y$4,20,FALSE))</x:f>
      </x:c>
      <x:c r="AP132" s="14">
        <x:f>IF($C132="","",VLOOKUP($C132,Config!$A$2:$Y$4,21,FALSE))</x:f>
      </x:c>
      <x:c r="AQ132" s="14">
        <x:f>IF($C132="","",VLOOKUP($C132,Config!$A$2:$Y$4,22,FALSE))</x:f>
      </x:c>
      <x:c r="AR132" s="14">
        <x:f>IF($C132="","",VLOOKUP($C132,Config!$A$2:$Y$4,23,FALSE))</x:f>
      </x:c>
      <x:c r="AS132" s="13">
        <x:f>IF($C132="","",IF($H132="Extra",3,IF($H132="I",2,IF($H132="II",1,0)))&gt;=IF($AA132="Extra",3,IF($AA132="I",2,IF($AA132="II",1,0))))</x:f>
      </x:c>
      <x:c r="AT132" s="13">
        <x:f>IF($C132="","",IF($I132="",FALSE,$I132&gt;=$AB132))</x:f>
      </x:c>
      <x:c r="AU132" s="13">
        <x:f>IF($C132="","",IF($AC132="",TRUE,IF($J132="",FALSE,$J132&lt;=$AC132)))</x:f>
      </x:c>
      <x:c r="AV132" s="13">
        <x:f>IF($C132="","",IF($AD132="",TRUE,IF($K132="",FALSE,$K132&lt;=$AD132)))</x:f>
      </x:c>
      <x:c r="AW132" s="13">
        <x:f>IF($C132="","",IF($AE132="",TRUE,IF($L132="",FALSE,$L132&lt;=$AE132)))</x:f>
      </x:c>
      <x:c r="AX132" s="13">
        <x:f>IF($C132="","",IF($AF132="",TRUE,IF($M132="",FALSE,$M132&lt;=$AF132)))</x:f>
      </x:c>
      <x:c r="AY132" s="13">
        <x:f>IF($C132="","",IF($AG132="",TRUE,IF($N132="",FALSE,$N132&gt;=$AG132)))</x:f>
      </x:c>
      <x:c r="AZ132" s="13">
        <x:f>IF($C132="","",IF(OR($AH132="",$AI132=""),TRUE,IF($O132="",FALSE,AND($O132&gt;=$AH132,$O132&lt;=$AI132))))</x:f>
      </x:c>
      <x:c r="BA132" s="13">
        <x:f>IF($C132="","",IF($AJ132="Y",$P132="Y",TRUE))</x:f>
      </x:c>
      <x:c r="BB132" s="13">
        <x:f>IF($C132="","",IF($AK132="Y",$Q132="Y",TRUE))</x:f>
      </x:c>
      <x:c r="BC132" s="13">
        <x:f>IF($C132="","",IF($AL132="Y",$R132="Y",TRUE))</x:f>
      </x:c>
      <x:c r="BD132" s="13">
        <x:f>IF($C132="","",IF($AM132="Y",$S132="Y",TRUE))</x:f>
      </x:c>
      <x:c r="BE132" s="13">
        <x:f>IF($C132="","",IF($AN132="Y",$T132="Y",TRUE))</x:f>
      </x:c>
      <x:c r="BF132" s="13">
        <x:f>IF($C132="","",IF($AO132="",TRUE,IF($U132="",FALSE,$U132&lt;=$AO132)))</x:f>
      </x:c>
      <x:c r="BG132" s="13">
        <x:f>IF($C132="","",IF($AP132="",TRUE,IF($V132="",FALSE,$V132&lt;=$AP132)))</x:f>
      </x:c>
      <x:c r="BH132" s="13">
        <x:f>IF($C132="","",IF($AQ132="",TRUE,IF($W132="",FALSE,$W132&lt;=$AQ132)))</x:f>
      </x:c>
      <x:c r="BI132" s="13">
        <x:f>IF($C132="","",IF($AR132="",TRUE,IF($X132="",FALSE,$X132&lt;=$AR132)))</x:f>
      </x:c>
      <x:c r="BJ132" s="15">
        <x:f>IF($C132="","",IF($Y132="",0,$Y132)+IF($AS132,10,0)+IF($AT132,8,0)+IF($AU132,5,0)+IF($AV132,8,0)+IF($AW132,15,0)+IF($AX132,4,0)+IF($AY132,5,0)+IF($AZ132,10,0)+IF($BA132,8,0)+IF($BB132,4,0)+IF($BC132,6,0)+IF($BD132,3,0)+IF($BE132,2,0)+IF($BF132,2,0)+IF($BG132,2,0)+IF($BH132,2,0)+IF($BI132,1,0))</x:f>
      </x:c>
      <x:c r="BK132" s="15">
        <x:f>IF($C132="","",IF(NOT($AS132),1,0)+IF(NOT($AW132),1,0)+IF(NOT($AZ132),1,0)+IF(NOT($BA132),1,0)+IF(NOT($BB132),1,0)+IF(NOT($BC132),1,0))</x:f>
      </x:c>
      <x:c r="BL132" s="13">
        <x:f>IF($C132="","",IF($BK132&gt;0,"REJECT",IF(COUNTIF($AS132:$BI132,FALSE)=0,"ACCEPT",IF($BJ132&gt;=85,"ACCEPT WITH SORTING / DISCOUNT","REJECT"))))</x:f>
      </x:c>
    </x:row>
    <x:row r="133" ht="24" customHeight="1">
      <x:c r="A133" s="10" t="n"/>
      <x:c r="B133" s="11" t="n"/>
      <x:c r="C133" s="11" t="n"/>
      <x:c r="D133" s="11" t="n"/>
      <x:c r="E133" s="11" t="n"/>
      <x:c r="F133" s="11" t="n"/>
      <x:c r="G133" s="11" t="n"/>
      <x:c r="H133" s="11" t="n"/>
      <x:c r="I133" s="12" t="n"/>
      <x:c r="J133" s="12" t="n"/>
      <x:c r="K133" s="12" t="n"/>
      <x:c r="L133" s="12" t="n"/>
      <x:c r="M133" s="12" t="n"/>
      <x:c r="N133" s="12" t="n"/>
      <x:c r="O133" s="12" t="n"/>
      <x:c r="P133" s="11" t="n"/>
      <x:c r="Q133" s="11" t="n"/>
      <x:c r="R133" s="11" t="n"/>
      <x:c r="S133" s="11" t="n"/>
      <x:c r="T133" s="11" t="n"/>
      <x:c r="U133" s="12" t="n"/>
      <x:c r="V133" s="12" t="n"/>
      <x:c r="W133" s="12" t="n"/>
      <x:c r="X133" s="12" t="n"/>
      <x:c r="Y133" s="12" t="n"/>
      <x:c r="Z133" s="13">
        <x:f>IF($C133="","",VLOOKUP($C133,Config!$A$2:$Y$4,2,FALSE))</x:f>
      </x:c>
      <x:c r="AA133" s="13">
        <x:f>IF($C133="","",VLOOKUP($C133,Config!$A$2:$Y$4,5,FALSE))</x:f>
      </x:c>
      <x:c r="AB133" s="14">
        <x:f>IF($C133="","",VLOOKUP($C133,Config!$A$2:$Y$4,7,FALSE))</x:f>
      </x:c>
      <x:c r="AC133" s="14">
        <x:f>IF($C133="","",VLOOKUP($C133,Config!$A$2:$Y$4,8,FALSE))</x:f>
      </x:c>
      <x:c r="AD133" s="14">
        <x:f>IF($C133="","",VLOOKUP($C133,Config!$A$2:$Y$4,9,FALSE))</x:f>
      </x:c>
      <x:c r="AE133" s="14">
        <x:f>IF($C133="","",VLOOKUP($C133,Config!$A$2:$Y$4,10,FALSE))</x:f>
      </x:c>
      <x:c r="AF133" s="14">
        <x:f>IF($C133="","",VLOOKUP($C133,Config!$A$2:$Y$4,11,FALSE))</x:f>
      </x:c>
      <x:c r="AG133" s="14">
        <x:f>IF($C133="","",VLOOKUP($C133,Config!$A$2:$Y$4,12,FALSE))</x:f>
      </x:c>
      <x:c r="AH133" s="14">
        <x:f>IF($C133="","",VLOOKUP($C133,Config!$A$2:$Y$4,13,FALSE))</x:f>
      </x:c>
      <x:c r="AI133" s="14">
        <x:f>IF($C133="","",VLOOKUP($C133,Config!$A$2:$Y$4,14,FALSE))</x:f>
      </x:c>
      <x:c r="AJ133" s="14">
        <x:f>IF($C133="","",VLOOKUP($C133,Config!$A$2:$Y$4,15,FALSE))</x:f>
      </x:c>
      <x:c r="AK133" s="14">
        <x:f>IF($C133="","",VLOOKUP($C133,Config!$A$2:$Y$4,16,FALSE))</x:f>
      </x:c>
      <x:c r="AL133" s="14">
        <x:f>IF($C133="","",VLOOKUP($C133,Config!$A$2:$Y$4,17,FALSE))</x:f>
      </x:c>
      <x:c r="AM133" s="14">
        <x:f>IF($C133="","",VLOOKUP($C133,Config!$A$2:$Y$4,18,FALSE))</x:f>
      </x:c>
      <x:c r="AN133" s="14">
        <x:f>IF($C133="","",VLOOKUP($C133,Config!$A$2:$Y$4,19,FALSE))</x:f>
      </x:c>
      <x:c r="AO133" s="14">
        <x:f>IF($C133="","",VLOOKUP($C133,Config!$A$2:$Y$4,20,FALSE))</x:f>
      </x:c>
      <x:c r="AP133" s="14">
        <x:f>IF($C133="","",VLOOKUP($C133,Config!$A$2:$Y$4,21,FALSE))</x:f>
      </x:c>
      <x:c r="AQ133" s="14">
        <x:f>IF($C133="","",VLOOKUP($C133,Config!$A$2:$Y$4,22,FALSE))</x:f>
      </x:c>
      <x:c r="AR133" s="14">
        <x:f>IF($C133="","",VLOOKUP($C133,Config!$A$2:$Y$4,23,FALSE))</x:f>
      </x:c>
      <x:c r="AS133" s="13">
        <x:f>IF($C133="","",IF($H133="Extra",3,IF($H133="I",2,IF($H133="II",1,0)))&gt;=IF($AA133="Extra",3,IF($AA133="I",2,IF($AA133="II",1,0))))</x:f>
      </x:c>
      <x:c r="AT133" s="13">
        <x:f>IF($C133="","",IF($I133="",FALSE,$I133&gt;=$AB133))</x:f>
      </x:c>
      <x:c r="AU133" s="13">
        <x:f>IF($C133="","",IF($AC133="",TRUE,IF($J133="",FALSE,$J133&lt;=$AC133)))</x:f>
      </x:c>
      <x:c r="AV133" s="13">
        <x:f>IF($C133="","",IF($AD133="",TRUE,IF($K133="",FALSE,$K133&lt;=$AD133)))</x:f>
      </x:c>
      <x:c r="AW133" s="13">
        <x:f>IF($C133="","",IF($AE133="",TRUE,IF($L133="",FALSE,$L133&lt;=$AE133)))</x:f>
      </x:c>
      <x:c r="AX133" s="13">
        <x:f>IF($C133="","",IF($AF133="",TRUE,IF($M133="",FALSE,$M133&lt;=$AF133)))</x:f>
      </x:c>
      <x:c r="AY133" s="13">
        <x:f>IF($C133="","",IF($AG133="",TRUE,IF($N133="",FALSE,$N133&gt;=$AG133)))</x:f>
      </x:c>
      <x:c r="AZ133" s="13">
        <x:f>IF($C133="","",IF(OR($AH133="",$AI133=""),TRUE,IF($O133="",FALSE,AND($O133&gt;=$AH133,$O133&lt;=$AI133))))</x:f>
      </x:c>
      <x:c r="BA133" s="13">
        <x:f>IF($C133="","",IF($AJ133="Y",$P133="Y",TRUE))</x:f>
      </x:c>
      <x:c r="BB133" s="13">
        <x:f>IF($C133="","",IF($AK133="Y",$Q133="Y",TRUE))</x:f>
      </x:c>
      <x:c r="BC133" s="13">
        <x:f>IF($C133="","",IF($AL133="Y",$R133="Y",TRUE))</x:f>
      </x:c>
      <x:c r="BD133" s="13">
        <x:f>IF($C133="","",IF($AM133="Y",$S133="Y",TRUE))</x:f>
      </x:c>
      <x:c r="BE133" s="13">
        <x:f>IF($C133="","",IF($AN133="Y",$T133="Y",TRUE))</x:f>
      </x:c>
      <x:c r="BF133" s="13">
        <x:f>IF($C133="","",IF($AO133="",TRUE,IF($U133="",FALSE,$U133&lt;=$AO133)))</x:f>
      </x:c>
      <x:c r="BG133" s="13">
        <x:f>IF($C133="","",IF($AP133="",TRUE,IF($V133="",FALSE,$V133&lt;=$AP133)))</x:f>
      </x:c>
      <x:c r="BH133" s="13">
        <x:f>IF($C133="","",IF($AQ133="",TRUE,IF($W133="",FALSE,$W133&lt;=$AQ133)))</x:f>
      </x:c>
      <x:c r="BI133" s="13">
        <x:f>IF($C133="","",IF($AR133="",TRUE,IF($X133="",FALSE,$X133&lt;=$AR133)))</x:f>
      </x:c>
      <x:c r="BJ133" s="15">
        <x:f>IF($C133="","",IF($Y133="",0,$Y133)+IF($AS133,10,0)+IF($AT133,8,0)+IF($AU133,5,0)+IF($AV133,8,0)+IF($AW133,15,0)+IF($AX133,4,0)+IF($AY133,5,0)+IF($AZ133,10,0)+IF($BA133,8,0)+IF($BB133,4,0)+IF($BC133,6,0)+IF($BD133,3,0)+IF($BE133,2,0)+IF($BF133,2,0)+IF($BG133,2,0)+IF($BH133,2,0)+IF($BI133,1,0))</x:f>
      </x:c>
      <x:c r="BK133" s="15">
        <x:f>IF($C133="","",IF(NOT($AS133),1,0)+IF(NOT($AW133),1,0)+IF(NOT($AZ133),1,0)+IF(NOT($BA133),1,0)+IF(NOT($BB133),1,0)+IF(NOT($BC133),1,0))</x:f>
      </x:c>
      <x:c r="BL133" s="13">
        <x:f>IF($C133="","",IF($BK133&gt;0,"REJECT",IF(COUNTIF($AS133:$BI133,FALSE)=0,"ACCEPT",IF($BJ133&gt;=85,"ACCEPT WITH SORTING / DISCOUNT","REJECT"))))</x:f>
      </x:c>
    </x:row>
    <x:row r="134" ht="24" customHeight="1">
      <x:c r="A134" s="10" t="n"/>
      <x:c r="B134" s="11" t="n"/>
      <x:c r="C134" s="11" t="n"/>
      <x:c r="D134" s="11" t="n"/>
      <x:c r="E134" s="11" t="n"/>
      <x:c r="F134" s="11" t="n"/>
      <x:c r="G134" s="11" t="n"/>
      <x:c r="H134" s="11" t="n"/>
      <x:c r="I134" s="12" t="n"/>
      <x:c r="J134" s="12" t="n"/>
      <x:c r="K134" s="12" t="n"/>
      <x:c r="L134" s="12" t="n"/>
      <x:c r="M134" s="12" t="n"/>
      <x:c r="N134" s="12" t="n"/>
      <x:c r="O134" s="12" t="n"/>
      <x:c r="P134" s="11" t="n"/>
      <x:c r="Q134" s="11" t="n"/>
      <x:c r="R134" s="11" t="n"/>
      <x:c r="S134" s="11" t="n"/>
      <x:c r="T134" s="11" t="n"/>
      <x:c r="U134" s="12" t="n"/>
      <x:c r="V134" s="12" t="n"/>
      <x:c r="W134" s="12" t="n"/>
      <x:c r="X134" s="12" t="n"/>
      <x:c r="Y134" s="12" t="n"/>
      <x:c r="Z134" s="13">
        <x:f>IF($C134="","",VLOOKUP($C134,Config!$A$2:$Y$4,2,FALSE))</x:f>
      </x:c>
      <x:c r="AA134" s="13">
        <x:f>IF($C134="","",VLOOKUP($C134,Config!$A$2:$Y$4,5,FALSE))</x:f>
      </x:c>
      <x:c r="AB134" s="14">
        <x:f>IF($C134="","",VLOOKUP($C134,Config!$A$2:$Y$4,7,FALSE))</x:f>
      </x:c>
      <x:c r="AC134" s="14">
        <x:f>IF($C134="","",VLOOKUP($C134,Config!$A$2:$Y$4,8,FALSE))</x:f>
      </x:c>
      <x:c r="AD134" s="14">
        <x:f>IF($C134="","",VLOOKUP($C134,Config!$A$2:$Y$4,9,FALSE))</x:f>
      </x:c>
      <x:c r="AE134" s="14">
        <x:f>IF($C134="","",VLOOKUP($C134,Config!$A$2:$Y$4,10,FALSE))</x:f>
      </x:c>
      <x:c r="AF134" s="14">
        <x:f>IF($C134="","",VLOOKUP($C134,Config!$A$2:$Y$4,11,FALSE))</x:f>
      </x:c>
      <x:c r="AG134" s="14">
        <x:f>IF($C134="","",VLOOKUP($C134,Config!$A$2:$Y$4,12,FALSE))</x:f>
      </x:c>
      <x:c r="AH134" s="14">
        <x:f>IF($C134="","",VLOOKUP($C134,Config!$A$2:$Y$4,13,FALSE))</x:f>
      </x:c>
      <x:c r="AI134" s="14">
        <x:f>IF($C134="","",VLOOKUP($C134,Config!$A$2:$Y$4,14,FALSE))</x:f>
      </x:c>
      <x:c r="AJ134" s="14">
        <x:f>IF($C134="","",VLOOKUP($C134,Config!$A$2:$Y$4,15,FALSE))</x:f>
      </x:c>
      <x:c r="AK134" s="14">
        <x:f>IF($C134="","",VLOOKUP($C134,Config!$A$2:$Y$4,16,FALSE))</x:f>
      </x:c>
      <x:c r="AL134" s="14">
        <x:f>IF($C134="","",VLOOKUP($C134,Config!$A$2:$Y$4,17,FALSE))</x:f>
      </x:c>
      <x:c r="AM134" s="14">
        <x:f>IF($C134="","",VLOOKUP($C134,Config!$A$2:$Y$4,18,FALSE))</x:f>
      </x:c>
      <x:c r="AN134" s="14">
        <x:f>IF($C134="","",VLOOKUP($C134,Config!$A$2:$Y$4,19,FALSE))</x:f>
      </x:c>
      <x:c r="AO134" s="14">
        <x:f>IF($C134="","",VLOOKUP($C134,Config!$A$2:$Y$4,20,FALSE))</x:f>
      </x:c>
      <x:c r="AP134" s="14">
        <x:f>IF($C134="","",VLOOKUP($C134,Config!$A$2:$Y$4,21,FALSE))</x:f>
      </x:c>
      <x:c r="AQ134" s="14">
        <x:f>IF($C134="","",VLOOKUP($C134,Config!$A$2:$Y$4,22,FALSE))</x:f>
      </x:c>
      <x:c r="AR134" s="14">
        <x:f>IF($C134="","",VLOOKUP($C134,Config!$A$2:$Y$4,23,FALSE))</x:f>
      </x:c>
      <x:c r="AS134" s="13">
        <x:f>IF($C134="","",IF($H134="Extra",3,IF($H134="I",2,IF($H134="II",1,0)))&gt;=IF($AA134="Extra",3,IF($AA134="I",2,IF($AA134="II",1,0))))</x:f>
      </x:c>
      <x:c r="AT134" s="13">
        <x:f>IF($C134="","",IF($I134="",FALSE,$I134&gt;=$AB134))</x:f>
      </x:c>
      <x:c r="AU134" s="13">
        <x:f>IF($C134="","",IF($AC134="",TRUE,IF($J134="",FALSE,$J134&lt;=$AC134)))</x:f>
      </x:c>
      <x:c r="AV134" s="13">
        <x:f>IF($C134="","",IF($AD134="",TRUE,IF($K134="",FALSE,$K134&lt;=$AD134)))</x:f>
      </x:c>
      <x:c r="AW134" s="13">
        <x:f>IF($C134="","",IF($AE134="",TRUE,IF($L134="",FALSE,$L134&lt;=$AE134)))</x:f>
      </x:c>
      <x:c r="AX134" s="13">
        <x:f>IF($C134="","",IF($AF134="",TRUE,IF($M134="",FALSE,$M134&lt;=$AF134)))</x:f>
      </x:c>
      <x:c r="AY134" s="13">
        <x:f>IF($C134="","",IF($AG134="",TRUE,IF($N134="",FALSE,$N134&gt;=$AG134)))</x:f>
      </x:c>
      <x:c r="AZ134" s="13">
        <x:f>IF($C134="","",IF(OR($AH134="",$AI134=""),TRUE,IF($O134="",FALSE,AND($O134&gt;=$AH134,$O134&lt;=$AI134))))</x:f>
      </x:c>
      <x:c r="BA134" s="13">
        <x:f>IF($C134="","",IF($AJ134="Y",$P134="Y",TRUE))</x:f>
      </x:c>
      <x:c r="BB134" s="13">
        <x:f>IF($C134="","",IF($AK134="Y",$Q134="Y",TRUE))</x:f>
      </x:c>
      <x:c r="BC134" s="13">
        <x:f>IF($C134="","",IF($AL134="Y",$R134="Y",TRUE))</x:f>
      </x:c>
      <x:c r="BD134" s="13">
        <x:f>IF($C134="","",IF($AM134="Y",$S134="Y",TRUE))</x:f>
      </x:c>
      <x:c r="BE134" s="13">
        <x:f>IF($C134="","",IF($AN134="Y",$T134="Y",TRUE))</x:f>
      </x:c>
      <x:c r="BF134" s="13">
        <x:f>IF($C134="","",IF($AO134="",TRUE,IF($U134="",FALSE,$U134&lt;=$AO134)))</x:f>
      </x:c>
      <x:c r="BG134" s="13">
        <x:f>IF($C134="","",IF($AP134="",TRUE,IF($V134="",FALSE,$V134&lt;=$AP134)))</x:f>
      </x:c>
      <x:c r="BH134" s="13">
        <x:f>IF($C134="","",IF($AQ134="",TRUE,IF($W134="",FALSE,$W134&lt;=$AQ134)))</x:f>
      </x:c>
      <x:c r="BI134" s="13">
        <x:f>IF($C134="","",IF($AR134="",TRUE,IF($X134="",FALSE,$X134&lt;=$AR134)))</x:f>
      </x:c>
      <x:c r="BJ134" s="15">
        <x:f>IF($C134="","",IF($Y134="",0,$Y134)+IF($AS134,10,0)+IF($AT134,8,0)+IF($AU134,5,0)+IF($AV134,8,0)+IF($AW134,15,0)+IF($AX134,4,0)+IF($AY134,5,0)+IF($AZ134,10,0)+IF($BA134,8,0)+IF($BB134,4,0)+IF($BC134,6,0)+IF($BD134,3,0)+IF($BE134,2,0)+IF($BF134,2,0)+IF($BG134,2,0)+IF($BH134,2,0)+IF($BI134,1,0))</x:f>
      </x:c>
      <x:c r="BK134" s="15">
        <x:f>IF($C134="","",IF(NOT($AS134),1,0)+IF(NOT($AW134),1,0)+IF(NOT($AZ134),1,0)+IF(NOT($BA134),1,0)+IF(NOT($BB134),1,0)+IF(NOT($BC134),1,0))</x:f>
      </x:c>
      <x:c r="BL134" s="13">
        <x:f>IF($C134="","",IF($BK134&gt;0,"REJECT",IF(COUNTIF($AS134:$BI134,FALSE)=0,"ACCEPT",IF($BJ134&gt;=85,"ACCEPT WITH SORTING / DISCOUNT","REJECT"))))</x:f>
      </x:c>
    </x:row>
    <x:row r="135" ht="24" customHeight="1">
      <x:c r="A135" s="10" t="n"/>
      <x:c r="B135" s="11" t="n"/>
      <x:c r="C135" s="11" t="n"/>
      <x:c r="D135" s="11" t="n"/>
      <x:c r="E135" s="11" t="n"/>
      <x:c r="F135" s="11" t="n"/>
      <x:c r="G135" s="11" t="n"/>
      <x:c r="H135" s="11" t="n"/>
      <x:c r="I135" s="12" t="n"/>
      <x:c r="J135" s="12" t="n"/>
      <x:c r="K135" s="12" t="n"/>
      <x:c r="L135" s="12" t="n"/>
      <x:c r="M135" s="12" t="n"/>
      <x:c r="N135" s="12" t="n"/>
      <x:c r="O135" s="12" t="n"/>
      <x:c r="P135" s="11" t="n"/>
      <x:c r="Q135" s="11" t="n"/>
      <x:c r="R135" s="11" t="n"/>
      <x:c r="S135" s="11" t="n"/>
      <x:c r="T135" s="11" t="n"/>
      <x:c r="U135" s="12" t="n"/>
      <x:c r="V135" s="12" t="n"/>
      <x:c r="W135" s="12" t="n"/>
      <x:c r="X135" s="12" t="n"/>
      <x:c r="Y135" s="12" t="n"/>
      <x:c r="Z135" s="13">
        <x:f>IF($C135="","",VLOOKUP($C135,Config!$A$2:$Y$4,2,FALSE))</x:f>
      </x:c>
      <x:c r="AA135" s="13">
        <x:f>IF($C135="","",VLOOKUP($C135,Config!$A$2:$Y$4,5,FALSE))</x:f>
      </x:c>
      <x:c r="AB135" s="14">
        <x:f>IF($C135="","",VLOOKUP($C135,Config!$A$2:$Y$4,7,FALSE))</x:f>
      </x:c>
      <x:c r="AC135" s="14">
        <x:f>IF($C135="","",VLOOKUP($C135,Config!$A$2:$Y$4,8,FALSE))</x:f>
      </x:c>
      <x:c r="AD135" s="14">
        <x:f>IF($C135="","",VLOOKUP($C135,Config!$A$2:$Y$4,9,FALSE))</x:f>
      </x:c>
      <x:c r="AE135" s="14">
        <x:f>IF($C135="","",VLOOKUP($C135,Config!$A$2:$Y$4,10,FALSE))</x:f>
      </x:c>
      <x:c r="AF135" s="14">
        <x:f>IF($C135="","",VLOOKUP($C135,Config!$A$2:$Y$4,11,FALSE))</x:f>
      </x:c>
      <x:c r="AG135" s="14">
        <x:f>IF($C135="","",VLOOKUP($C135,Config!$A$2:$Y$4,12,FALSE))</x:f>
      </x:c>
      <x:c r="AH135" s="14">
        <x:f>IF($C135="","",VLOOKUP($C135,Config!$A$2:$Y$4,13,FALSE))</x:f>
      </x:c>
      <x:c r="AI135" s="14">
        <x:f>IF($C135="","",VLOOKUP($C135,Config!$A$2:$Y$4,14,FALSE))</x:f>
      </x:c>
      <x:c r="AJ135" s="14">
        <x:f>IF($C135="","",VLOOKUP($C135,Config!$A$2:$Y$4,15,FALSE))</x:f>
      </x:c>
      <x:c r="AK135" s="14">
        <x:f>IF($C135="","",VLOOKUP($C135,Config!$A$2:$Y$4,16,FALSE))</x:f>
      </x:c>
      <x:c r="AL135" s="14">
        <x:f>IF($C135="","",VLOOKUP($C135,Config!$A$2:$Y$4,17,FALSE))</x:f>
      </x:c>
      <x:c r="AM135" s="14">
        <x:f>IF($C135="","",VLOOKUP($C135,Config!$A$2:$Y$4,18,FALSE))</x:f>
      </x:c>
      <x:c r="AN135" s="14">
        <x:f>IF($C135="","",VLOOKUP($C135,Config!$A$2:$Y$4,19,FALSE))</x:f>
      </x:c>
      <x:c r="AO135" s="14">
        <x:f>IF($C135="","",VLOOKUP($C135,Config!$A$2:$Y$4,20,FALSE))</x:f>
      </x:c>
      <x:c r="AP135" s="14">
        <x:f>IF($C135="","",VLOOKUP($C135,Config!$A$2:$Y$4,21,FALSE))</x:f>
      </x:c>
      <x:c r="AQ135" s="14">
        <x:f>IF($C135="","",VLOOKUP($C135,Config!$A$2:$Y$4,22,FALSE))</x:f>
      </x:c>
      <x:c r="AR135" s="14">
        <x:f>IF($C135="","",VLOOKUP($C135,Config!$A$2:$Y$4,23,FALSE))</x:f>
      </x:c>
      <x:c r="AS135" s="13">
        <x:f>IF($C135="","",IF($H135="Extra",3,IF($H135="I",2,IF($H135="II",1,0)))&gt;=IF($AA135="Extra",3,IF($AA135="I",2,IF($AA135="II",1,0))))</x:f>
      </x:c>
      <x:c r="AT135" s="13">
        <x:f>IF($C135="","",IF($I135="",FALSE,$I135&gt;=$AB135))</x:f>
      </x:c>
      <x:c r="AU135" s="13">
        <x:f>IF($C135="","",IF($AC135="",TRUE,IF($J135="",FALSE,$J135&lt;=$AC135)))</x:f>
      </x:c>
      <x:c r="AV135" s="13">
        <x:f>IF($C135="","",IF($AD135="",TRUE,IF($K135="",FALSE,$K135&lt;=$AD135)))</x:f>
      </x:c>
      <x:c r="AW135" s="13">
        <x:f>IF($C135="","",IF($AE135="",TRUE,IF($L135="",FALSE,$L135&lt;=$AE135)))</x:f>
      </x:c>
      <x:c r="AX135" s="13">
        <x:f>IF($C135="","",IF($AF135="",TRUE,IF($M135="",FALSE,$M135&lt;=$AF135)))</x:f>
      </x:c>
      <x:c r="AY135" s="13">
        <x:f>IF($C135="","",IF($AG135="",TRUE,IF($N135="",FALSE,$N135&gt;=$AG135)))</x:f>
      </x:c>
      <x:c r="AZ135" s="13">
        <x:f>IF($C135="","",IF(OR($AH135="",$AI135=""),TRUE,IF($O135="",FALSE,AND($O135&gt;=$AH135,$O135&lt;=$AI135))))</x:f>
      </x:c>
      <x:c r="BA135" s="13">
        <x:f>IF($C135="","",IF($AJ135="Y",$P135="Y",TRUE))</x:f>
      </x:c>
      <x:c r="BB135" s="13">
        <x:f>IF($C135="","",IF($AK135="Y",$Q135="Y",TRUE))</x:f>
      </x:c>
      <x:c r="BC135" s="13">
        <x:f>IF($C135="","",IF($AL135="Y",$R135="Y",TRUE))</x:f>
      </x:c>
      <x:c r="BD135" s="13">
        <x:f>IF($C135="","",IF($AM135="Y",$S135="Y",TRUE))</x:f>
      </x:c>
      <x:c r="BE135" s="13">
        <x:f>IF($C135="","",IF($AN135="Y",$T135="Y",TRUE))</x:f>
      </x:c>
      <x:c r="BF135" s="13">
        <x:f>IF($C135="","",IF($AO135="",TRUE,IF($U135="",FALSE,$U135&lt;=$AO135)))</x:f>
      </x:c>
      <x:c r="BG135" s="13">
        <x:f>IF($C135="","",IF($AP135="",TRUE,IF($V135="",FALSE,$V135&lt;=$AP135)))</x:f>
      </x:c>
      <x:c r="BH135" s="13">
        <x:f>IF($C135="","",IF($AQ135="",TRUE,IF($W135="",FALSE,$W135&lt;=$AQ135)))</x:f>
      </x:c>
      <x:c r="BI135" s="13">
        <x:f>IF($C135="","",IF($AR135="",TRUE,IF($X135="",FALSE,$X135&lt;=$AR135)))</x:f>
      </x:c>
      <x:c r="BJ135" s="15">
        <x:f>IF($C135="","",IF($Y135="",0,$Y135)+IF($AS135,10,0)+IF($AT135,8,0)+IF($AU135,5,0)+IF($AV135,8,0)+IF($AW135,15,0)+IF($AX135,4,0)+IF($AY135,5,0)+IF($AZ135,10,0)+IF($BA135,8,0)+IF($BB135,4,0)+IF($BC135,6,0)+IF($BD135,3,0)+IF($BE135,2,0)+IF($BF135,2,0)+IF($BG135,2,0)+IF($BH135,2,0)+IF($BI135,1,0))</x:f>
      </x:c>
      <x:c r="BK135" s="15">
        <x:f>IF($C135="","",IF(NOT($AS135),1,0)+IF(NOT($AW135),1,0)+IF(NOT($AZ135),1,0)+IF(NOT($BA135),1,0)+IF(NOT($BB135),1,0)+IF(NOT($BC135),1,0))</x:f>
      </x:c>
      <x:c r="BL135" s="13">
        <x:f>IF($C135="","",IF($BK135&gt;0,"REJECT",IF(COUNTIF($AS135:$BI135,FALSE)=0,"ACCEPT",IF($BJ135&gt;=85,"ACCEPT WITH SORTING / DISCOUNT","REJECT"))))</x:f>
      </x:c>
    </x:row>
    <x:row r="136" ht="24" customHeight="1">
      <x:c r="A136" s="10" t="n"/>
      <x:c r="B136" s="11" t="n"/>
      <x:c r="C136" s="11" t="n"/>
      <x:c r="D136" s="11" t="n"/>
      <x:c r="E136" s="11" t="n"/>
      <x:c r="F136" s="11" t="n"/>
      <x:c r="G136" s="11" t="n"/>
      <x:c r="H136" s="11" t="n"/>
      <x:c r="I136" s="12" t="n"/>
      <x:c r="J136" s="12" t="n"/>
      <x:c r="K136" s="12" t="n"/>
      <x:c r="L136" s="12" t="n"/>
      <x:c r="M136" s="12" t="n"/>
      <x:c r="N136" s="12" t="n"/>
      <x:c r="O136" s="12" t="n"/>
      <x:c r="P136" s="11" t="n"/>
      <x:c r="Q136" s="11" t="n"/>
      <x:c r="R136" s="11" t="n"/>
      <x:c r="S136" s="11" t="n"/>
      <x:c r="T136" s="11" t="n"/>
      <x:c r="U136" s="12" t="n"/>
      <x:c r="V136" s="12" t="n"/>
      <x:c r="W136" s="12" t="n"/>
      <x:c r="X136" s="12" t="n"/>
      <x:c r="Y136" s="12" t="n"/>
      <x:c r="Z136" s="13">
        <x:f>IF($C136="","",VLOOKUP($C136,Config!$A$2:$Y$4,2,FALSE))</x:f>
      </x:c>
      <x:c r="AA136" s="13">
        <x:f>IF($C136="","",VLOOKUP($C136,Config!$A$2:$Y$4,5,FALSE))</x:f>
      </x:c>
      <x:c r="AB136" s="14">
        <x:f>IF($C136="","",VLOOKUP($C136,Config!$A$2:$Y$4,7,FALSE))</x:f>
      </x:c>
      <x:c r="AC136" s="14">
        <x:f>IF($C136="","",VLOOKUP($C136,Config!$A$2:$Y$4,8,FALSE))</x:f>
      </x:c>
      <x:c r="AD136" s="14">
        <x:f>IF($C136="","",VLOOKUP($C136,Config!$A$2:$Y$4,9,FALSE))</x:f>
      </x:c>
      <x:c r="AE136" s="14">
        <x:f>IF($C136="","",VLOOKUP($C136,Config!$A$2:$Y$4,10,FALSE))</x:f>
      </x:c>
      <x:c r="AF136" s="14">
        <x:f>IF($C136="","",VLOOKUP($C136,Config!$A$2:$Y$4,11,FALSE))</x:f>
      </x:c>
      <x:c r="AG136" s="14">
        <x:f>IF($C136="","",VLOOKUP($C136,Config!$A$2:$Y$4,12,FALSE))</x:f>
      </x:c>
      <x:c r="AH136" s="14">
        <x:f>IF($C136="","",VLOOKUP($C136,Config!$A$2:$Y$4,13,FALSE))</x:f>
      </x:c>
      <x:c r="AI136" s="14">
        <x:f>IF($C136="","",VLOOKUP($C136,Config!$A$2:$Y$4,14,FALSE))</x:f>
      </x:c>
      <x:c r="AJ136" s="14">
        <x:f>IF($C136="","",VLOOKUP($C136,Config!$A$2:$Y$4,15,FALSE))</x:f>
      </x:c>
      <x:c r="AK136" s="14">
        <x:f>IF($C136="","",VLOOKUP($C136,Config!$A$2:$Y$4,16,FALSE))</x:f>
      </x:c>
      <x:c r="AL136" s="14">
        <x:f>IF($C136="","",VLOOKUP($C136,Config!$A$2:$Y$4,17,FALSE))</x:f>
      </x:c>
      <x:c r="AM136" s="14">
        <x:f>IF($C136="","",VLOOKUP($C136,Config!$A$2:$Y$4,18,FALSE))</x:f>
      </x:c>
      <x:c r="AN136" s="14">
        <x:f>IF($C136="","",VLOOKUP($C136,Config!$A$2:$Y$4,19,FALSE))</x:f>
      </x:c>
      <x:c r="AO136" s="14">
        <x:f>IF($C136="","",VLOOKUP($C136,Config!$A$2:$Y$4,20,FALSE))</x:f>
      </x:c>
      <x:c r="AP136" s="14">
        <x:f>IF($C136="","",VLOOKUP($C136,Config!$A$2:$Y$4,21,FALSE))</x:f>
      </x:c>
      <x:c r="AQ136" s="14">
        <x:f>IF($C136="","",VLOOKUP($C136,Config!$A$2:$Y$4,22,FALSE))</x:f>
      </x:c>
      <x:c r="AR136" s="14">
        <x:f>IF($C136="","",VLOOKUP($C136,Config!$A$2:$Y$4,23,FALSE))</x:f>
      </x:c>
      <x:c r="AS136" s="13">
        <x:f>IF($C136="","",IF($H136="Extra",3,IF($H136="I",2,IF($H136="II",1,0)))&gt;=IF($AA136="Extra",3,IF($AA136="I",2,IF($AA136="II",1,0))))</x:f>
      </x:c>
      <x:c r="AT136" s="13">
        <x:f>IF($C136="","",IF($I136="",FALSE,$I136&gt;=$AB136))</x:f>
      </x:c>
      <x:c r="AU136" s="13">
        <x:f>IF($C136="","",IF($AC136="",TRUE,IF($J136="",FALSE,$J136&lt;=$AC136)))</x:f>
      </x:c>
      <x:c r="AV136" s="13">
        <x:f>IF($C136="","",IF($AD136="",TRUE,IF($K136="",FALSE,$K136&lt;=$AD136)))</x:f>
      </x:c>
      <x:c r="AW136" s="13">
        <x:f>IF($C136="","",IF($AE136="",TRUE,IF($L136="",FALSE,$L136&lt;=$AE136)))</x:f>
      </x:c>
      <x:c r="AX136" s="13">
        <x:f>IF($C136="","",IF($AF136="",TRUE,IF($M136="",FALSE,$M136&lt;=$AF136)))</x:f>
      </x:c>
      <x:c r="AY136" s="13">
        <x:f>IF($C136="","",IF($AG136="",TRUE,IF($N136="",FALSE,$N136&gt;=$AG136)))</x:f>
      </x:c>
      <x:c r="AZ136" s="13">
        <x:f>IF($C136="","",IF(OR($AH136="",$AI136=""),TRUE,IF($O136="",FALSE,AND($O136&gt;=$AH136,$O136&lt;=$AI136))))</x:f>
      </x:c>
      <x:c r="BA136" s="13">
        <x:f>IF($C136="","",IF($AJ136="Y",$P136="Y",TRUE))</x:f>
      </x:c>
      <x:c r="BB136" s="13">
        <x:f>IF($C136="","",IF($AK136="Y",$Q136="Y",TRUE))</x:f>
      </x:c>
      <x:c r="BC136" s="13">
        <x:f>IF($C136="","",IF($AL136="Y",$R136="Y",TRUE))</x:f>
      </x:c>
      <x:c r="BD136" s="13">
        <x:f>IF($C136="","",IF($AM136="Y",$S136="Y",TRUE))</x:f>
      </x:c>
      <x:c r="BE136" s="13">
        <x:f>IF($C136="","",IF($AN136="Y",$T136="Y",TRUE))</x:f>
      </x:c>
      <x:c r="BF136" s="13">
        <x:f>IF($C136="","",IF($AO136="",TRUE,IF($U136="",FALSE,$U136&lt;=$AO136)))</x:f>
      </x:c>
      <x:c r="BG136" s="13">
        <x:f>IF($C136="","",IF($AP136="",TRUE,IF($V136="",FALSE,$V136&lt;=$AP136)))</x:f>
      </x:c>
      <x:c r="BH136" s="13">
        <x:f>IF($C136="","",IF($AQ136="",TRUE,IF($W136="",FALSE,$W136&lt;=$AQ136)))</x:f>
      </x:c>
      <x:c r="BI136" s="13">
        <x:f>IF($C136="","",IF($AR136="",TRUE,IF($X136="",FALSE,$X136&lt;=$AR136)))</x:f>
      </x:c>
      <x:c r="BJ136" s="15">
        <x:f>IF($C136="","",IF($Y136="",0,$Y136)+IF($AS136,10,0)+IF($AT136,8,0)+IF($AU136,5,0)+IF($AV136,8,0)+IF($AW136,15,0)+IF($AX136,4,0)+IF($AY136,5,0)+IF($AZ136,10,0)+IF($BA136,8,0)+IF($BB136,4,0)+IF($BC136,6,0)+IF($BD136,3,0)+IF($BE136,2,0)+IF($BF136,2,0)+IF($BG136,2,0)+IF($BH136,2,0)+IF($BI136,1,0))</x:f>
      </x:c>
      <x:c r="BK136" s="15">
        <x:f>IF($C136="","",IF(NOT($AS136),1,0)+IF(NOT($AW136),1,0)+IF(NOT($AZ136),1,0)+IF(NOT($BA136),1,0)+IF(NOT($BB136),1,0)+IF(NOT($BC136),1,0))</x:f>
      </x:c>
      <x:c r="BL136" s="13">
        <x:f>IF($C136="","",IF($BK136&gt;0,"REJECT",IF(COUNTIF($AS136:$BI136,FALSE)=0,"ACCEPT",IF($BJ136&gt;=85,"ACCEPT WITH SORTING / DISCOUNT","REJECT"))))</x:f>
      </x:c>
    </x:row>
    <x:row r="137" ht="24" customHeight="1">
      <x:c r="A137" s="10" t="n"/>
      <x:c r="B137" s="11" t="n"/>
      <x:c r="C137" s="11" t="n"/>
      <x:c r="D137" s="11" t="n"/>
      <x:c r="E137" s="11" t="n"/>
      <x:c r="F137" s="11" t="n"/>
      <x:c r="G137" s="11" t="n"/>
      <x:c r="H137" s="11" t="n"/>
      <x:c r="I137" s="12" t="n"/>
      <x:c r="J137" s="12" t="n"/>
      <x:c r="K137" s="12" t="n"/>
      <x:c r="L137" s="12" t="n"/>
      <x:c r="M137" s="12" t="n"/>
      <x:c r="N137" s="12" t="n"/>
      <x:c r="O137" s="12" t="n"/>
      <x:c r="P137" s="11" t="n"/>
      <x:c r="Q137" s="11" t="n"/>
      <x:c r="R137" s="11" t="n"/>
      <x:c r="S137" s="11" t="n"/>
      <x:c r="T137" s="11" t="n"/>
      <x:c r="U137" s="12" t="n"/>
      <x:c r="V137" s="12" t="n"/>
      <x:c r="W137" s="12" t="n"/>
      <x:c r="X137" s="12" t="n"/>
      <x:c r="Y137" s="12" t="n"/>
      <x:c r="Z137" s="13">
        <x:f>IF($C137="","",VLOOKUP($C137,Config!$A$2:$Y$4,2,FALSE))</x:f>
      </x:c>
      <x:c r="AA137" s="13">
        <x:f>IF($C137="","",VLOOKUP($C137,Config!$A$2:$Y$4,5,FALSE))</x:f>
      </x:c>
      <x:c r="AB137" s="14">
        <x:f>IF($C137="","",VLOOKUP($C137,Config!$A$2:$Y$4,7,FALSE))</x:f>
      </x:c>
      <x:c r="AC137" s="14">
        <x:f>IF($C137="","",VLOOKUP($C137,Config!$A$2:$Y$4,8,FALSE))</x:f>
      </x:c>
      <x:c r="AD137" s="14">
        <x:f>IF($C137="","",VLOOKUP($C137,Config!$A$2:$Y$4,9,FALSE))</x:f>
      </x:c>
      <x:c r="AE137" s="14">
        <x:f>IF($C137="","",VLOOKUP($C137,Config!$A$2:$Y$4,10,FALSE))</x:f>
      </x:c>
      <x:c r="AF137" s="14">
        <x:f>IF($C137="","",VLOOKUP($C137,Config!$A$2:$Y$4,11,FALSE))</x:f>
      </x:c>
      <x:c r="AG137" s="14">
        <x:f>IF($C137="","",VLOOKUP($C137,Config!$A$2:$Y$4,12,FALSE))</x:f>
      </x:c>
      <x:c r="AH137" s="14">
        <x:f>IF($C137="","",VLOOKUP($C137,Config!$A$2:$Y$4,13,FALSE))</x:f>
      </x:c>
      <x:c r="AI137" s="14">
        <x:f>IF($C137="","",VLOOKUP($C137,Config!$A$2:$Y$4,14,FALSE))</x:f>
      </x:c>
      <x:c r="AJ137" s="14">
        <x:f>IF($C137="","",VLOOKUP($C137,Config!$A$2:$Y$4,15,FALSE))</x:f>
      </x:c>
      <x:c r="AK137" s="14">
        <x:f>IF($C137="","",VLOOKUP($C137,Config!$A$2:$Y$4,16,FALSE))</x:f>
      </x:c>
      <x:c r="AL137" s="14">
        <x:f>IF($C137="","",VLOOKUP($C137,Config!$A$2:$Y$4,17,FALSE))</x:f>
      </x:c>
      <x:c r="AM137" s="14">
        <x:f>IF($C137="","",VLOOKUP($C137,Config!$A$2:$Y$4,18,FALSE))</x:f>
      </x:c>
      <x:c r="AN137" s="14">
        <x:f>IF($C137="","",VLOOKUP($C137,Config!$A$2:$Y$4,19,FALSE))</x:f>
      </x:c>
      <x:c r="AO137" s="14">
        <x:f>IF($C137="","",VLOOKUP($C137,Config!$A$2:$Y$4,20,FALSE))</x:f>
      </x:c>
      <x:c r="AP137" s="14">
        <x:f>IF($C137="","",VLOOKUP($C137,Config!$A$2:$Y$4,21,FALSE))</x:f>
      </x:c>
      <x:c r="AQ137" s="14">
        <x:f>IF($C137="","",VLOOKUP($C137,Config!$A$2:$Y$4,22,FALSE))</x:f>
      </x:c>
      <x:c r="AR137" s="14">
        <x:f>IF($C137="","",VLOOKUP($C137,Config!$A$2:$Y$4,23,FALSE))</x:f>
      </x:c>
      <x:c r="AS137" s="13">
        <x:f>IF($C137="","",IF($H137="Extra",3,IF($H137="I",2,IF($H137="II",1,0)))&gt;=IF($AA137="Extra",3,IF($AA137="I",2,IF($AA137="II",1,0))))</x:f>
      </x:c>
      <x:c r="AT137" s="13">
        <x:f>IF($C137="","",IF($I137="",FALSE,$I137&gt;=$AB137))</x:f>
      </x:c>
      <x:c r="AU137" s="13">
        <x:f>IF($C137="","",IF($AC137="",TRUE,IF($J137="",FALSE,$J137&lt;=$AC137)))</x:f>
      </x:c>
      <x:c r="AV137" s="13">
        <x:f>IF($C137="","",IF($AD137="",TRUE,IF($K137="",FALSE,$K137&lt;=$AD137)))</x:f>
      </x:c>
      <x:c r="AW137" s="13">
        <x:f>IF($C137="","",IF($AE137="",TRUE,IF($L137="",FALSE,$L137&lt;=$AE137)))</x:f>
      </x:c>
      <x:c r="AX137" s="13">
        <x:f>IF($C137="","",IF($AF137="",TRUE,IF($M137="",FALSE,$M137&lt;=$AF137)))</x:f>
      </x:c>
      <x:c r="AY137" s="13">
        <x:f>IF($C137="","",IF($AG137="",TRUE,IF($N137="",FALSE,$N137&gt;=$AG137)))</x:f>
      </x:c>
      <x:c r="AZ137" s="13">
        <x:f>IF($C137="","",IF(OR($AH137="",$AI137=""),TRUE,IF($O137="",FALSE,AND($O137&gt;=$AH137,$O137&lt;=$AI137))))</x:f>
      </x:c>
      <x:c r="BA137" s="13">
        <x:f>IF($C137="","",IF($AJ137="Y",$P137="Y",TRUE))</x:f>
      </x:c>
      <x:c r="BB137" s="13">
        <x:f>IF($C137="","",IF($AK137="Y",$Q137="Y",TRUE))</x:f>
      </x:c>
      <x:c r="BC137" s="13">
        <x:f>IF($C137="","",IF($AL137="Y",$R137="Y",TRUE))</x:f>
      </x:c>
      <x:c r="BD137" s="13">
        <x:f>IF($C137="","",IF($AM137="Y",$S137="Y",TRUE))</x:f>
      </x:c>
      <x:c r="BE137" s="13">
        <x:f>IF($C137="","",IF($AN137="Y",$T137="Y",TRUE))</x:f>
      </x:c>
      <x:c r="BF137" s="13">
        <x:f>IF($C137="","",IF($AO137="",TRUE,IF($U137="",FALSE,$U137&lt;=$AO137)))</x:f>
      </x:c>
      <x:c r="BG137" s="13">
        <x:f>IF($C137="","",IF($AP137="",TRUE,IF($V137="",FALSE,$V137&lt;=$AP137)))</x:f>
      </x:c>
      <x:c r="BH137" s="13">
        <x:f>IF($C137="","",IF($AQ137="",TRUE,IF($W137="",FALSE,$W137&lt;=$AQ137)))</x:f>
      </x:c>
      <x:c r="BI137" s="13">
        <x:f>IF($C137="","",IF($AR137="",TRUE,IF($X137="",FALSE,$X137&lt;=$AR137)))</x:f>
      </x:c>
      <x:c r="BJ137" s="15">
        <x:f>IF($C137="","",IF($Y137="",0,$Y137)+IF($AS137,10,0)+IF($AT137,8,0)+IF($AU137,5,0)+IF($AV137,8,0)+IF($AW137,15,0)+IF($AX137,4,0)+IF($AY137,5,0)+IF($AZ137,10,0)+IF($BA137,8,0)+IF($BB137,4,0)+IF($BC137,6,0)+IF($BD137,3,0)+IF($BE137,2,0)+IF($BF137,2,0)+IF($BG137,2,0)+IF($BH137,2,0)+IF($BI137,1,0))</x:f>
      </x:c>
      <x:c r="BK137" s="15">
        <x:f>IF($C137="","",IF(NOT($AS137),1,0)+IF(NOT($AW137),1,0)+IF(NOT($AZ137),1,0)+IF(NOT($BA137),1,0)+IF(NOT($BB137),1,0)+IF(NOT($BC137),1,0))</x:f>
      </x:c>
      <x:c r="BL137" s="13">
        <x:f>IF($C137="","",IF($BK137&gt;0,"REJECT",IF(COUNTIF($AS137:$BI137,FALSE)=0,"ACCEPT",IF($BJ137&gt;=85,"ACCEPT WITH SORTING / DISCOUNT","REJECT"))))</x:f>
      </x:c>
    </x:row>
    <x:row r="138" ht="24" customHeight="1">
      <x:c r="A138" s="10" t="n"/>
      <x:c r="B138" s="11" t="n"/>
      <x:c r="C138" s="11" t="n"/>
      <x:c r="D138" s="11" t="n"/>
      <x:c r="E138" s="11" t="n"/>
      <x:c r="F138" s="11" t="n"/>
      <x:c r="G138" s="11" t="n"/>
      <x:c r="H138" s="11" t="n"/>
      <x:c r="I138" s="12" t="n"/>
      <x:c r="J138" s="12" t="n"/>
      <x:c r="K138" s="12" t="n"/>
      <x:c r="L138" s="12" t="n"/>
      <x:c r="M138" s="12" t="n"/>
      <x:c r="N138" s="12" t="n"/>
      <x:c r="O138" s="12" t="n"/>
      <x:c r="P138" s="11" t="n"/>
      <x:c r="Q138" s="11" t="n"/>
      <x:c r="R138" s="11" t="n"/>
      <x:c r="S138" s="11" t="n"/>
      <x:c r="T138" s="11" t="n"/>
      <x:c r="U138" s="12" t="n"/>
      <x:c r="V138" s="12" t="n"/>
      <x:c r="W138" s="12" t="n"/>
      <x:c r="X138" s="12" t="n"/>
      <x:c r="Y138" s="12" t="n"/>
      <x:c r="Z138" s="13">
        <x:f>IF($C138="","",VLOOKUP($C138,Config!$A$2:$Y$4,2,FALSE))</x:f>
      </x:c>
      <x:c r="AA138" s="13">
        <x:f>IF($C138="","",VLOOKUP($C138,Config!$A$2:$Y$4,5,FALSE))</x:f>
      </x:c>
      <x:c r="AB138" s="14">
        <x:f>IF($C138="","",VLOOKUP($C138,Config!$A$2:$Y$4,7,FALSE))</x:f>
      </x:c>
      <x:c r="AC138" s="14">
        <x:f>IF($C138="","",VLOOKUP($C138,Config!$A$2:$Y$4,8,FALSE))</x:f>
      </x:c>
      <x:c r="AD138" s="14">
        <x:f>IF($C138="","",VLOOKUP($C138,Config!$A$2:$Y$4,9,FALSE))</x:f>
      </x:c>
      <x:c r="AE138" s="14">
        <x:f>IF($C138="","",VLOOKUP($C138,Config!$A$2:$Y$4,10,FALSE))</x:f>
      </x:c>
      <x:c r="AF138" s="14">
        <x:f>IF($C138="","",VLOOKUP($C138,Config!$A$2:$Y$4,11,FALSE))</x:f>
      </x:c>
      <x:c r="AG138" s="14">
        <x:f>IF($C138="","",VLOOKUP($C138,Config!$A$2:$Y$4,12,FALSE))</x:f>
      </x:c>
      <x:c r="AH138" s="14">
        <x:f>IF($C138="","",VLOOKUP($C138,Config!$A$2:$Y$4,13,FALSE))</x:f>
      </x:c>
      <x:c r="AI138" s="14">
        <x:f>IF($C138="","",VLOOKUP($C138,Config!$A$2:$Y$4,14,FALSE))</x:f>
      </x:c>
      <x:c r="AJ138" s="14">
        <x:f>IF($C138="","",VLOOKUP($C138,Config!$A$2:$Y$4,15,FALSE))</x:f>
      </x:c>
      <x:c r="AK138" s="14">
        <x:f>IF($C138="","",VLOOKUP($C138,Config!$A$2:$Y$4,16,FALSE))</x:f>
      </x:c>
      <x:c r="AL138" s="14">
        <x:f>IF($C138="","",VLOOKUP($C138,Config!$A$2:$Y$4,17,FALSE))</x:f>
      </x:c>
      <x:c r="AM138" s="14">
        <x:f>IF($C138="","",VLOOKUP($C138,Config!$A$2:$Y$4,18,FALSE))</x:f>
      </x:c>
      <x:c r="AN138" s="14">
        <x:f>IF($C138="","",VLOOKUP($C138,Config!$A$2:$Y$4,19,FALSE))</x:f>
      </x:c>
      <x:c r="AO138" s="14">
        <x:f>IF($C138="","",VLOOKUP($C138,Config!$A$2:$Y$4,20,FALSE))</x:f>
      </x:c>
      <x:c r="AP138" s="14">
        <x:f>IF($C138="","",VLOOKUP($C138,Config!$A$2:$Y$4,21,FALSE))</x:f>
      </x:c>
      <x:c r="AQ138" s="14">
        <x:f>IF($C138="","",VLOOKUP($C138,Config!$A$2:$Y$4,22,FALSE))</x:f>
      </x:c>
      <x:c r="AR138" s="14">
        <x:f>IF($C138="","",VLOOKUP($C138,Config!$A$2:$Y$4,23,FALSE))</x:f>
      </x:c>
      <x:c r="AS138" s="13">
        <x:f>IF($C138="","",IF($H138="Extra",3,IF($H138="I",2,IF($H138="II",1,0)))&gt;=IF($AA138="Extra",3,IF($AA138="I",2,IF($AA138="II",1,0))))</x:f>
      </x:c>
      <x:c r="AT138" s="13">
        <x:f>IF($C138="","",IF($I138="",FALSE,$I138&gt;=$AB138))</x:f>
      </x:c>
      <x:c r="AU138" s="13">
        <x:f>IF($C138="","",IF($AC138="",TRUE,IF($J138="",FALSE,$J138&lt;=$AC138)))</x:f>
      </x:c>
      <x:c r="AV138" s="13">
        <x:f>IF($C138="","",IF($AD138="",TRUE,IF($K138="",FALSE,$K138&lt;=$AD138)))</x:f>
      </x:c>
      <x:c r="AW138" s="13">
        <x:f>IF($C138="","",IF($AE138="",TRUE,IF($L138="",FALSE,$L138&lt;=$AE138)))</x:f>
      </x:c>
      <x:c r="AX138" s="13">
        <x:f>IF($C138="","",IF($AF138="",TRUE,IF($M138="",FALSE,$M138&lt;=$AF138)))</x:f>
      </x:c>
      <x:c r="AY138" s="13">
        <x:f>IF($C138="","",IF($AG138="",TRUE,IF($N138="",FALSE,$N138&gt;=$AG138)))</x:f>
      </x:c>
      <x:c r="AZ138" s="13">
        <x:f>IF($C138="","",IF(OR($AH138="",$AI138=""),TRUE,IF($O138="",FALSE,AND($O138&gt;=$AH138,$O138&lt;=$AI138))))</x:f>
      </x:c>
      <x:c r="BA138" s="13">
        <x:f>IF($C138="","",IF($AJ138="Y",$P138="Y",TRUE))</x:f>
      </x:c>
      <x:c r="BB138" s="13">
        <x:f>IF($C138="","",IF($AK138="Y",$Q138="Y",TRUE))</x:f>
      </x:c>
      <x:c r="BC138" s="13">
        <x:f>IF($C138="","",IF($AL138="Y",$R138="Y",TRUE))</x:f>
      </x:c>
      <x:c r="BD138" s="13">
        <x:f>IF($C138="","",IF($AM138="Y",$S138="Y",TRUE))</x:f>
      </x:c>
      <x:c r="BE138" s="13">
        <x:f>IF($C138="","",IF($AN138="Y",$T138="Y",TRUE))</x:f>
      </x:c>
      <x:c r="BF138" s="13">
        <x:f>IF($C138="","",IF($AO138="",TRUE,IF($U138="",FALSE,$U138&lt;=$AO138)))</x:f>
      </x:c>
      <x:c r="BG138" s="13">
        <x:f>IF($C138="","",IF($AP138="",TRUE,IF($V138="",FALSE,$V138&lt;=$AP138)))</x:f>
      </x:c>
      <x:c r="BH138" s="13">
        <x:f>IF($C138="","",IF($AQ138="",TRUE,IF($W138="",FALSE,$W138&lt;=$AQ138)))</x:f>
      </x:c>
      <x:c r="BI138" s="13">
        <x:f>IF($C138="","",IF($AR138="",TRUE,IF($X138="",FALSE,$X138&lt;=$AR138)))</x:f>
      </x:c>
      <x:c r="BJ138" s="15">
        <x:f>IF($C138="","",IF($Y138="",0,$Y138)+IF($AS138,10,0)+IF($AT138,8,0)+IF($AU138,5,0)+IF($AV138,8,0)+IF($AW138,15,0)+IF($AX138,4,0)+IF($AY138,5,0)+IF($AZ138,10,0)+IF($BA138,8,0)+IF($BB138,4,0)+IF($BC138,6,0)+IF($BD138,3,0)+IF($BE138,2,0)+IF($BF138,2,0)+IF($BG138,2,0)+IF($BH138,2,0)+IF($BI138,1,0))</x:f>
      </x:c>
      <x:c r="BK138" s="15">
        <x:f>IF($C138="","",IF(NOT($AS138),1,0)+IF(NOT($AW138),1,0)+IF(NOT($AZ138),1,0)+IF(NOT($BA138),1,0)+IF(NOT($BB138),1,0)+IF(NOT($BC138),1,0))</x:f>
      </x:c>
      <x:c r="BL138" s="13">
        <x:f>IF($C138="","",IF($BK138&gt;0,"REJECT",IF(COUNTIF($AS138:$BI138,FALSE)=0,"ACCEPT",IF($BJ138&gt;=85,"ACCEPT WITH SORTING / DISCOUNT","REJECT"))))</x:f>
      </x:c>
    </x:row>
    <x:row r="139" ht="24" customHeight="1">
      <x:c r="A139" s="10" t="n"/>
      <x:c r="B139" s="11" t="n"/>
      <x:c r="C139" s="11" t="n"/>
      <x:c r="D139" s="11" t="n"/>
      <x:c r="E139" s="11" t="n"/>
      <x:c r="F139" s="11" t="n"/>
      <x:c r="G139" s="11" t="n"/>
      <x:c r="H139" s="11" t="n"/>
      <x:c r="I139" s="12" t="n"/>
      <x:c r="J139" s="12" t="n"/>
      <x:c r="K139" s="12" t="n"/>
      <x:c r="L139" s="12" t="n"/>
      <x:c r="M139" s="12" t="n"/>
      <x:c r="N139" s="12" t="n"/>
      <x:c r="O139" s="12" t="n"/>
      <x:c r="P139" s="11" t="n"/>
      <x:c r="Q139" s="11" t="n"/>
      <x:c r="R139" s="11" t="n"/>
      <x:c r="S139" s="11" t="n"/>
      <x:c r="T139" s="11" t="n"/>
      <x:c r="U139" s="12" t="n"/>
      <x:c r="V139" s="12" t="n"/>
      <x:c r="W139" s="12" t="n"/>
      <x:c r="X139" s="12" t="n"/>
      <x:c r="Y139" s="12" t="n"/>
      <x:c r="Z139" s="13">
        <x:f>IF($C139="","",VLOOKUP($C139,Config!$A$2:$Y$4,2,FALSE))</x:f>
      </x:c>
      <x:c r="AA139" s="13">
        <x:f>IF($C139="","",VLOOKUP($C139,Config!$A$2:$Y$4,5,FALSE))</x:f>
      </x:c>
      <x:c r="AB139" s="14">
        <x:f>IF($C139="","",VLOOKUP($C139,Config!$A$2:$Y$4,7,FALSE))</x:f>
      </x:c>
      <x:c r="AC139" s="14">
        <x:f>IF($C139="","",VLOOKUP($C139,Config!$A$2:$Y$4,8,FALSE))</x:f>
      </x:c>
      <x:c r="AD139" s="14">
        <x:f>IF($C139="","",VLOOKUP($C139,Config!$A$2:$Y$4,9,FALSE))</x:f>
      </x:c>
      <x:c r="AE139" s="14">
        <x:f>IF($C139="","",VLOOKUP($C139,Config!$A$2:$Y$4,10,FALSE))</x:f>
      </x:c>
      <x:c r="AF139" s="14">
        <x:f>IF($C139="","",VLOOKUP($C139,Config!$A$2:$Y$4,11,FALSE))</x:f>
      </x:c>
      <x:c r="AG139" s="14">
        <x:f>IF($C139="","",VLOOKUP($C139,Config!$A$2:$Y$4,12,FALSE))</x:f>
      </x:c>
      <x:c r="AH139" s="14">
        <x:f>IF($C139="","",VLOOKUP($C139,Config!$A$2:$Y$4,13,FALSE))</x:f>
      </x:c>
      <x:c r="AI139" s="14">
        <x:f>IF($C139="","",VLOOKUP($C139,Config!$A$2:$Y$4,14,FALSE))</x:f>
      </x:c>
      <x:c r="AJ139" s="14">
        <x:f>IF($C139="","",VLOOKUP($C139,Config!$A$2:$Y$4,15,FALSE))</x:f>
      </x:c>
      <x:c r="AK139" s="14">
        <x:f>IF($C139="","",VLOOKUP($C139,Config!$A$2:$Y$4,16,FALSE))</x:f>
      </x:c>
      <x:c r="AL139" s="14">
        <x:f>IF($C139="","",VLOOKUP($C139,Config!$A$2:$Y$4,17,FALSE))</x:f>
      </x:c>
      <x:c r="AM139" s="14">
        <x:f>IF($C139="","",VLOOKUP($C139,Config!$A$2:$Y$4,18,FALSE))</x:f>
      </x:c>
      <x:c r="AN139" s="14">
        <x:f>IF($C139="","",VLOOKUP($C139,Config!$A$2:$Y$4,19,FALSE))</x:f>
      </x:c>
      <x:c r="AO139" s="14">
        <x:f>IF($C139="","",VLOOKUP($C139,Config!$A$2:$Y$4,20,FALSE))</x:f>
      </x:c>
      <x:c r="AP139" s="14">
        <x:f>IF($C139="","",VLOOKUP($C139,Config!$A$2:$Y$4,21,FALSE))</x:f>
      </x:c>
      <x:c r="AQ139" s="14">
        <x:f>IF($C139="","",VLOOKUP($C139,Config!$A$2:$Y$4,22,FALSE))</x:f>
      </x:c>
      <x:c r="AR139" s="14">
        <x:f>IF($C139="","",VLOOKUP($C139,Config!$A$2:$Y$4,23,FALSE))</x:f>
      </x:c>
      <x:c r="AS139" s="13">
        <x:f>IF($C139="","",IF($H139="Extra",3,IF($H139="I",2,IF($H139="II",1,0)))&gt;=IF($AA139="Extra",3,IF($AA139="I",2,IF($AA139="II",1,0))))</x:f>
      </x:c>
      <x:c r="AT139" s="13">
        <x:f>IF($C139="","",IF($I139="",FALSE,$I139&gt;=$AB139))</x:f>
      </x:c>
      <x:c r="AU139" s="13">
        <x:f>IF($C139="","",IF($AC139="",TRUE,IF($J139="",FALSE,$J139&lt;=$AC139)))</x:f>
      </x:c>
      <x:c r="AV139" s="13">
        <x:f>IF($C139="","",IF($AD139="",TRUE,IF($K139="",FALSE,$K139&lt;=$AD139)))</x:f>
      </x:c>
      <x:c r="AW139" s="13">
        <x:f>IF($C139="","",IF($AE139="",TRUE,IF($L139="",FALSE,$L139&lt;=$AE139)))</x:f>
      </x:c>
      <x:c r="AX139" s="13">
        <x:f>IF($C139="","",IF($AF139="",TRUE,IF($M139="",FALSE,$M139&lt;=$AF139)))</x:f>
      </x:c>
      <x:c r="AY139" s="13">
        <x:f>IF($C139="","",IF($AG139="",TRUE,IF($N139="",FALSE,$N139&gt;=$AG139)))</x:f>
      </x:c>
      <x:c r="AZ139" s="13">
        <x:f>IF($C139="","",IF(OR($AH139="",$AI139=""),TRUE,IF($O139="",FALSE,AND($O139&gt;=$AH139,$O139&lt;=$AI139))))</x:f>
      </x:c>
      <x:c r="BA139" s="13">
        <x:f>IF($C139="","",IF($AJ139="Y",$P139="Y",TRUE))</x:f>
      </x:c>
      <x:c r="BB139" s="13">
        <x:f>IF($C139="","",IF($AK139="Y",$Q139="Y",TRUE))</x:f>
      </x:c>
      <x:c r="BC139" s="13">
        <x:f>IF($C139="","",IF($AL139="Y",$R139="Y",TRUE))</x:f>
      </x:c>
      <x:c r="BD139" s="13">
        <x:f>IF($C139="","",IF($AM139="Y",$S139="Y",TRUE))</x:f>
      </x:c>
      <x:c r="BE139" s="13">
        <x:f>IF($C139="","",IF($AN139="Y",$T139="Y",TRUE))</x:f>
      </x:c>
      <x:c r="BF139" s="13">
        <x:f>IF($C139="","",IF($AO139="",TRUE,IF($U139="",FALSE,$U139&lt;=$AO139)))</x:f>
      </x:c>
      <x:c r="BG139" s="13">
        <x:f>IF($C139="","",IF($AP139="",TRUE,IF($V139="",FALSE,$V139&lt;=$AP139)))</x:f>
      </x:c>
      <x:c r="BH139" s="13">
        <x:f>IF($C139="","",IF($AQ139="",TRUE,IF($W139="",FALSE,$W139&lt;=$AQ139)))</x:f>
      </x:c>
      <x:c r="BI139" s="13">
        <x:f>IF($C139="","",IF($AR139="",TRUE,IF($X139="",FALSE,$X139&lt;=$AR139)))</x:f>
      </x:c>
      <x:c r="BJ139" s="15">
        <x:f>IF($C139="","",IF($Y139="",0,$Y139)+IF($AS139,10,0)+IF($AT139,8,0)+IF($AU139,5,0)+IF($AV139,8,0)+IF($AW139,15,0)+IF($AX139,4,0)+IF($AY139,5,0)+IF($AZ139,10,0)+IF($BA139,8,0)+IF($BB139,4,0)+IF($BC139,6,0)+IF($BD139,3,0)+IF($BE139,2,0)+IF($BF139,2,0)+IF($BG139,2,0)+IF($BH139,2,0)+IF($BI139,1,0))</x:f>
      </x:c>
      <x:c r="BK139" s="15">
        <x:f>IF($C139="","",IF(NOT($AS139),1,0)+IF(NOT($AW139),1,0)+IF(NOT($AZ139),1,0)+IF(NOT($BA139),1,0)+IF(NOT($BB139),1,0)+IF(NOT($BC139),1,0))</x:f>
      </x:c>
      <x:c r="BL139" s="13">
        <x:f>IF($C139="","",IF($BK139&gt;0,"REJECT",IF(COUNTIF($AS139:$BI139,FALSE)=0,"ACCEPT",IF($BJ139&gt;=85,"ACCEPT WITH SORTING / DISCOUNT","REJECT"))))</x:f>
      </x:c>
    </x:row>
    <x:row r="140" ht="24" customHeight="1">
      <x:c r="A140" s="10" t="n"/>
      <x:c r="B140" s="11" t="n"/>
      <x:c r="C140" s="11" t="n"/>
      <x:c r="D140" s="11" t="n"/>
      <x:c r="E140" s="11" t="n"/>
      <x:c r="F140" s="11" t="n"/>
      <x:c r="G140" s="11" t="n"/>
      <x:c r="H140" s="11" t="n"/>
      <x:c r="I140" s="12" t="n"/>
      <x:c r="J140" s="12" t="n"/>
      <x:c r="K140" s="12" t="n"/>
      <x:c r="L140" s="12" t="n"/>
      <x:c r="M140" s="12" t="n"/>
      <x:c r="N140" s="12" t="n"/>
      <x:c r="O140" s="12" t="n"/>
      <x:c r="P140" s="11" t="n"/>
      <x:c r="Q140" s="11" t="n"/>
      <x:c r="R140" s="11" t="n"/>
      <x:c r="S140" s="11" t="n"/>
      <x:c r="T140" s="11" t="n"/>
      <x:c r="U140" s="12" t="n"/>
      <x:c r="V140" s="12" t="n"/>
      <x:c r="W140" s="12" t="n"/>
      <x:c r="X140" s="12" t="n"/>
      <x:c r="Y140" s="12" t="n"/>
      <x:c r="Z140" s="13">
        <x:f>IF($C140="","",VLOOKUP($C140,Config!$A$2:$Y$4,2,FALSE))</x:f>
      </x:c>
      <x:c r="AA140" s="13">
        <x:f>IF($C140="","",VLOOKUP($C140,Config!$A$2:$Y$4,5,FALSE))</x:f>
      </x:c>
      <x:c r="AB140" s="14">
        <x:f>IF($C140="","",VLOOKUP($C140,Config!$A$2:$Y$4,7,FALSE))</x:f>
      </x:c>
      <x:c r="AC140" s="14">
        <x:f>IF($C140="","",VLOOKUP($C140,Config!$A$2:$Y$4,8,FALSE))</x:f>
      </x:c>
      <x:c r="AD140" s="14">
        <x:f>IF($C140="","",VLOOKUP($C140,Config!$A$2:$Y$4,9,FALSE))</x:f>
      </x:c>
      <x:c r="AE140" s="14">
        <x:f>IF($C140="","",VLOOKUP($C140,Config!$A$2:$Y$4,10,FALSE))</x:f>
      </x:c>
      <x:c r="AF140" s="14">
        <x:f>IF($C140="","",VLOOKUP($C140,Config!$A$2:$Y$4,11,FALSE))</x:f>
      </x:c>
      <x:c r="AG140" s="14">
        <x:f>IF($C140="","",VLOOKUP($C140,Config!$A$2:$Y$4,12,FALSE))</x:f>
      </x:c>
      <x:c r="AH140" s="14">
        <x:f>IF($C140="","",VLOOKUP($C140,Config!$A$2:$Y$4,13,FALSE))</x:f>
      </x:c>
      <x:c r="AI140" s="14">
        <x:f>IF($C140="","",VLOOKUP($C140,Config!$A$2:$Y$4,14,FALSE))</x:f>
      </x:c>
      <x:c r="AJ140" s="14">
        <x:f>IF($C140="","",VLOOKUP($C140,Config!$A$2:$Y$4,15,FALSE))</x:f>
      </x:c>
      <x:c r="AK140" s="14">
        <x:f>IF($C140="","",VLOOKUP($C140,Config!$A$2:$Y$4,16,FALSE))</x:f>
      </x:c>
      <x:c r="AL140" s="14">
        <x:f>IF($C140="","",VLOOKUP($C140,Config!$A$2:$Y$4,17,FALSE))</x:f>
      </x:c>
      <x:c r="AM140" s="14">
        <x:f>IF($C140="","",VLOOKUP($C140,Config!$A$2:$Y$4,18,FALSE))</x:f>
      </x:c>
      <x:c r="AN140" s="14">
        <x:f>IF($C140="","",VLOOKUP($C140,Config!$A$2:$Y$4,19,FALSE))</x:f>
      </x:c>
      <x:c r="AO140" s="14">
        <x:f>IF($C140="","",VLOOKUP($C140,Config!$A$2:$Y$4,20,FALSE))</x:f>
      </x:c>
      <x:c r="AP140" s="14">
        <x:f>IF($C140="","",VLOOKUP($C140,Config!$A$2:$Y$4,21,FALSE))</x:f>
      </x:c>
      <x:c r="AQ140" s="14">
        <x:f>IF($C140="","",VLOOKUP($C140,Config!$A$2:$Y$4,22,FALSE))</x:f>
      </x:c>
      <x:c r="AR140" s="14">
        <x:f>IF($C140="","",VLOOKUP($C140,Config!$A$2:$Y$4,23,FALSE))</x:f>
      </x:c>
      <x:c r="AS140" s="13">
        <x:f>IF($C140="","",IF($H140="Extra",3,IF($H140="I",2,IF($H140="II",1,0)))&gt;=IF($AA140="Extra",3,IF($AA140="I",2,IF($AA140="II",1,0))))</x:f>
      </x:c>
      <x:c r="AT140" s="13">
        <x:f>IF($C140="","",IF($I140="",FALSE,$I140&gt;=$AB140))</x:f>
      </x:c>
      <x:c r="AU140" s="13">
        <x:f>IF($C140="","",IF($AC140="",TRUE,IF($J140="",FALSE,$J140&lt;=$AC140)))</x:f>
      </x:c>
      <x:c r="AV140" s="13">
        <x:f>IF($C140="","",IF($AD140="",TRUE,IF($K140="",FALSE,$K140&lt;=$AD140)))</x:f>
      </x:c>
      <x:c r="AW140" s="13">
        <x:f>IF($C140="","",IF($AE140="",TRUE,IF($L140="",FALSE,$L140&lt;=$AE140)))</x:f>
      </x:c>
      <x:c r="AX140" s="13">
        <x:f>IF($C140="","",IF($AF140="",TRUE,IF($M140="",FALSE,$M140&lt;=$AF140)))</x:f>
      </x:c>
      <x:c r="AY140" s="13">
        <x:f>IF($C140="","",IF($AG140="",TRUE,IF($N140="",FALSE,$N140&gt;=$AG140)))</x:f>
      </x:c>
      <x:c r="AZ140" s="13">
        <x:f>IF($C140="","",IF(OR($AH140="",$AI140=""),TRUE,IF($O140="",FALSE,AND($O140&gt;=$AH140,$O140&lt;=$AI140))))</x:f>
      </x:c>
      <x:c r="BA140" s="13">
        <x:f>IF($C140="","",IF($AJ140="Y",$P140="Y",TRUE))</x:f>
      </x:c>
      <x:c r="BB140" s="13">
        <x:f>IF($C140="","",IF($AK140="Y",$Q140="Y",TRUE))</x:f>
      </x:c>
      <x:c r="BC140" s="13">
        <x:f>IF($C140="","",IF($AL140="Y",$R140="Y",TRUE))</x:f>
      </x:c>
      <x:c r="BD140" s="13">
        <x:f>IF($C140="","",IF($AM140="Y",$S140="Y",TRUE))</x:f>
      </x:c>
      <x:c r="BE140" s="13">
        <x:f>IF($C140="","",IF($AN140="Y",$T140="Y",TRUE))</x:f>
      </x:c>
      <x:c r="BF140" s="13">
        <x:f>IF($C140="","",IF($AO140="",TRUE,IF($U140="",FALSE,$U140&lt;=$AO140)))</x:f>
      </x:c>
      <x:c r="BG140" s="13">
        <x:f>IF($C140="","",IF($AP140="",TRUE,IF($V140="",FALSE,$V140&lt;=$AP140)))</x:f>
      </x:c>
      <x:c r="BH140" s="13">
        <x:f>IF($C140="","",IF($AQ140="",TRUE,IF($W140="",FALSE,$W140&lt;=$AQ140)))</x:f>
      </x:c>
      <x:c r="BI140" s="13">
        <x:f>IF($C140="","",IF($AR140="",TRUE,IF($X140="",FALSE,$X140&lt;=$AR140)))</x:f>
      </x:c>
      <x:c r="BJ140" s="15">
        <x:f>IF($C140="","",IF($Y140="",0,$Y140)+IF($AS140,10,0)+IF($AT140,8,0)+IF($AU140,5,0)+IF($AV140,8,0)+IF($AW140,15,0)+IF($AX140,4,0)+IF($AY140,5,0)+IF($AZ140,10,0)+IF($BA140,8,0)+IF($BB140,4,0)+IF($BC140,6,0)+IF($BD140,3,0)+IF($BE140,2,0)+IF($BF140,2,0)+IF($BG140,2,0)+IF($BH140,2,0)+IF($BI140,1,0))</x:f>
      </x:c>
      <x:c r="BK140" s="15">
        <x:f>IF($C140="","",IF(NOT($AS140),1,0)+IF(NOT($AW140),1,0)+IF(NOT($AZ140),1,0)+IF(NOT($BA140),1,0)+IF(NOT($BB140),1,0)+IF(NOT($BC140),1,0))</x:f>
      </x:c>
      <x:c r="BL140" s="13">
        <x:f>IF($C140="","",IF($BK140&gt;0,"REJECT",IF(COUNTIF($AS140:$BI140,FALSE)=0,"ACCEPT",IF($BJ140&gt;=85,"ACCEPT WITH SORTING / DISCOUNT","REJECT"))))</x:f>
      </x:c>
    </x:row>
    <x:row r="141" ht="24" customHeight="1">
      <x:c r="A141" s="10" t="n"/>
      <x:c r="B141" s="11" t="n"/>
      <x:c r="C141" s="11" t="n"/>
      <x:c r="D141" s="11" t="n"/>
      <x:c r="E141" s="11" t="n"/>
      <x:c r="F141" s="11" t="n"/>
      <x:c r="G141" s="11" t="n"/>
      <x:c r="H141" s="11" t="n"/>
      <x:c r="I141" s="12" t="n"/>
      <x:c r="J141" s="12" t="n"/>
      <x:c r="K141" s="12" t="n"/>
      <x:c r="L141" s="12" t="n"/>
      <x:c r="M141" s="12" t="n"/>
      <x:c r="N141" s="12" t="n"/>
      <x:c r="O141" s="12" t="n"/>
      <x:c r="P141" s="11" t="n"/>
      <x:c r="Q141" s="11" t="n"/>
      <x:c r="R141" s="11" t="n"/>
      <x:c r="S141" s="11" t="n"/>
      <x:c r="T141" s="11" t="n"/>
      <x:c r="U141" s="12" t="n"/>
      <x:c r="V141" s="12" t="n"/>
      <x:c r="W141" s="12" t="n"/>
      <x:c r="X141" s="12" t="n"/>
      <x:c r="Y141" s="12" t="n"/>
      <x:c r="Z141" s="13">
        <x:f>IF($C141="","",VLOOKUP($C141,Config!$A$2:$Y$4,2,FALSE))</x:f>
      </x:c>
      <x:c r="AA141" s="13">
        <x:f>IF($C141="","",VLOOKUP($C141,Config!$A$2:$Y$4,5,FALSE))</x:f>
      </x:c>
      <x:c r="AB141" s="14">
        <x:f>IF($C141="","",VLOOKUP($C141,Config!$A$2:$Y$4,7,FALSE))</x:f>
      </x:c>
      <x:c r="AC141" s="14">
        <x:f>IF($C141="","",VLOOKUP($C141,Config!$A$2:$Y$4,8,FALSE))</x:f>
      </x:c>
      <x:c r="AD141" s="14">
        <x:f>IF($C141="","",VLOOKUP($C141,Config!$A$2:$Y$4,9,FALSE))</x:f>
      </x:c>
      <x:c r="AE141" s="14">
        <x:f>IF($C141="","",VLOOKUP($C141,Config!$A$2:$Y$4,10,FALSE))</x:f>
      </x:c>
      <x:c r="AF141" s="14">
        <x:f>IF($C141="","",VLOOKUP($C141,Config!$A$2:$Y$4,11,FALSE))</x:f>
      </x:c>
      <x:c r="AG141" s="14">
        <x:f>IF($C141="","",VLOOKUP($C141,Config!$A$2:$Y$4,12,FALSE))</x:f>
      </x:c>
      <x:c r="AH141" s="14">
        <x:f>IF($C141="","",VLOOKUP($C141,Config!$A$2:$Y$4,13,FALSE))</x:f>
      </x:c>
      <x:c r="AI141" s="14">
        <x:f>IF($C141="","",VLOOKUP($C141,Config!$A$2:$Y$4,14,FALSE))</x:f>
      </x:c>
      <x:c r="AJ141" s="14">
        <x:f>IF($C141="","",VLOOKUP($C141,Config!$A$2:$Y$4,15,FALSE))</x:f>
      </x:c>
      <x:c r="AK141" s="14">
        <x:f>IF($C141="","",VLOOKUP($C141,Config!$A$2:$Y$4,16,FALSE))</x:f>
      </x:c>
      <x:c r="AL141" s="14">
        <x:f>IF($C141="","",VLOOKUP($C141,Config!$A$2:$Y$4,17,FALSE))</x:f>
      </x:c>
      <x:c r="AM141" s="14">
        <x:f>IF($C141="","",VLOOKUP($C141,Config!$A$2:$Y$4,18,FALSE))</x:f>
      </x:c>
      <x:c r="AN141" s="14">
        <x:f>IF($C141="","",VLOOKUP($C141,Config!$A$2:$Y$4,19,FALSE))</x:f>
      </x:c>
      <x:c r="AO141" s="14">
        <x:f>IF($C141="","",VLOOKUP($C141,Config!$A$2:$Y$4,20,FALSE))</x:f>
      </x:c>
      <x:c r="AP141" s="14">
        <x:f>IF($C141="","",VLOOKUP($C141,Config!$A$2:$Y$4,21,FALSE))</x:f>
      </x:c>
      <x:c r="AQ141" s="14">
        <x:f>IF($C141="","",VLOOKUP($C141,Config!$A$2:$Y$4,22,FALSE))</x:f>
      </x:c>
      <x:c r="AR141" s="14">
        <x:f>IF($C141="","",VLOOKUP($C141,Config!$A$2:$Y$4,23,FALSE))</x:f>
      </x:c>
      <x:c r="AS141" s="13">
        <x:f>IF($C141="","",IF($H141="Extra",3,IF($H141="I",2,IF($H141="II",1,0)))&gt;=IF($AA141="Extra",3,IF($AA141="I",2,IF($AA141="II",1,0))))</x:f>
      </x:c>
      <x:c r="AT141" s="13">
        <x:f>IF($C141="","",IF($I141="",FALSE,$I141&gt;=$AB141))</x:f>
      </x:c>
      <x:c r="AU141" s="13">
        <x:f>IF($C141="","",IF($AC141="",TRUE,IF($J141="",FALSE,$J141&lt;=$AC141)))</x:f>
      </x:c>
      <x:c r="AV141" s="13">
        <x:f>IF($C141="","",IF($AD141="",TRUE,IF($K141="",FALSE,$K141&lt;=$AD141)))</x:f>
      </x:c>
      <x:c r="AW141" s="13">
        <x:f>IF($C141="","",IF($AE141="",TRUE,IF($L141="",FALSE,$L141&lt;=$AE141)))</x:f>
      </x:c>
      <x:c r="AX141" s="13">
        <x:f>IF($C141="","",IF($AF141="",TRUE,IF($M141="",FALSE,$M141&lt;=$AF141)))</x:f>
      </x:c>
      <x:c r="AY141" s="13">
        <x:f>IF($C141="","",IF($AG141="",TRUE,IF($N141="",FALSE,$N141&gt;=$AG141)))</x:f>
      </x:c>
      <x:c r="AZ141" s="13">
        <x:f>IF($C141="","",IF(OR($AH141="",$AI141=""),TRUE,IF($O141="",FALSE,AND($O141&gt;=$AH141,$O141&lt;=$AI141))))</x:f>
      </x:c>
      <x:c r="BA141" s="13">
        <x:f>IF($C141="","",IF($AJ141="Y",$P141="Y",TRUE))</x:f>
      </x:c>
      <x:c r="BB141" s="13">
        <x:f>IF($C141="","",IF($AK141="Y",$Q141="Y",TRUE))</x:f>
      </x:c>
      <x:c r="BC141" s="13">
        <x:f>IF($C141="","",IF($AL141="Y",$R141="Y",TRUE))</x:f>
      </x:c>
      <x:c r="BD141" s="13">
        <x:f>IF($C141="","",IF($AM141="Y",$S141="Y",TRUE))</x:f>
      </x:c>
      <x:c r="BE141" s="13">
        <x:f>IF($C141="","",IF($AN141="Y",$T141="Y",TRUE))</x:f>
      </x:c>
      <x:c r="BF141" s="13">
        <x:f>IF($C141="","",IF($AO141="",TRUE,IF($U141="",FALSE,$U141&lt;=$AO141)))</x:f>
      </x:c>
      <x:c r="BG141" s="13">
        <x:f>IF($C141="","",IF($AP141="",TRUE,IF($V141="",FALSE,$V141&lt;=$AP141)))</x:f>
      </x:c>
      <x:c r="BH141" s="13">
        <x:f>IF($C141="","",IF($AQ141="",TRUE,IF($W141="",FALSE,$W141&lt;=$AQ141)))</x:f>
      </x:c>
      <x:c r="BI141" s="13">
        <x:f>IF($C141="","",IF($AR141="",TRUE,IF($X141="",FALSE,$X141&lt;=$AR141)))</x:f>
      </x:c>
      <x:c r="BJ141" s="15">
        <x:f>IF($C141="","",IF($Y141="",0,$Y141)+IF($AS141,10,0)+IF($AT141,8,0)+IF($AU141,5,0)+IF($AV141,8,0)+IF($AW141,15,0)+IF($AX141,4,0)+IF($AY141,5,0)+IF($AZ141,10,0)+IF($BA141,8,0)+IF($BB141,4,0)+IF($BC141,6,0)+IF($BD141,3,0)+IF($BE141,2,0)+IF($BF141,2,0)+IF($BG141,2,0)+IF($BH141,2,0)+IF($BI141,1,0))</x:f>
      </x:c>
      <x:c r="BK141" s="15">
        <x:f>IF($C141="","",IF(NOT($AS141),1,0)+IF(NOT($AW141),1,0)+IF(NOT($AZ141),1,0)+IF(NOT($BA141),1,0)+IF(NOT($BB141),1,0)+IF(NOT($BC141),1,0))</x:f>
      </x:c>
      <x:c r="BL141" s="13">
        <x:f>IF($C141="","",IF($BK141&gt;0,"REJECT",IF(COUNTIF($AS141:$BI141,FALSE)=0,"ACCEPT",IF($BJ141&gt;=85,"ACCEPT WITH SORTING / DISCOUNT","REJECT"))))</x:f>
      </x:c>
    </x:row>
    <x:row r="142" ht="24" customHeight="1">
      <x:c r="A142" s="10" t="n"/>
      <x:c r="B142" s="11" t="n"/>
      <x:c r="C142" s="11" t="n"/>
      <x:c r="D142" s="11" t="n"/>
      <x:c r="E142" s="11" t="n"/>
      <x:c r="F142" s="11" t="n"/>
      <x:c r="G142" s="11" t="n"/>
      <x:c r="H142" s="11" t="n"/>
      <x:c r="I142" s="12" t="n"/>
      <x:c r="J142" s="12" t="n"/>
      <x:c r="K142" s="12" t="n"/>
      <x:c r="L142" s="12" t="n"/>
      <x:c r="M142" s="12" t="n"/>
      <x:c r="N142" s="12" t="n"/>
      <x:c r="O142" s="12" t="n"/>
      <x:c r="P142" s="11" t="n"/>
      <x:c r="Q142" s="11" t="n"/>
      <x:c r="R142" s="11" t="n"/>
      <x:c r="S142" s="11" t="n"/>
      <x:c r="T142" s="11" t="n"/>
      <x:c r="U142" s="12" t="n"/>
      <x:c r="V142" s="12" t="n"/>
      <x:c r="W142" s="12" t="n"/>
      <x:c r="X142" s="12" t="n"/>
      <x:c r="Y142" s="12" t="n"/>
      <x:c r="Z142" s="13">
        <x:f>IF($C142="","",VLOOKUP($C142,Config!$A$2:$Y$4,2,FALSE))</x:f>
      </x:c>
      <x:c r="AA142" s="13">
        <x:f>IF($C142="","",VLOOKUP($C142,Config!$A$2:$Y$4,5,FALSE))</x:f>
      </x:c>
      <x:c r="AB142" s="14">
        <x:f>IF($C142="","",VLOOKUP($C142,Config!$A$2:$Y$4,7,FALSE))</x:f>
      </x:c>
      <x:c r="AC142" s="14">
        <x:f>IF($C142="","",VLOOKUP($C142,Config!$A$2:$Y$4,8,FALSE))</x:f>
      </x:c>
      <x:c r="AD142" s="14">
        <x:f>IF($C142="","",VLOOKUP($C142,Config!$A$2:$Y$4,9,FALSE))</x:f>
      </x:c>
      <x:c r="AE142" s="14">
        <x:f>IF($C142="","",VLOOKUP($C142,Config!$A$2:$Y$4,10,FALSE))</x:f>
      </x:c>
      <x:c r="AF142" s="14">
        <x:f>IF($C142="","",VLOOKUP($C142,Config!$A$2:$Y$4,11,FALSE))</x:f>
      </x:c>
      <x:c r="AG142" s="14">
        <x:f>IF($C142="","",VLOOKUP($C142,Config!$A$2:$Y$4,12,FALSE))</x:f>
      </x:c>
      <x:c r="AH142" s="14">
        <x:f>IF($C142="","",VLOOKUP($C142,Config!$A$2:$Y$4,13,FALSE))</x:f>
      </x:c>
      <x:c r="AI142" s="14">
        <x:f>IF($C142="","",VLOOKUP($C142,Config!$A$2:$Y$4,14,FALSE))</x:f>
      </x:c>
      <x:c r="AJ142" s="14">
        <x:f>IF($C142="","",VLOOKUP($C142,Config!$A$2:$Y$4,15,FALSE))</x:f>
      </x:c>
      <x:c r="AK142" s="14">
        <x:f>IF($C142="","",VLOOKUP($C142,Config!$A$2:$Y$4,16,FALSE))</x:f>
      </x:c>
      <x:c r="AL142" s="14">
        <x:f>IF($C142="","",VLOOKUP($C142,Config!$A$2:$Y$4,17,FALSE))</x:f>
      </x:c>
      <x:c r="AM142" s="14">
        <x:f>IF($C142="","",VLOOKUP($C142,Config!$A$2:$Y$4,18,FALSE))</x:f>
      </x:c>
      <x:c r="AN142" s="14">
        <x:f>IF($C142="","",VLOOKUP($C142,Config!$A$2:$Y$4,19,FALSE))</x:f>
      </x:c>
      <x:c r="AO142" s="14">
        <x:f>IF($C142="","",VLOOKUP($C142,Config!$A$2:$Y$4,20,FALSE))</x:f>
      </x:c>
      <x:c r="AP142" s="14">
        <x:f>IF($C142="","",VLOOKUP($C142,Config!$A$2:$Y$4,21,FALSE))</x:f>
      </x:c>
      <x:c r="AQ142" s="14">
        <x:f>IF($C142="","",VLOOKUP($C142,Config!$A$2:$Y$4,22,FALSE))</x:f>
      </x:c>
      <x:c r="AR142" s="14">
        <x:f>IF($C142="","",VLOOKUP($C142,Config!$A$2:$Y$4,23,FALSE))</x:f>
      </x:c>
      <x:c r="AS142" s="13">
        <x:f>IF($C142="","",IF($H142="Extra",3,IF($H142="I",2,IF($H142="II",1,0)))&gt;=IF($AA142="Extra",3,IF($AA142="I",2,IF($AA142="II",1,0))))</x:f>
      </x:c>
      <x:c r="AT142" s="13">
        <x:f>IF($C142="","",IF($I142="",FALSE,$I142&gt;=$AB142))</x:f>
      </x:c>
      <x:c r="AU142" s="13">
        <x:f>IF($C142="","",IF($AC142="",TRUE,IF($J142="",FALSE,$J142&lt;=$AC142)))</x:f>
      </x:c>
      <x:c r="AV142" s="13">
        <x:f>IF($C142="","",IF($AD142="",TRUE,IF($K142="",FALSE,$K142&lt;=$AD142)))</x:f>
      </x:c>
      <x:c r="AW142" s="13">
        <x:f>IF($C142="","",IF($AE142="",TRUE,IF($L142="",FALSE,$L142&lt;=$AE142)))</x:f>
      </x:c>
      <x:c r="AX142" s="13">
        <x:f>IF($C142="","",IF($AF142="",TRUE,IF($M142="",FALSE,$M142&lt;=$AF142)))</x:f>
      </x:c>
      <x:c r="AY142" s="13">
        <x:f>IF($C142="","",IF($AG142="",TRUE,IF($N142="",FALSE,$N142&gt;=$AG142)))</x:f>
      </x:c>
      <x:c r="AZ142" s="13">
        <x:f>IF($C142="","",IF(OR($AH142="",$AI142=""),TRUE,IF($O142="",FALSE,AND($O142&gt;=$AH142,$O142&lt;=$AI142))))</x:f>
      </x:c>
      <x:c r="BA142" s="13">
        <x:f>IF($C142="","",IF($AJ142="Y",$P142="Y",TRUE))</x:f>
      </x:c>
      <x:c r="BB142" s="13">
        <x:f>IF($C142="","",IF($AK142="Y",$Q142="Y",TRUE))</x:f>
      </x:c>
      <x:c r="BC142" s="13">
        <x:f>IF($C142="","",IF($AL142="Y",$R142="Y",TRUE))</x:f>
      </x:c>
      <x:c r="BD142" s="13">
        <x:f>IF($C142="","",IF($AM142="Y",$S142="Y",TRUE))</x:f>
      </x:c>
      <x:c r="BE142" s="13">
        <x:f>IF($C142="","",IF($AN142="Y",$T142="Y",TRUE))</x:f>
      </x:c>
      <x:c r="BF142" s="13">
        <x:f>IF($C142="","",IF($AO142="",TRUE,IF($U142="",FALSE,$U142&lt;=$AO142)))</x:f>
      </x:c>
      <x:c r="BG142" s="13">
        <x:f>IF($C142="","",IF($AP142="",TRUE,IF($V142="",FALSE,$V142&lt;=$AP142)))</x:f>
      </x:c>
      <x:c r="BH142" s="13">
        <x:f>IF($C142="","",IF($AQ142="",TRUE,IF($W142="",FALSE,$W142&lt;=$AQ142)))</x:f>
      </x:c>
      <x:c r="BI142" s="13">
        <x:f>IF($C142="","",IF($AR142="",TRUE,IF($X142="",FALSE,$X142&lt;=$AR142)))</x:f>
      </x:c>
      <x:c r="BJ142" s="15">
        <x:f>IF($C142="","",IF($Y142="",0,$Y142)+IF($AS142,10,0)+IF($AT142,8,0)+IF($AU142,5,0)+IF($AV142,8,0)+IF($AW142,15,0)+IF($AX142,4,0)+IF($AY142,5,0)+IF($AZ142,10,0)+IF($BA142,8,0)+IF($BB142,4,0)+IF($BC142,6,0)+IF($BD142,3,0)+IF($BE142,2,0)+IF($BF142,2,0)+IF($BG142,2,0)+IF($BH142,2,0)+IF($BI142,1,0))</x:f>
      </x:c>
      <x:c r="BK142" s="15">
        <x:f>IF($C142="","",IF(NOT($AS142),1,0)+IF(NOT($AW142),1,0)+IF(NOT($AZ142),1,0)+IF(NOT($BA142),1,0)+IF(NOT($BB142),1,0)+IF(NOT($BC142),1,0))</x:f>
      </x:c>
      <x:c r="BL142" s="13">
        <x:f>IF($C142="","",IF($BK142&gt;0,"REJECT",IF(COUNTIF($AS142:$BI142,FALSE)=0,"ACCEPT",IF($BJ142&gt;=85,"ACCEPT WITH SORTING / DISCOUNT","REJECT"))))</x:f>
      </x:c>
    </x:row>
    <x:row r="143" ht="24" customHeight="1">
      <x:c r="A143" s="10" t="n"/>
      <x:c r="B143" s="11" t="n"/>
      <x:c r="C143" s="11" t="n"/>
      <x:c r="D143" s="11" t="n"/>
      <x:c r="E143" s="11" t="n"/>
      <x:c r="F143" s="11" t="n"/>
      <x:c r="G143" s="11" t="n"/>
      <x:c r="H143" s="11" t="n"/>
      <x:c r="I143" s="12" t="n"/>
      <x:c r="J143" s="12" t="n"/>
      <x:c r="K143" s="12" t="n"/>
      <x:c r="L143" s="12" t="n"/>
      <x:c r="M143" s="12" t="n"/>
      <x:c r="N143" s="12" t="n"/>
      <x:c r="O143" s="12" t="n"/>
      <x:c r="P143" s="11" t="n"/>
      <x:c r="Q143" s="11" t="n"/>
      <x:c r="R143" s="11" t="n"/>
      <x:c r="S143" s="11" t="n"/>
      <x:c r="T143" s="11" t="n"/>
      <x:c r="U143" s="12" t="n"/>
      <x:c r="V143" s="12" t="n"/>
      <x:c r="W143" s="12" t="n"/>
      <x:c r="X143" s="12" t="n"/>
      <x:c r="Y143" s="12" t="n"/>
      <x:c r="Z143" s="13">
        <x:f>IF($C143="","",VLOOKUP($C143,Config!$A$2:$Y$4,2,FALSE))</x:f>
      </x:c>
      <x:c r="AA143" s="13">
        <x:f>IF($C143="","",VLOOKUP($C143,Config!$A$2:$Y$4,5,FALSE))</x:f>
      </x:c>
      <x:c r="AB143" s="14">
        <x:f>IF($C143="","",VLOOKUP($C143,Config!$A$2:$Y$4,7,FALSE))</x:f>
      </x:c>
      <x:c r="AC143" s="14">
        <x:f>IF($C143="","",VLOOKUP($C143,Config!$A$2:$Y$4,8,FALSE))</x:f>
      </x:c>
      <x:c r="AD143" s="14">
        <x:f>IF($C143="","",VLOOKUP($C143,Config!$A$2:$Y$4,9,FALSE))</x:f>
      </x:c>
      <x:c r="AE143" s="14">
        <x:f>IF($C143="","",VLOOKUP($C143,Config!$A$2:$Y$4,10,FALSE))</x:f>
      </x:c>
      <x:c r="AF143" s="14">
        <x:f>IF($C143="","",VLOOKUP($C143,Config!$A$2:$Y$4,11,FALSE))</x:f>
      </x:c>
      <x:c r="AG143" s="14">
        <x:f>IF($C143="","",VLOOKUP($C143,Config!$A$2:$Y$4,12,FALSE))</x:f>
      </x:c>
      <x:c r="AH143" s="14">
        <x:f>IF($C143="","",VLOOKUP($C143,Config!$A$2:$Y$4,13,FALSE))</x:f>
      </x:c>
      <x:c r="AI143" s="14">
        <x:f>IF($C143="","",VLOOKUP($C143,Config!$A$2:$Y$4,14,FALSE))</x:f>
      </x:c>
      <x:c r="AJ143" s="14">
        <x:f>IF($C143="","",VLOOKUP($C143,Config!$A$2:$Y$4,15,FALSE))</x:f>
      </x:c>
      <x:c r="AK143" s="14">
        <x:f>IF($C143="","",VLOOKUP($C143,Config!$A$2:$Y$4,16,FALSE))</x:f>
      </x:c>
      <x:c r="AL143" s="14">
        <x:f>IF($C143="","",VLOOKUP($C143,Config!$A$2:$Y$4,17,FALSE))</x:f>
      </x:c>
      <x:c r="AM143" s="14">
        <x:f>IF($C143="","",VLOOKUP($C143,Config!$A$2:$Y$4,18,FALSE))</x:f>
      </x:c>
      <x:c r="AN143" s="14">
        <x:f>IF($C143="","",VLOOKUP($C143,Config!$A$2:$Y$4,19,FALSE))</x:f>
      </x:c>
      <x:c r="AO143" s="14">
        <x:f>IF($C143="","",VLOOKUP($C143,Config!$A$2:$Y$4,20,FALSE))</x:f>
      </x:c>
      <x:c r="AP143" s="14">
        <x:f>IF($C143="","",VLOOKUP($C143,Config!$A$2:$Y$4,21,FALSE))</x:f>
      </x:c>
      <x:c r="AQ143" s="14">
        <x:f>IF($C143="","",VLOOKUP($C143,Config!$A$2:$Y$4,22,FALSE))</x:f>
      </x:c>
      <x:c r="AR143" s="14">
        <x:f>IF($C143="","",VLOOKUP($C143,Config!$A$2:$Y$4,23,FALSE))</x:f>
      </x:c>
      <x:c r="AS143" s="13">
        <x:f>IF($C143="","",IF($H143="Extra",3,IF($H143="I",2,IF($H143="II",1,0)))&gt;=IF($AA143="Extra",3,IF($AA143="I",2,IF($AA143="II",1,0))))</x:f>
      </x:c>
      <x:c r="AT143" s="13">
        <x:f>IF($C143="","",IF($I143="",FALSE,$I143&gt;=$AB143))</x:f>
      </x:c>
      <x:c r="AU143" s="13">
        <x:f>IF($C143="","",IF($AC143="",TRUE,IF($J143="",FALSE,$J143&lt;=$AC143)))</x:f>
      </x:c>
      <x:c r="AV143" s="13">
        <x:f>IF($C143="","",IF($AD143="",TRUE,IF($K143="",FALSE,$K143&lt;=$AD143)))</x:f>
      </x:c>
      <x:c r="AW143" s="13">
        <x:f>IF($C143="","",IF($AE143="",TRUE,IF($L143="",FALSE,$L143&lt;=$AE143)))</x:f>
      </x:c>
      <x:c r="AX143" s="13">
        <x:f>IF($C143="","",IF($AF143="",TRUE,IF($M143="",FALSE,$M143&lt;=$AF143)))</x:f>
      </x:c>
      <x:c r="AY143" s="13">
        <x:f>IF($C143="","",IF($AG143="",TRUE,IF($N143="",FALSE,$N143&gt;=$AG143)))</x:f>
      </x:c>
      <x:c r="AZ143" s="13">
        <x:f>IF($C143="","",IF(OR($AH143="",$AI143=""),TRUE,IF($O143="",FALSE,AND($O143&gt;=$AH143,$O143&lt;=$AI143))))</x:f>
      </x:c>
      <x:c r="BA143" s="13">
        <x:f>IF($C143="","",IF($AJ143="Y",$P143="Y",TRUE))</x:f>
      </x:c>
      <x:c r="BB143" s="13">
        <x:f>IF($C143="","",IF($AK143="Y",$Q143="Y",TRUE))</x:f>
      </x:c>
      <x:c r="BC143" s="13">
        <x:f>IF($C143="","",IF($AL143="Y",$R143="Y",TRUE))</x:f>
      </x:c>
      <x:c r="BD143" s="13">
        <x:f>IF($C143="","",IF($AM143="Y",$S143="Y",TRUE))</x:f>
      </x:c>
      <x:c r="BE143" s="13">
        <x:f>IF($C143="","",IF($AN143="Y",$T143="Y",TRUE))</x:f>
      </x:c>
      <x:c r="BF143" s="13">
        <x:f>IF($C143="","",IF($AO143="",TRUE,IF($U143="",FALSE,$U143&lt;=$AO143)))</x:f>
      </x:c>
      <x:c r="BG143" s="13">
        <x:f>IF($C143="","",IF($AP143="",TRUE,IF($V143="",FALSE,$V143&lt;=$AP143)))</x:f>
      </x:c>
      <x:c r="BH143" s="13">
        <x:f>IF($C143="","",IF($AQ143="",TRUE,IF($W143="",FALSE,$W143&lt;=$AQ143)))</x:f>
      </x:c>
      <x:c r="BI143" s="13">
        <x:f>IF($C143="","",IF($AR143="",TRUE,IF($X143="",FALSE,$X143&lt;=$AR143)))</x:f>
      </x:c>
      <x:c r="BJ143" s="15">
        <x:f>IF($C143="","",IF($Y143="",0,$Y143)+IF($AS143,10,0)+IF($AT143,8,0)+IF($AU143,5,0)+IF($AV143,8,0)+IF($AW143,15,0)+IF($AX143,4,0)+IF($AY143,5,0)+IF($AZ143,10,0)+IF($BA143,8,0)+IF($BB143,4,0)+IF($BC143,6,0)+IF($BD143,3,0)+IF($BE143,2,0)+IF($BF143,2,0)+IF($BG143,2,0)+IF($BH143,2,0)+IF($BI143,1,0))</x:f>
      </x:c>
      <x:c r="BK143" s="15">
        <x:f>IF($C143="","",IF(NOT($AS143),1,0)+IF(NOT($AW143),1,0)+IF(NOT($AZ143),1,0)+IF(NOT($BA143),1,0)+IF(NOT($BB143),1,0)+IF(NOT($BC143),1,0))</x:f>
      </x:c>
      <x:c r="BL143" s="13">
        <x:f>IF($C143="","",IF($BK143&gt;0,"REJECT",IF(COUNTIF($AS143:$BI143,FALSE)=0,"ACCEPT",IF($BJ143&gt;=85,"ACCEPT WITH SORTING / DISCOUNT","REJECT"))))</x:f>
      </x:c>
    </x:row>
    <x:row r="144" ht="24" customHeight="1">
      <x:c r="A144" s="10" t="n"/>
      <x:c r="B144" s="11" t="n"/>
      <x:c r="C144" s="11" t="n"/>
      <x:c r="D144" s="11" t="n"/>
      <x:c r="E144" s="11" t="n"/>
      <x:c r="F144" s="11" t="n"/>
      <x:c r="G144" s="11" t="n"/>
      <x:c r="H144" s="11" t="n"/>
      <x:c r="I144" s="12" t="n"/>
      <x:c r="J144" s="12" t="n"/>
      <x:c r="K144" s="12" t="n"/>
      <x:c r="L144" s="12" t="n"/>
      <x:c r="M144" s="12" t="n"/>
      <x:c r="N144" s="12" t="n"/>
      <x:c r="O144" s="12" t="n"/>
      <x:c r="P144" s="11" t="n"/>
      <x:c r="Q144" s="11" t="n"/>
      <x:c r="R144" s="11" t="n"/>
      <x:c r="S144" s="11" t="n"/>
      <x:c r="T144" s="11" t="n"/>
      <x:c r="U144" s="12" t="n"/>
      <x:c r="V144" s="12" t="n"/>
      <x:c r="W144" s="12" t="n"/>
      <x:c r="X144" s="12" t="n"/>
      <x:c r="Y144" s="12" t="n"/>
      <x:c r="Z144" s="13">
        <x:f>IF($C144="","",VLOOKUP($C144,Config!$A$2:$Y$4,2,FALSE))</x:f>
      </x:c>
      <x:c r="AA144" s="13">
        <x:f>IF($C144="","",VLOOKUP($C144,Config!$A$2:$Y$4,5,FALSE))</x:f>
      </x:c>
      <x:c r="AB144" s="14">
        <x:f>IF($C144="","",VLOOKUP($C144,Config!$A$2:$Y$4,7,FALSE))</x:f>
      </x:c>
      <x:c r="AC144" s="14">
        <x:f>IF($C144="","",VLOOKUP($C144,Config!$A$2:$Y$4,8,FALSE))</x:f>
      </x:c>
      <x:c r="AD144" s="14">
        <x:f>IF($C144="","",VLOOKUP($C144,Config!$A$2:$Y$4,9,FALSE))</x:f>
      </x:c>
      <x:c r="AE144" s="14">
        <x:f>IF($C144="","",VLOOKUP($C144,Config!$A$2:$Y$4,10,FALSE))</x:f>
      </x:c>
      <x:c r="AF144" s="14">
        <x:f>IF($C144="","",VLOOKUP($C144,Config!$A$2:$Y$4,11,FALSE))</x:f>
      </x:c>
      <x:c r="AG144" s="14">
        <x:f>IF($C144="","",VLOOKUP($C144,Config!$A$2:$Y$4,12,FALSE))</x:f>
      </x:c>
      <x:c r="AH144" s="14">
        <x:f>IF($C144="","",VLOOKUP($C144,Config!$A$2:$Y$4,13,FALSE))</x:f>
      </x:c>
      <x:c r="AI144" s="14">
        <x:f>IF($C144="","",VLOOKUP($C144,Config!$A$2:$Y$4,14,FALSE))</x:f>
      </x:c>
      <x:c r="AJ144" s="14">
        <x:f>IF($C144="","",VLOOKUP($C144,Config!$A$2:$Y$4,15,FALSE))</x:f>
      </x:c>
      <x:c r="AK144" s="14">
        <x:f>IF($C144="","",VLOOKUP($C144,Config!$A$2:$Y$4,16,FALSE))</x:f>
      </x:c>
      <x:c r="AL144" s="14">
        <x:f>IF($C144="","",VLOOKUP($C144,Config!$A$2:$Y$4,17,FALSE))</x:f>
      </x:c>
      <x:c r="AM144" s="14">
        <x:f>IF($C144="","",VLOOKUP($C144,Config!$A$2:$Y$4,18,FALSE))</x:f>
      </x:c>
      <x:c r="AN144" s="14">
        <x:f>IF($C144="","",VLOOKUP($C144,Config!$A$2:$Y$4,19,FALSE))</x:f>
      </x:c>
      <x:c r="AO144" s="14">
        <x:f>IF($C144="","",VLOOKUP($C144,Config!$A$2:$Y$4,20,FALSE))</x:f>
      </x:c>
      <x:c r="AP144" s="14">
        <x:f>IF($C144="","",VLOOKUP($C144,Config!$A$2:$Y$4,21,FALSE))</x:f>
      </x:c>
      <x:c r="AQ144" s="14">
        <x:f>IF($C144="","",VLOOKUP($C144,Config!$A$2:$Y$4,22,FALSE))</x:f>
      </x:c>
      <x:c r="AR144" s="14">
        <x:f>IF($C144="","",VLOOKUP($C144,Config!$A$2:$Y$4,23,FALSE))</x:f>
      </x:c>
      <x:c r="AS144" s="13">
        <x:f>IF($C144="","",IF($H144="Extra",3,IF($H144="I",2,IF($H144="II",1,0)))&gt;=IF($AA144="Extra",3,IF($AA144="I",2,IF($AA144="II",1,0))))</x:f>
      </x:c>
      <x:c r="AT144" s="13">
        <x:f>IF($C144="","",IF($I144="",FALSE,$I144&gt;=$AB144))</x:f>
      </x:c>
      <x:c r="AU144" s="13">
        <x:f>IF($C144="","",IF($AC144="",TRUE,IF($J144="",FALSE,$J144&lt;=$AC144)))</x:f>
      </x:c>
      <x:c r="AV144" s="13">
        <x:f>IF($C144="","",IF($AD144="",TRUE,IF($K144="",FALSE,$K144&lt;=$AD144)))</x:f>
      </x:c>
      <x:c r="AW144" s="13">
        <x:f>IF($C144="","",IF($AE144="",TRUE,IF($L144="",FALSE,$L144&lt;=$AE144)))</x:f>
      </x:c>
      <x:c r="AX144" s="13">
        <x:f>IF($C144="","",IF($AF144="",TRUE,IF($M144="",FALSE,$M144&lt;=$AF144)))</x:f>
      </x:c>
      <x:c r="AY144" s="13">
        <x:f>IF($C144="","",IF($AG144="",TRUE,IF($N144="",FALSE,$N144&gt;=$AG144)))</x:f>
      </x:c>
      <x:c r="AZ144" s="13">
        <x:f>IF($C144="","",IF(OR($AH144="",$AI144=""),TRUE,IF($O144="",FALSE,AND($O144&gt;=$AH144,$O144&lt;=$AI144))))</x:f>
      </x:c>
      <x:c r="BA144" s="13">
        <x:f>IF($C144="","",IF($AJ144="Y",$P144="Y",TRUE))</x:f>
      </x:c>
      <x:c r="BB144" s="13">
        <x:f>IF($C144="","",IF($AK144="Y",$Q144="Y",TRUE))</x:f>
      </x:c>
      <x:c r="BC144" s="13">
        <x:f>IF($C144="","",IF($AL144="Y",$R144="Y",TRUE))</x:f>
      </x:c>
      <x:c r="BD144" s="13">
        <x:f>IF($C144="","",IF($AM144="Y",$S144="Y",TRUE))</x:f>
      </x:c>
      <x:c r="BE144" s="13">
        <x:f>IF($C144="","",IF($AN144="Y",$T144="Y",TRUE))</x:f>
      </x:c>
      <x:c r="BF144" s="13">
        <x:f>IF($C144="","",IF($AO144="",TRUE,IF($U144="",FALSE,$U144&lt;=$AO144)))</x:f>
      </x:c>
      <x:c r="BG144" s="13">
        <x:f>IF($C144="","",IF($AP144="",TRUE,IF($V144="",FALSE,$V144&lt;=$AP144)))</x:f>
      </x:c>
      <x:c r="BH144" s="13">
        <x:f>IF($C144="","",IF($AQ144="",TRUE,IF($W144="",FALSE,$W144&lt;=$AQ144)))</x:f>
      </x:c>
      <x:c r="BI144" s="13">
        <x:f>IF($C144="","",IF($AR144="",TRUE,IF($X144="",FALSE,$X144&lt;=$AR144)))</x:f>
      </x:c>
      <x:c r="BJ144" s="15">
        <x:f>IF($C144="","",IF($Y144="",0,$Y144)+IF($AS144,10,0)+IF($AT144,8,0)+IF($AU144,5,0)+IF($AV144,8,0)+IF($AW144,15,0)+IF($AX144,4,0)+IF($AY144,5,0)+IF($AZ144,10,0)+IF($BA144,8,0)+IF($BB144,4,0)+IF($BC144,6,0)+IF($BD144,3,0)+IF($BE144,2,0)+IF($BF144,2,0)+IF($BG144,2,0)+IF($BH144,2,0)+IF($BI144,1,0))</x:f>
      </x:c>
      <x:c r="BK144" s="15">
        <x:f>IF($C144="","",IF(NOT($AS144),1,0)+IF(NOT($AW144),1,0)+IF(NOT($AZ144),1,0)+IF(NOT($BA144),1,0)+IF(NOT($BB144),1,0)+IF(NOT($BC144),1,0))</x:f>
      </x:c>
      <x:c r="BL144" s="13">
        <x:f>IF($C144="","",IF($BK144&gt;0,"REJECT",IF(COUNTIF($AS144:$BI144,FALSE)=0,"ACCEPT",IF($BJ144&gt;=85,"ACCEPT WITH SORTING / DISCOUNT","REJECT"))))</x:f>
      </x:c>
    </x:row>
    <x:row r="145" ht="24" customHeight="1">
      <x:c r="A145" s="10" t="n"/>
      <x:c r="B145" s="11" t="n"/>
      <x:c r="C145" s="11" t="n"/>
      <x:c r="D145" s="11" t="n"/>
      <x:c r="E145" s="11" t="n"/>
      <x:c r="F145" s="11" t="n"/>
      <x:c r="G145" s="11" t="n"/>
      <x:c r="H145" s="11" t="n"/>
      <x:c r="I145" s="12" t="n"/>
      <x:c r="J145" s="12" t="n"/>
      <x:c r="K145" s="12" t="n"/>
      <x:c r="L145" s="12" t="n"/>
      <x:c r="M145" s="12" t="n"/>
      <x:c r="N145" s="12" t="n"/>
      <x:c r="O145" s="12" t="n"/>
      <x:c r="P145" s="11" t="n"/>
      <x:c r="Q145" s="11" t="n"/>
      <x:c r="R145" s="11" t="n"/>
      <x:c r="S145" s="11" t="n"/>
      <x:c r="T145" s="11" t="n"/>
      <x:c r="U145" s="12" t="n"/>
      <x:c r="V145" s="12" t="n"/>
      <x:c r="W145" s="12" t="n"/>
      <x:c r="X145" s="12" t="n"/>
      <x:c r="Y145" s="12" t="n"/>
      <x:c r="Z145" s="13">
        <x:f>IF($C145="","",VLOOKUP($C145,Config!$A$2:$Y$4,2,FALSE))</x:f>
      </x:c>
      <x:c r="AA145" s="13">
        <x:f>IF($C145="","",VLOOKUP($C145,Config!$A$2:$Y$4,5,FALSE))</x:f>
      </x:c>
      <x:c r="AB145" s="14">
        <x:f>IF($C145="","",VLOOKUP($C145,Config!$A$2:$Y$4,7,FALSE))</x:f>
      </x:c>
      <x:c r="AC145" s="14">
        <x:f>IF($C145="","",VLOOKUP($C145,Config!$A$2:$Y$4,8,FALSE))</x:f>
      </x:c>
      <x:c r="AD145" s="14">
        <x:f>IF($C145="","",VLOOKUP($C145,Config!$A$2:$Y$4,9,FALSE))</x:f>
      </x:c>
      <x:c r="AE145" s="14">
        <x:f>IF($C145="","",VLOOKUP($C145,Config!$A$2:$Y$4,10,FALSE))</x:f>
      </x:c>
      <x:c r="AF145" s="14">
        <x:f>IF($C145="","",VLOOKUP($C145,Config!$A$2:$Y$4,11,FALSE))</x:f>
      </x:c>
      <x:c r="AG145" s="14">
        <x:f>IF($C145="","",VLOOKUP($C145,Config!$A$2:$Y$4,12,FALSE))</x:f>
      </x:c>
      <x:c r="AH145" s="14">
        <x:f>IF($C145="","",VLOOKUP($C145,Config!$A$2:$Y$4,13,FALSE))</x:f>
      </x:c>
      <x:c r="AI145" s="14">
        <x:f>IF($C145="","",VLOOKUP($C145,Config!$A$2:$Y$4,14,FALSE))</x:f>
      </x:c>
      <x:c r="AJ145" s="14">
        <x:f>IF($C145="","",VLOOKUP($C145,Config!$A$2:$Y$4,15,FALSE))</x:f>
      </x:c>
      <x:c r="AK145" s="14">
        <x:f>IF($C145="","",VLOOKUP($C145,Config!$A$2:$Y$4,16,FALSE))</x:f>
      </x:c>
      <x:c r="AL145" s="14">
        <x:f>IF($C145="","",VLOOKUP($C145,Config!$A$2:$Y$4,17,FALSE))</x:f>
      </x:c>
      <x:c r="AM145" s="14">
        <x:f>IF($C145="","",VLOOKUP($C145,Config!$A$2:$Y$4,18,FALSE))</x:f>
      </x:c>
      <x:c r="AN145" s="14">
        <x:f>IF($C145="","",VLOOKUP($C145,Config!$A$2:$Y$4,19,FALSE))</x:f>
      </x:c>
      <x:c r="AO145" s="14">
        <x:f>IF($C145="","",VLOOKUP($C145,Config!$A$2:$Y$4,20,FALSE))</x:f>
      </x:c>
      <x:c r="AP145" s="14">
        <x:f>IF($C145="","",VLOOKUP($C145,Config!$A$2:$Y$4,21,FALSE))</x:f>
      </x:c>
      <x:c r="AQ145" s="14">
        <x:f>IF($C145="","",VLOOKUP($C145,Config!$A$2:$Y$4,22,FALSE))</x:f>
      </x:c>
      <x:c r="AR145" s="14">
        <x:f>IF($C145="","",VLOOKUP($C145,Config!$A$2:$Y$4,23,FALSE))</x:f>
      </x:c>
      <x:c r="AS145" s="13">
        <x:f>IF($C145="","",IF($H145="Extra",3,IF($H145="I",2,IF($H145="II",1,0)))&gt;=IF($AA145="Extra",3,IF($AA145="I",2,IF($AA145="II",1,0))))</x:f>
      </x:c>
      <x:c r="AT145" s="13">
        <x:f>IF($C145="","",IF($I145="",FALSE,$I145&gt;=$AB145))</x:f>
      </x:c>
      <x:c r="AU145" s="13">
        <x:f>IF($C145="","",IF($AC145="",TRUE,IF($J145="",FALSE,$J145&lt;=$AC145)))</x:f>
      </x:c>
      <x:c r="AV145" s="13">
        <x:f>IF($C145="","",IF($AD145="",TRUE,IF($K145="",FALSE,$K145&lt;=$AD145)))</x:f>
      </x:c>
      <x:c r="AW145" s="13">
        <x:f>IF($C145="","",IF($AE145="",TRUE,IF($L145="",FALSE,$L145&lt;=$AE145)))</x:f>
      </x:c>
      <x:c r="AX145" s="13">
        <x:f>IF($C145="","",IF($AF145="",TRUE,IF($M145="",FALSE,$M145&lt;=$AF145)))</x:f>
      </x:c>
      <x:c r="AY145" s="13">
        <x:f>IF($C145="","",IF($AG145="",TRUE,IF($N145="",FALSE,$N145&gt;=$AG145)))</x:f>
      </x:c>
      <x:c r="AZ145" s="13">
        <x:f>IF($C145="","",IF(OR($AH145="",$AI145=""),TRUE,IF($O145="",FALSE,AND($O145&gt;=$AH145,$O145&lt;=$AI145))))</x:f>
      </x:c>
      <x:c r="BA145" s="13">
        <x:f>IF($C145="","",IF($AJ145="Y",$P145="Y",TRUE))</x:f>
      </x:c>
      <x:c r="BB145" s="13">
        <x:f>IF($C145="","",IF($AK145="Y",$Q145="Y",TRUE))</x:f>
      </x:c>
      <x:c r="BC145" s="13">
        <x:f>IF($C145="","",IF($AL145="Y",$R145="Y",TRUE))</x:f>
      </x:c>
      <x:c r="BD145" s="13">
        <x:f>IF($C145="","",IF($AM145="Y",$S145="Y",TRUE))</x:f>
      </x:c>
      <x:c r="BE145" s="13">
        <x:f>IF($C145="","",IF($AN145="Y",$T145="Y",TRUE))</x:f>
      </x:c>
      <x:c r="BF145" s="13">
        <x:f>IF($C145="","",IF($AO145="",TRUE,IF($U145="",FALSE,$U145&lt;=$AO145)))</x:f>
      </x:c>
      <x:c r="BG145" s="13">
        <x:f>IF($C145="","",IF($AP145="",TRUE,IF($V145="",FALSE,$V145&lt;=$AP145)))</x:f>
      </x:c>
      <x:c r="BH145" s="13">
        <x:f>IF($C145="","",IF($AQ145="",TRUE,IF($W145="",FALSE,$W145&lt;=$AQ145)))</x:f>
      </x:c>
      <x:c r="BI145" s="13">
        <x:f>IF($C145="","",IF($AR145="",TRUE,IF($X145="",FALSE,$X145&lt;=$AR145)))</x:f>
      </x:c>
      <x:c r="BJ145" s="15">
        <x:f>IF($C145="","",IF($Y145="",0,$Y145)+IF($AS145,10,0)+IF($AT145,8,0)+IF($AU145,5,0)+IF($AV145,8,0)+IF($AW145,15,0)+IF($AX145,4,0)+IF($AY145,5,0)+IF($AZ145,10,0)+IF($BA145,8,0)+IF($BB145,4,0)+IF($BC145,6,0)+IF($BD145,3,0)+IF($BE145,2,0)+IF($BF145,2,0)+IF($BG145,2,0)+IF($BH145,2,0)+IF($BI145,1,0))</x:f>
      </x:c>
      <x:c r="BK145" s="15">
        <x:f>IF($C145="","",IF(NOT($AS145),1,0)+IF(NOT($AW145),1,0)+IF(NOT($AZ145),1,0)+IF(NOT($BA145),1,0)+IF(NOT($BB145),1,0)+IF(NOT($BC145),1,0))</x:f>
      </x:c>
      <x:c r="BL145" s="13">
        <x:f>IF($C145="","",IF($BK145&gt;0,"REJECT",IF(COUNTIF($AS145:$BI145,FALSE)=0,"ACCEPT",IF($BJ145&gt;=85,"ACCEPT WITH SORTING / DISCOUNT","REJECT"))))</x:f>
      </x:c>
    </x:row>
    <x:row r="146" ht="24" customHeight="1">
      <x:c r="A146" s="10" t="n"/>
      <x:c r="B146" s="11" t="n"/>
      <x:c r="C146" s="11" t="n"/>
      <x:c r="D146" s="11" t="n"/>
      <x:c r="E146" s="11" t="n"/>
      <x:c r="F146" s="11" t="n"/>
      <x:c r="G146" s="11" t="n"/>
      <x:c r="H146" s="11" t="n"/>
      <x:c r="I146" s="12" t="n"/>
      <x:c r="J146" s="12" t="n"/>
      <x:c r="K146" s="12" t="n"/>
      <x:c r="L146" s="12" t="n"/>
      <x:c r="M146" s="12" t="n"/>
      <x:c r="N146" s="12" t="n"/>
      <x:c r="O146" s="12" t="n"/>
      <x:c r="P146" s="11" t="n"/>
      <x:c r="Q146" s="11" t="n"/>
      <x:c r="R146" s="11" t="n"/>
      <x:c r="S146" s="11" t="n"/>
      <x:c r="T146" s="11" t="n"/>
      <x:c r="U146" s="12" t="n"/>
      <x:c r="V146" s="12" t="n"/>
      <x:c r="W146" s="12" t="n"/>
      <x:c r="X146" s="12" t="n"/>
      <x:c r="Y146" s="12" t="n"/>
      <x:c r="Z146" s="13">
        <x:f>IF($C146="","",VLOOKUP($C146,Config!$A$2:$Y$4,2,FALSE))</x:f>
      </x:c>
      <x:c r="AA146" s="13">
        <x:f>IF($C146="","",VLOOKUP($C146,Config!$A$2:$Y$4,5,FALSE))</x:f>
      </x:c>
      <x:c r="AB146" s="14">
        <x:f>IF($C146="","",VLOOKUP($C146,Config!$A$2:$Y$4,7,FALSE))</x:f>
      </x:c>
      <x:c r="AC146" s="14">
        <x:f>IF($C146="","",VLOOKUP($C146,Config!$A$2:$Y$4,8,FALSE))</x:f>
      </x:c>
      <x:c r="AD146" s="14">
        <x:f>IF($C146="","",VLOOKUP($C146,Config!$A$2:$Y$4,9,FALSE))</x:f>
      </x:c>
      <x:c r="AE146" s="14">
        <x:f>IF($C146="","",VLOOKUP($C146,Config!$A$2:$Y$4,10,FALSE))</x:f>
      </x:c>
      <x:c r="AF146" s="14">
        <x:f>IF($C146="","",VLOOKUP($C146,Config!$A$2:$Y$4,11,FALSE))</x:f>
      </x:c>
      <x:c r="AG146" s="14">
        <x:f>IF($C146="","",VLOOKUP($C146,Config!$A$2:$Y$4,12,FALSE))</x:f>
      </x:c>
      <x:c r="AH146" s="14">
        <x:f>IF($C146="","",VLOOKUP($C146,Config!$A$2:$Y$4,13,FALSE))</x:f>
      </x:c>
      <x:c r="AI146" s="14">
        <x:f>IF($C146="","",VLOOKUP($C146,Config!$A$2:$Y$4,14,FALSE))</x:f>
      </x:c>
      <x:c r="AJ146" s="14">
        <x:f>IF($C146="","",VLOOKUP($C146,Config!$A$2:$Y$4,15,FALSE))</x:f>
      </x:c>
      <x:c r="AK146" s="14">
        <x:f>IF($C146="","",VLOOKUP($C146,Config!$A$2:$Y$4,16,FALSE))</x:f>
      </x:c>
      <x:c r="AL146" s="14">
        <x:f>IF($C146="","",VLOOKUP($C146,Config!$A$2:$Y$4,17,FALSE))</x:f>
      </x:c>
      <x:c r="AM146" s="14">
        <x:f>IF($C146="","",VLOOKUP($C146,Config!$A$2:$Y$4,18,FALSE))</x:f>
      </x:c>
      <x:c r="AN146" s="14">
        <x:f>IF($C146="","",VLOOKUP($C146,Config!$A$2:$Y$4,19,FALSE))</x:f>
      </x:c>
      <x:c r="AO146" s="14">
        <x:f>IF($C146="","",VLOOKUP($C146,Config!$A$2:$Y$4,20,FALSE))</x:f>
      </x:c>
      <x:c r="AP146" s="14">
        <x:f>IF($C146="","",VLOOKUP($C146,Config!$A$2:$Y$4,21,FALSE))</x:f>
      </x:c>
      <x:c r="AQ146" s="14">
        <x:f>IF($C146="","",VLOOKUP($C146,Config!$A$2:$Y$4,22,FALSE))</x:f>
      </x:c>
      <x:c r="AR146" s="14">
        <x:f>IF($C146="","",VLOOKUP($C146,Config!$A$2:$Y$4,23,FALSE))</x:f>
      </x:c>
      <x:c r="AS146" s="13">
        <x:f>IF($C146="","",IF($H146="Extra",3,IF($H146="I",2,IF($H146="II",1,0)))&gt;=IF($AA146="Extra",3,IF($AA146="I",2,IF($AA146="II",1,0))))</x:f>
      </x:c>
      <x:c r="AT146" s="13">
        <x:f>IF($C146="","",IF($I146="",FALSE,$I146&gt;=$AB146))</x:f>
      </x:c>
      <x:c r="AU146" s="13">
        <x:f>IF($C146="","",IF($AC146="",TRUE,IF($J146="",FALSE,$J146&lt;=$AC146)))</x:f>
      </x:c>
      <x:c r="AV146" s="13">
        <x:f>IF($C146="","",IF($AD146="",TRUE,IF($K146="",FALSE,$K146&lt;=$AD146)))</x:f>
      </x:c>
      <x:c r="AW146" s="13">
        <x:f>IF($C146="","",IF($AE146="",TRUE,IF($L146="",FALSE,$L146&lt;=$AE146)))</x:f>
      </x:c>
      <x:c r="AX146" s="13">
        <x:f>IF($C146="","",IF($AF146="",TRUE,IF($M146="",FALSE,$M146&lt;=$AF146)))</x:f>
      </x:c>
      <x:c r="AY146" s="13">
        <x:f>IF($C146="","",IF($AG146="",TRUE,IF($N146="",FALSE,$N146&gt;=$AG146)))</x:f>
      </x:c>
      <x:c r="AZ146" s="13">
        <x:f>IF($C146="","",IF(OR($AH146="",$AI146=""),TRUE,IF($O146="",FALSE,AND($O146&gt;=$AH146,$O146&lt;=$AI146))))</x:f>
      </x:c>
      <x:c r="BA146" s="13">
        <x:f>IF($C146="","",IF($AJ146="Y",$P146="Y",TRUE))</x:f>
      </x:c>
      <x:c r="BB146" s="13">
        <x:f>IF($C146="","",IF($AK146="Y",$Q146="Y",TRUE))</x:f>
      </x:c>
      <x:c r="BC146" s="13">
        <x:f>IF($C146="","",IF($AL146="Y",$R146="Y",TRUE))</x:f>
      </x:c>
      <x:c r="BD146" s="13">
        <x:f>IF($C146="","",IF($AM146="Y",$S146="Y",TRUE))</x:f>
      </x:c>
      <x:c r="BE146" s="13">
        <x:f>IF($C146="","",IF($AN146="Y",$T146="Y",TRUE))</x:f>
      </x:c>
      <x:c r="BF146" s="13">
        <x:f>IF($C146="","",IF($AO146="",TRUE,IF($U146="",FALSE,$U146&lt;=$AO146)))</x:f>
      </x:c>
      <x:c r="BG146" s="13">
        <x:f>IF($C146="","",IF($AP146="",TRUE,IF($V146="",FALSE,$V146&lt;=$AP146)))</x:f>
      </x:c>
      <x:c r="BH146" s="13">
        <x:f>IF($C146="","",IF($AQ146="",TRUE,IF($W146="",FALSE,$W146&lt;=$AQ146)))</x:f>
      </x:c>
      <x:c r="BI146" s="13">
        <x:f>IF($C146="","",IF($AR146="",TRUE,IF($X146="",FALSE,$X146&lt;=$AR146)))</x:f>
      </x:c>
      <x:c r="BJ146" s="15">
        <x:f>IF($C146="","",IF($Y146="",0,$Y146)+IF($AS146,10,0)+IF($AT146,8,0)+IF($AU146,5,0)+IF($AV146,8,0)+IF($AW146,15,0)+IF($AX146,4,0)+IF($AY146,5,0)+IF($AZ146,10,0)+IF($BA146,8,0)+IF($BB146,4,0)+IF($BC146,6,0)+IF($BD146,3,0)+IF($BE146,2,0)+IF($BF146,2,0)+IF($BG146,2,0)+IF($BH146,2,0)+IF($BI146,1,0))</x:f>
      </x:c>
      <x:c r="BK146" s="15">
        <x:f>IF($C146="","",IF(NOT($AS146),1,0)+IF(NOT($AW146),1,0)+IF(NOT($AZ146),1,0)+IF(NOT($BA146),1,0)+IF(NOT($BB146),1,0)+IF(NOT($BC146),1,0))</x:f>
      </x:c>
      <x:c r="BL146" s="13">
        <x:f>IF($C146="","",IF($BK146&gt;0,"REJECT",IF(COUNTIF($AS146:$BI146,FALSE)=0,"ACCEPT",IF($BJ146&gt;=85,"ACCEPT WITH SORTING / DISCOUNT","REJECT"))))</x:f>
      </x:c>
    </x:row>
    <x:row r="147" ht="24" customHeight="1">
      <x:c r="A147" s="10" t="n"/>
      <x:c r="B147" s="11" t="n"/>
      <x:c r="C147" s="11" t="n"/>
      <x:c r="D147" s="11" t="n"/>
      <x:c r="E147" s="11" t="n"/>
      <x:c r="F147" s="11" t="n"/>
      <x:c r="G147" s="11" t="n"/>
      <x:c r="H147" s="11" t="n"/>
      <x:c r="I147" s="12" t="n"/>
      <x:c r="J147" s="12" t="n"/>
      <x:c r="K147" s="12" t="n"/>
      <x:c r="L147" s="12" t="n"/>
      <x:c r="M147" s="12" t="n"/>
      <x:c r="N147" s="12" t="n"/>
      <x:c r="O147" s="12" t="n"/>
      <x:c r="P147" s="11" t="n"/>
      <x:c r="Q147" s="11" t="n"/>
      <x:c r="R147" s="11" t="n"/>
      <x:c r="S147" s="11" t="n"/>
      <x:c r="T147" s="11" t="n"/>
      <x:c r="U147" s="12" t="n"/>
      <x:c r="V147" s="12" t="n"/>
      <x:c r="W147" s="12" t="n"/>
      <x:c r="X147" s="12" t="n"/>
      <x:c r="Y147" s="12" t="n"/>
      <x:c r="Z147" s="13">
        <x:f>IF($C147="","",VLOOKUP($C147,Config!$A$2:$Y$4,2,FALSE))</x:f>
      </x:c>
      <x:c r="AA147" s="13">
        <x:f>IF($C147="","",VLOOKUP($C147,Config!$A$2:$Y$4,5,FALSE))</x:f>
      </x:c>
      <x:c r="AB147" s="14">
        <x:f>IF($C147="","",VLOOKUP($C147,Config!$A$2:$Y$4,7,FALSE))</x:f>
      </x:c>
      <x:c r="AC147" s="14">
        <x:f>IF($C147="","",VLOOKUP($C147,Config!$A$2:$Y$4,8,FALSE))</x:f>
      </x:c>
      <x:c r="AD147" s="14">
        <x:f>IF($C147="","",VLOOKUP($C147,Config!$A$2:$Y$4,9,FALSE))</x:f>
      </x:c>
      <x:c r="AE147" s="14">
        <x:f>IF($C147="","",VLOOKUP($C147,Config!$A$2:$Y$4,10,FALSE))</x:f>
      </x:c>
      <x:c r="AF147" s="14">
        <x:f>IF($C147="","",VLOOKUP($C147,Config!$A$2:$Y$4,11,FALSE))</x:f>
      </x:c>
      <x:c r="AG147" s="14">
        <x:f>IF($C147="","",VLOOKUP($C147,Config!$A$2:$Y$4,12,FALSE))</x:f>
      </x:c>
      <x:c r="AH147" s="14">
        <x:f>IF($C147="","",VLOOKUP($C147,Config!$A$2:$Y$4,13,FALSE))</x:f>
      </x:c>
      <x:c r="AI147" s="14">
        <x:f>IF($C147="","",VLOOKUP($C147,Config!$A$2:$Y$4,14,FALSE))</x:f>
      </x:c>
      <x:c r="AJ147" s="14">
        <x:f>IF($C147="","",VLOOKUP($C147,Config!$A$2:$Y$4,15,FALSE))</x:f>
      </x:c>
      <x:c r="AK147" s="14">
        <x:f>IF($C147="","",VLOOKUP($C147,Config!$A$2:$Y$4,16,FALSE))</x:f>
      </x:c>
      <x:c r="AL147" s="14">
        <x:f>IF($C147="","",VLOOKUP($C147,Config!$A$2:$Y$4,17,FALSE))</x:f>
      </x:c>
      <x:c r="AM147" s="14">
        <x:f>IF($C147="","",VLOOKUP($C147,Config!$A$2:$Y$4,18,FALSE))</x:f>
      </x:c>
      <x:c r="AN147" s="14">
        <x:f>IF($C147="","",VLOOKUP($C147,Config!$A$2:$Y$4,19,FALSE))</x:f>
      </x:c>
      <x:c r="AO147" s="14">
        <x:f>IF($C147="","",VLOOKUP($C147,Config!$A$2:$Y$4,20,FALSE))</x:f>
      </x:c>
      <x:c r="AP147" s="14">
        <x:f>IF($C147="","",VLOOKUP($C147,Config!$A$2:$Y$4,21,FALSE))</x:f>
      </x:c>
      <x:c r="AQ147" s="14">
        <x:f>IF($C147="","",VLOOKUP($C147,Config!$A$2:$Y$4,22,FALSE))</x:f>
      </x:c>
      <x:c r="AR147" s="14">
        <x:f>IF($C147="","",VLOOKUP($C147,Config!$A$2:$Y$4,23,FALSE))</x:f>
      </x:c>
      <x:c r="AS147" s="13">
        <x:f>IF($C147="","",IF($H147="Extra",3,IF($H147="I",2,IF($H147="II",1,0)))&gt;=IF($AA147="Extra",3,IF($AA147="I",2,IF($AA147="II",1,0))))</x:f>
      </x:c>
      <x:c r="AT147" s="13">
        <x:f>IF($C147="","",IF($I147="",FALSE,$I147&gt;=$AB147))</x:f>
      </x:c>
      <x:c r="AU147" s="13">
        <x:f>IF($C147="","",IF($AC147="",TRUE,IF($J147="",FALSE,$J147&lt;=$AC147)))</x:f>
      </x:c>
      <x:c r="AV147" s="13">
        <x:f>IF($C147="","",IF($AD147="",TRUE,IF($K147="",FALSE,$K147&lt;=$AD147)))</x:f>
      </x:c>
      <x:c r="AW147" s="13">
        <x:f>IF($C147="","",IF($AE147="",TRUE,IF($L147="",FALSE,$L147&lt;=$AE147)))</x:f>
      </x:c>
      <x:c r="AX147" s="13">
        <x:f>IF($C147="","",IF($AF147="",TRUE,IF($M147="",FALSE,$M147&lt;=$AF147)))</x:f>
      </x:c>
      <x:c r="AY147" s="13">
        <x:f>IF($C147="","",IF($AG147="",TRUE,IF($N147="",FALSE,$N147&gt;=$AG147)))</x:f>
      </x:c>
      <x:c r="AZ147" s="13">
        <x:f>IF($C147="","",IF(OR($AH147="",$AI147=""),TRUE,IF($O147="",FALSE,AND($O147&gt;=$AH147,$O147&lt;=$AI147))))</x:f>
      </x:c>
      <x:c r="BA147" s="13">
        <x:f>IF($C147="","",IF($AJ147="Y",$P147="Y",TRUE))</x:f>
      </x:c>
      <x:c r="BB147" s="13">
        <x:f>IF($C147="","",IF($AK147="Y",$Q147="Y",TRUE))</x:f>
      </x:c>
      <x:c r="BC147" s="13">
        <x:f>IF($C147="","",IF($AL147="Y",$R147="Y",TRUE))</x:f>
      </x:c>
      <x:c r="BD147" s="13">
        <x:f>IF($C147="","",IF($AM147="Y",$S147="Y",TRUE))</x:f>
      </x:c>
      <x:c r="BE147" s="13">
        <x:f>IF($C147="","",IF($AN147="Y",$T147="Y",TRUE))</x:f>
      </x:c>
      <x:c r="BF147" s="13">
        <x:f>IF($C147="","",IF($AO147="",TRUE,IF($U147="",FALSE,$U147&lt;=$AO147)))</x:f>
      </x:c>
      <x:c r="BG147" s="13">
        <x:f>IF($C147="","",IF($AP147="",TRUE,IF($V147="",FALSE,$V147&lt;=$AP147)))</x:f>
      </x:c>
      <x:c r="BH147" s="13">
        <x:f>IF($C147="","",IF($AQ147="",TRUE,IF($W147="",FALSE,$W147&lt;=$AQ147)))</x:f>
      </x:c>
      <x:c r="BI147" s="13">
        <x:f>IF($C147="","",IF($AR147="",TRUE,IF($X147="",FALSE,$X147&lt;=$AR147)))</x:f>
      </x:c>
      <x:c r="BJ147" s="15">
        <x:f>IF($C147="","",IF($Y147="",0,$Y147)+IF($AS147,10,0)+IF($AT147,8,0)+IF($AU147,5,0)+IF($AV147,8,0)+IF($AW147,15,0)+IF($AX147,4,0)+IF($AY147,5,0)+IF($AZ147,10,0)+IF($BA147,8,0)+IF($BB147,4,0)+IF($BC147,6,0)+IF($BD147,3,0)+IF($BE147,2,0)+IF($BF147,2,0)+IF($BG147,2,0)+IF($BH147,2,0)+IF($BI147,1,0))</x:f>
      </x:c>
      <x:c r="BK147" s="15">
        <x:f>IF($C147="","",IF(NOT($AS147),1,0)+IF(NOT($AW147),1,0)+IF(NOT($AZ147),1,0)+IF(NOT($BA147),1,0)+IF(NOT($BB147),1,0)+IF(NOT($BC147),1,0))</x:f>
      </x:c>
      <x:c r="BL147" s="13">
        <x:f>IF($C147="","",IF($BK147&gt;0,"REJECT",IF(COUNTIF($AS147:$BI147,FALSE)=0,"ACCEPT",IF($BJ147&gt;=85,"ACCEPT WITH SORTING / DISCOUNT","REJECT"))))</x:f>
      </x:c>
    </x:row>
    <x:row r="148" ht="24" customHeight="1">
      <x:c r="A148" s="10" t="n"/>
      <x:c r="B148" s="11" t="n"/>
      <x:c r="C148" s="11" t="n"/>
      <x:c r="D148" s="11" t="n"/>
      <x:c r="E148" s="11" t="n"/>
      <x:c r="F148" s="11" t="n"/>
      <x:c r="G148" s="11" t="n"/>
      <x:c r="H148" s="11" t="n"/>
      <x:c r="I148" s="12" t="n"/>
      <x:c r="J148" s="12" t="n"/>
      <x:c r="K148" s="12" t="n"/>
      <x:c r="L148" s="12" t="n"/>
      <x:c r="M148" s="12" t="n"/>
      <x:c r="N148" s="12" t="n"/>
      <x:c r="O148" s="12" t="n"/>
      <x:c r="P148" s="11" t="n"/>
      <x:c r="Q148" s="11" t="n"/>
      <x:c r="R148" s="11" t="n"/>
      <x:c r="S148" s="11" t="n"/>
      <x:c r="T148" s="11" t="n"/>
      <x:c r="U148" s="12" t="n"/>
      <x:c r="V148" s="12" t="n"/>
      <x:c r="W148" s="12" t="n"/>
      <x:c r="X148" s="12" t="n"/>
      <x:c r="Y148" s="12" t="n"/>
      <x:c r="Z148" s="13">
        <x:f>IF($C148="","",VLOOKUP($C148,Config!$A$2:$Y$4,2,FALSE))</x:f>
      </x:c>
      <x:c r="AA148" s="13">
        <x:f>IF($C148="","",VLOOKUP($C148,Config!$A$2:$Y$4,5,FALSE))</x:f>
      </x:c>
      <x:c r="AB148" s="14">
        <x:f>IF($C148="","",VLOOKUP($C148,Config!$A$2:$Y$4,7,FALSE))</x:f>
      </x:c>
      <x:c r="AC148" s="14">
        <x:f>IF($C148="","",VLOOKUP($C148,Config!$A$2:$Y$4,8,FALSE))</x:f>
      </x:c>
      <x:c r="AD148" s="14">
        <x:f>IF($C148="","",VLOOKUP($C148,Config!$A$2:$Y$4,9,FALSE))</x:f>
      </x:c>
      <x:c r="AE148" s="14">
        <x:f>IF($C148="","",VLOOKUP($C148,Config!$A$2:$Y$4,10,FALSE))</x:f>
      </x:c>
      <x:c r="AF148" s="14">
        <x:f>IF($C148="","",VLOOKUP($C148,Config!$A$2:$Y$4,11,FALSE))</x:f>
      </x:c>
      <x:c r="AG148" s="14">
        <x:f>IF($C148="","",VLOOKUP($C148,Config!$A$2:$Y$4,12,FALSE))</x:f>
      </x:c>
      <x:c r="AH148" s="14">
        <x:f>IF($C148="","",VLOOKUP($C148,Config!$A$2:$Y$4,13,FALSE))</x:f>
      </x:c>
      <x:c r="AI148" s="14">
        <x:f>IF($C148="","",VLOOKUP($C148,Config!$A$2:$Y$4,14,FALSE))</x:f>
      </x:c>
      <x:c r="AJ148" s="14">
        <x:f>IF($C148="","",VLOOKUP($C148,Config!$A$2:$Y$4,15,FALSE))</x:f>
      </x:c>
      <x:c r="AK148" s="14">
        <x:f>IF($C148="","",VLOOKUP($C148,Config!$A$2:$Y$4,16,FALSE))</x:f>
      </x:c>
      <x:c r="AL148" s="14">
        <x:f>IF($C148="","",VLOOKUP($C148,Config!$A$2:$Y$4,17,FALSE))</x:f>
      </x:c>
      <x:c r="AM148" s="14">
        <x:f>IF($C148="","",VLOOKUP($C148,Config!$A$2:$Y$4,18,FALSE))</x:f>
      </x:c>
      <x:c r="AN148" s="14">
        <x:f>IF($C148="","",VLOOKUP($C148,Config!$A$2:$Y$4,19,FALSE))</x:f>
      </x:c>
      <x:c r="AO148" s="14">
        <x:f>IF($C148="","",VLOOKUP($C148,Config!$A$2:$Y$4,20,FALSE))</x:f>
      </x:c>
      <x:c r="AP148" s="14">
        <x:f>IF($C148="","",VLOOKUP($C148,Config!$A$2:$Y$4,21,FALSE))</x:f>
      </x:c>
      <x:c r="AQ148" s="14">
        <x:f>IF($C148="","",VLOOKUP($C148,Config!$A$2:$Y$4,22,FALSE))</x:f>
      </x:c>
      <x:c r="AR148" s="14">
        <x:f>IF($C148="","",VLOOKUP($C148,Config!$A$2:$Y$4,23,FALSE))</x:f>
      </x:c>
      <x:c r="AS148" s="13">
        <x:f>IF($C148="","",IF($H148="Extra",3,IF($H148="I",2,IF($H148="II",1,0)))&gt;=IF($AA148="Extra",3,IF($AA148="I",2,IF($AA148="II",1,0))))</x:f>
      </x:c>
      <x:c r="AT148" s="13">
        <x:f>IF($C148="","",IF($I148="",FALSE,$I148&gt;=$AB148))</x:f>
      </x:c>
      <x:c r="AU148" s="13">
        <x:f>IF($C148="","",IF($AC148="",TRUE,IF($J148="",FALSE,$J148&lt;=$AC148)))</x:f>
      </x:c>
      <x:c r="AV148" s="13">
        <x:f>IF($C148="","",IF($AD148="",TRUE,IF($K148="",FALSE,$K148&lt;=$AD148)))</x:f>
      </x:c>
      <x:c r="AW148" s="13">
        <x:f>IF($C148="","",IF($AE148="",TRUE,IF($L148="",FALSE,$L148&lt;=$AE148)))</x:f>
      </x:c>
      <x:c r="AX148" s="13">
        <x:f>IF($C148="","",IF($AF148="",TRUE,IF($M148="",FALSE,$M148&lt;=$AF148)))</x:f>
      </x:c>
      <x:c r="AY148" s="13">
        <x:f>IF($C148="","",IF($AG148="",TRUE,IF($N148="",FALSE,$N148&gt;=$AG148)))</x:f>
      </x:c>
      <x:c r="AZ148" s="13">
        <x:f>IF($C148="","",IF(OR($AH148="",$AI148=""),TRUE,IF($O148="",FALSE,AND($O148&gt;=$AH148,$O148&lt;=$AI148))))</x:f>
      </x:c>
      <x:c r="BA148" s="13">
        <x:f>IF($C148="","",IF($AJ148="Y",$P148="Y",TRUE))</x:f>
      </x:c>
      <x:c r="BB148" s="13">
        <x:f>IF($C148="","",IF($AK148="Y",$Q148="Y",TRUE))</x:f>
      </x:c>
      <x:c r="BC148" s="13">
        <x:f>IF($C148="","",IF($AL148="Y",$R148="Y",TRUE))</x:f>
      </x:c>
      <x:c r="BD148" s="13">
        <x:f>IF($C148="","",IF($AM148="Y",$S148="Y",TRUE))</x:f>
      </x:c>
      <x:c r="BE148" s="13">
        <x:f>IF($C148="","",IF($AN148="Y",$T148="Y",TRUE))</x:f>
      </x:c>
      <x:c r="BF148" s="13">
        <x:f>IF($C148="","",IF($AO148="",TRUE,IF($U148="",FALSE,$U148&lt;=$AO148)))</x:f>
      </x:c>
      <x:c r="BG148" s="13">
        <x:f>IF($C148="","",IF($AP148="",TRUE,IF($V148="",FALSE,$V148&lt;=$AP148)))</x:f>
      </x:c>
      <x:c r="BH148" s="13">
        <x:f>IF($C148="","",IF($AQ148="",TRUE,IF($W148="",FALSE,$W148&lt;=$AQ148)))</x:f>
      </x:c>
      <x:c r="BI148" s="13">
        <x:f>IF($C148="","",IF($AR148="",TRUE,IF($X148="",FALSE,$X148&lt;=$AR148)))</x:f>
      </x:c>
      <x:c r="BJ148" s="15">
        <x:f>IF($C148="","",IF($Y148="",0,$Y148)+IF($AS148,10,0)+IF($AT148,8,0)+IF($AU148,5,0)+IF($AV148,8,0)+IF($AW148,15,0)+IF($AX148,4,0)+IF($AY148,5,0)+IF($AZ148,10,0)+IF($BA148,8,0)+IF($BB148,4,0)+IF($BC148,6,0)+IF($BD148,3,0)+IF($BE148,2,0)+IF($BF148,2,0)+IF($BG148,2,0)+IF($BH148,2,0)+IF($BI148,1,0))</x:f>
      </x:c>
      <x:c r="BK148" s="15">
        <x:f>IF($C148="","",IF(NOT($AS148),1,0)+IF(NOT($AW148),1,0)+IF(NOT($AZ148),1,0)+IF(NOT($BA148),1,0)+IF(NOT($BB148),1,0)+IF(NOT($BC148),1,0))</x:f>
      </x:c>
      <x:c r="BL148" s="13">
        <x:f>IF($C148="","",IF($BK148&gt;0,"REJECT",IF(COUNTIF($AS148:$BI148,FALSE)=0,"ACCEPT",IF($BJ148&gt;=85,"ACCEPT WITH SORTING / DISCOUNT","REJECT"))))</x:f>
      </x:c>
    </x:row>
    <x:row r="149" ht="24" customHeight="1">
      <x:c r="A149" s="10" t="n"/>
      <x:c r="B149" s="11" t="n"/>
      <x:c r="C149" s="11" t="n"/>
      <x:c r="D149" s="11" t="n"/>
      <x:c r="E149" s="11" t="n"/>
      <x:c r="F149" s="11" t="n"/>
      <x:c r="G149" s="11" t="n"/>
      <x:c r="H149" s="11" t="n"/>
      <x:c r="I149" s="12" t="n"/>
      <x:c r="J149" s="12" t="n"/>
      <x:c r="K149" s="12" t="n"/>
      <x:c r="L149" s="12" t="n"/>
      <x:c r="M149" s="12" t="n"/>
      <x:c r="N149" s="12" t="n"/>
      <x:c r="O149" s="12" t="n"/>
      <x:c r="P149" s="11" t="n"/>
      <x:c r="Q149" s="11" t="n"/>
      <x:c r="R149" s="11" t="n"/>
      <x:c r="S149" s="11" t="n"/>
      <x:c r="T149" s="11" t="n"/>
      <x:c r="U149" s="12" t="n"/>
      <x:c r="V149" s="12" t="n"/>
      <x:c r="W149" s="12" t="n"/>
      <x:c r="X149" s="12" t="n"/>
      <x:c r="Y149" s="12" t="n"/>
      <x:c r="Z149" s="13">
        <x:f>IF($C149="","",VLOOKUP($C149,Config!$A$2:$Y$4,2,FALSE))</x:f>
      </x:c>
      <x:c r="AA149" s="13">
        <x:f>IF($C149="","",VLOOKUP($C149,Config!$A$2:$Y$4,5,FALSE))</x:f>
      </x:c>
      <x:c r="AB149" s="14">
        <x:f>IF($C149="","",VLOOKUP($C149,Config!$A$2:$Y$4,7,FALSE))</x:f>
      </x:c>
      <x:c r="AC149" s="14">
        <x:f>IF($C149="","",VLOOKUP($C149,Config!$A$2:$Y$4,8,FALSE))</x:f>
      </x:c>
      <x:c r="AD149" s="14">
        <x:f>IF($C149="","",VLOOKUP($C149,Config!$A$2:$Y$4,9,FALSE))</x:f>
      </x:c>
      <x:c r="AE149" s="14">
        <x:f>IF($C149="","",VLOOKUP($C149,Config!$A$2:$Y$4,10,FALSE))</x:f>
      </x:c>
      <x:c r="AF149" s="14">
        <x:f>IF($C149="","",VLOOKUP($C149,Config!$A$2:$Y$4,11,FALSE))</x:f>
      </x:c>
      <x:c r="AG149" s="14">
        <x:f>IF($C149="","",VLOOKUP($C149,Config!$A$2:$Y$4,12,FALSE))</x:f>
      </x:c>
      <x:c r="AH149" s="14">
        <x:f>IF($C149="","",VLOOKUP($C149,Config!$A$2:$Y$4,13,FALSE))</x:f>
      </x:c>
      <x:c r="AI149" s="14">
        <x:f>IF($C149="","",VLOOKUP($C149,Config!$A$2:$Y$4,14,FALSE))</x:f>
      </x:c>
      <x:c r="AJ149" s="14">
        <x:f>IF($C149="","",VLOOKUP($C149,Config!$A$2:$Y$4,15,FALSE))</x:f>
      </x:c>
      <x:c r="AK149" s="14">
        <x:f>IF($C149="","",VLOOKUP($C149,Config!$A$2:$Y$4,16,FALSE))</x:f>
      </x:c>
      <x:c r="AL149" s="14">
        <x:f>IF($C149="","",VLOOKUP($C149,Config!$A$2:$Y$4,17,FALSE))</x:f>
      </x:c>
      <x:c r="AM149" s="14">
        <x:f>IF($C149="","",VLOOKUP($C149,Config!$A$2:$Y$4,18,FALSE))</x:f>
      </x:c>
      <x:c r="AN149" s="14">
        <x:f>IF($C149="","",VLOOKUP($C149,Config!$A$2:$Y$4,19,FALSE))</x:f>
      </x:c>
      <x:c r="AO149" s="14">
        <x:f>IF($C149="","",VLOOKUP($C149,Config!$A$2:$Y$4,20,FALSE))</x:f>
      </x:c>
      <x:c r="AP149" s="14">
        <x:f>IF($C149="","",VLOOKUP($C149,Config!$A$2:$Y$4,21,FALSE))</x:f>
      </x:c>
      <x:c r="AQ149" s="14">
        <x:f>IF($C149="","",VLOOKUP($C149,Config!$A$2:$Y$4,22,FALSE))</x:f>
      </x:c>
      <x:c r="AR149" s="14">
        <x:f>IF($C149="","",VLOOKUP($C149,Config!$A$2:$Y$4,23,FALSE))</x:f>
      </x:c>
      <x:c r="AS149" s="13">
        <x:f>IF($C149="","",IF($H149="Extra",3,IF($H149="I",2,IF($H149="II",1,0)))&gt;=IF($AA149="Extra",3,IF($AA149="I",2,IF($AA149="II",1,0))))</x:f>
      </x:c>
      <x:c r="AT149" s="13">
        <x:f>IF($C149="","",IF($I149="",FALSE,$I149&gt;=$AB149))</x:f>
      </x:c>
      <x:c r="AU149" s="13">
        <x:f>IF($C149="","",IF($AC149="",TRUE,IF($J149="",FALSE,$J149&lt;=$AC149)))</x:f>
      </x:c>
      <x:c r="AV149" s="13">
        <x:f>IF($C149="","",IF($AD149="",TRUE,IF($K149="",FALSE,$K149&lt;=$AD149)))</x:f>
      </x:c>
      <x:c r="AW149" s="13">
        <x:f>IF($C149="","",IF($AE149="",TRUE,IF($L149="",FALSE,$L149&lt;=$AE149)))</x:f>
      </x:c>
      <x:c r="AX149" s="13">
        <x:f>IF($C149="","",IF($AF149="",TRUE,IF($M149="",FALSE,$M149&lt;=$AF149)))</x:f>
      </x:c>
      <x:c r="AY149" s="13">
        <x:f>IF($C149="","",IF($AG149="",TRUE,IF($N149="",FALSE,$N149&gt;=$AG149)))</x:f>
      </x:c>
      <x:c r="AZ149" s="13">
        <x:f>IF($C149="","",IF(OR($AH149="",$AI149=""),TRUE,IF($O149="",FALSE,AND($O149&gt;=$AH149,$O149&lt;=$AI149))))</x:f>
      </x:c>
      <x:c r="BA149" s="13">
        <x:f>IF($C149="","",IF($AJ149="Y",$P149="Y",TRUE))</x:f>
      </x:c>
      <x:c r="BB149" s="13">
        <x:f>IF($C149="","",IF($AK149="Y",$Q149="Y",TRUE))</x:f>
      </x:c>
      <x:c r="BC149" s="13">
        <x:f>IF($C149="","",IF($AL149="Y",$R149="Y",TRUE))</x:f>
      </x:c>
      <x:c r="BD149" s="13">
        <x:f>IF($C149="","",IF($AM149="Y",$S149="Y",TRUE))</x:f>
      </x:c>
      <x:c r="BE149" s="13">
        <x:f>IF($C149="","",IF($AN149="Y",$T149="Y",TRUE))</x:f>
      </x:c>
      <x:c r="BF149" s="13">
        <x:f>IF($C149="","",IF($AO149="",TRUE,IF($U149="",FALSE,$U149&lt;=$AO149)))</x:f>
      </x:c>
      <x:c r="BG149" s="13">
        <x:f>IF($C149="","",IF($AP149="",TRUE,IF($V149="",FALSE,$V149&lt;=$AP149)))</x:f>
      </x:c>
      <x:c r="BH149" s="13">
        <x:f>IF($C149="","",IF($AQ149="",TRUE,IF($W149="",FALSE,$W149&lt;=$AQ149)))</x:f>
      </x:c>
      <x:c r="BI149" s="13">
        <x:f>IF($C149="","",IF($AR149="",TRUE,IF($X149="",FALSE,$X149&lt;=$AR149)))</x:f>
      </x:c>
      <x:c r="BJ149" s="15">
        <x:f>IF($C149="","",IF($Y149="",0,$Y149)+IF($AS149,10,0)+IF($AT149,8,0)+IF($AU149,5,0)+IF($AV149,8,0)+IF($AW149,15,0)+IF($AX149,4,0)+IF($AY149,5,0)+IF($AZ149,10,0)+IF($BA149,8,0)+IF($BB149,4,0)+IF($BC149,6,0)+IF($BD149,3,0)+IF($BE149,2,0)+IF($BF149,2,0)+IF($BG149,2,0)+IF($BH149,2,0)+IF($BI149,1,0))</x:f>
      </x:c>
      <x:c r="BK149" s="15">
        <x:f>IF($C149="","",IF(NOT($AS149),1,0)+IF(NOT($AW149),1,0)+IF(NOT($AZ149),1,0)+IF(NOT($BA149),1,0)+IF(NOT($BB149),1,0)+IF(NOT($BC149),1,0))</x:f>
      </x:c>
      <x:c r="BL149" s="13">
        <x:f>IF($C149="","",IF($BK149&gt;0,"REJECT",IF(COUNTIF($AS149:$BI149,FALSE)=0,"ACCEPT",IF($BJ149&gt;=85,"ACCEPT WITH SORTING / DISCOUNT","REJECT"))))</x:f>
      </x:c>
    </x:row>
    <x:row r="150" ht="24" customHeight="1">
      <x:c r="A150" s="10" t="n"/>
      <x:c r="B150" s="11" t="n"/>
      <x:c r="C150" s="11" t="n"/>
      <x:c r="D150" s="11" t="n"/>
      <x:c r="E150" s="11" t="n"/>
      <x:c r="F150" s="11" t="n"/>
      <x:c r="G150" s="11" t="n"/>
      <x:c r="H150" s="11" t="n"/>
      <x:c r="I150" s="12" t="n"/>
      <x:c r="J150" s="12" t="n"/>
      <x:c r="K150" s="12" t="n"/>
      <x:c r="L150" s="12" t="n"/>
      <x:c r="M150" s="12" t="n"/>
      <x:c r="N150" s="12" t="n"/>
      <x:c r="O150" s="12" t="n"/>
      <x:c r="P150" s="11" t="n"/>
      <x:c r="Q150" s="11" t="n"/>
      <x:c r="R150" s="11" t="n"/>
      <x:c r="S150" s="11" t="n"/>
      <x:c r="T150" s="11" t="n"/>
      <x:c r="U150" s="12" t="n"/>
      <x:c r="V150" s="12" t="n"/>
      <x:c r="W150" s="12" t="n"/>
      <x:c r="X150" s="12" t="n"/>
      <x:c r="Y150" s="12" t="n"/>
      <x:c r="Z150" s="13">
        <x:f>IF($C150="","",VLOOKUP($C150,Config!$A$2:$Y$4,2,FALSE))</x:f>
      </x:c>
      <x:c r="AA150" s="13">
        <x:f>IF($C150="","",VLOOKUP($C150,Config!$A$2:$Y$4,5,FALSE))</x:f>
      </x:c>
      <x:c r="AB150" s="14">
        <x:f>IF($C150="","",VLOOKUP($C150,Config!$A$2:$Y$4,7,FALSE))</x:f>
      </x:c>
      <x:c r="AC150" s="14">
        <x:f>IF($C150="","",VLOOKUP($C150,Config!$A$2:$Y$4,8,FALSE))</x:f>
      </x:c>
      <x:c r="AD150" s="14">
        <x:f>IF($C150="","",VLOOKUP($C150,Config!$A$2:$Y$4,9,FALSE))</x:f>
      </x:c>
      <x:c r="AE150" s="14">
        <x:f>IF($C150="","",VLOOKUP($C150,Config!$A$2:$Y$4,10,FALSE))</x:f>
      </x:c>
      <x:c r="AF150" s="14">
        <x:f>IF($C150="","",VLOOKUP($C150,Config!$A$2:$Y$4,11,FALSE))</x:f>
      </x:c>
      <x:c r="AG150" s="14">
        <x:f>IF($C150="","",VLOOKUP($C150,Config!$A$2:$Y$4,12,FALSE))</x:f>
      </x:c>
      <x:c r="AH150" s="14">
        <x:f>IF($C150="","",VLOOKUP($C150,Config!$A$2:$Y$4,13,FALSE))</x:f>
      </x:c>
      <x:c r="AI150" s="14">
        <x:f>IF($C150="","",VLOOKUP($C150,Config!$A$2:$Y$4,14,FALSE))</x:f>
      </x:c>
      <x:c r="AJ150" s="14">
        <x:f>IF($C150="","",VLOOKUP($C150,Config!$A$2:$Y$4,15,FALSE))</x:f>
      </x:c>
      <x:c r="AK150" s="14">
        <x:f>IF($C150="","",VLOOKUP($C150,Config!$A$2:$Y$4,16,FALSE))</x:f>
      </x:c>
      <x:c r="AL150" s="14">
        <x:f>IF($C150="","",VLOOKUP($C150,Config!$A$2:$Y$4,17,FALSE))</x:f>
      </x:c>
      <x:c r="AM150" s="14">
        <x:f>IF($C150="","",VLOOKUP($C150,Config!$A$2:$Y$4,18,FALSE))</x:f>
      </x:c>
      <x:c r="AN150" s="14">
        <x:f>IF($C150="","",VLOOKUP($C150,Config!$A$2:$Y$4,19,FALSE))</x:f>
      </x:c>
      <x:c r="AO150" s="14">
        <x:f>IF($C150="","",VLOOKUP($C150,Config!$A$2:$Y$4,20,FALSE))</x:f>
      </x:c>
      <x:c r="AP150" s="14">
        <x:f>IF($C150="","",VLOOKUP($C150,Config!$A$2:$Y$4,21,FALSE))</x:f>
      </x:c>
      <x:c r="AQ150" s="14">
        <x:f>IF($C150="","",VLOOKUP($C150,Config!$A$2:$Y$4,22,FALSE))</x:f>
      </x:c>
      <x:c r="AR150" s="14">
        <x:f>IF($C150="","",VLOOKUP($C150,Config!$A$2:$Y$4,23,FALSE))</x:f>
      </x:c>
      <x:c r="AS150" s="13">
        <x:f>IF($C150="","",IF($H150="Extra",3,IF($H150="I",2,IF($H150="II",1,0)))&gt;=IF($AA150="Extra",3,IF($AA150="I",2,IF($AA150="II",1,0))))</x:f>
      </x:c>
      <x:c r="AT150" s="13">
        <x:f>IF($C150="","",IF($I150="",FALSE,$I150&gt;=$AB150))</x:f>
      </x:c>
      <x:c r="AU150" s="13">
        <x:f>IF($C150="","",IF($AC150="",TRUE,IF($J150="",FALSE,$J150&lt;=$AC150)))</x:f>
      </x:c>
      <x:c r="AV150" s="13">
        <x:f>IF($C150="","",IF($AD150="",TRUE,IF($K150="",FALSE,$K150&lt;=$AD150)))</x:f>
      </x:c>
      <x:c r="AW150" s="13">
        <x:f>IF($C150="","",IF($AE150="",TRUE,IF($L150="",FALSE,$L150&lt;=$AE150)))</x:f>
      </x:c>
      <x:c r="AX150" s="13">
        <x:f>IF($C150="","",IF($AF150="",TRUE,IF($M150="",FALSE,$M150&lt;=$AF150)))</x:f>
      </x:c>
      <x:c r="AY150" s="13">
        <x:f>IF($C150="","",IF($AG150="",TRUE,IF($N150="",FALSE,$N150&gt;=$AG150)))</x:f>
      </x:c>
      <x:c r="AZ150" s="13">
        <x:f>IF($C150="","",IF(OR($AH150="",$AI150=""),TRUE,IF($O150="",FALSE,AND($O150&gt;=$AH150,$O150&lt;=$AI150))))</x:f>
      </x:c>
      <x:c r="BA150" s="13">
        <x:f>IF($C150="","",IF($AJ150="Y",$P150="Y",TRUE))</x:f>
      </x:c>
      <x:c r="BB150" s="13">
        <x:f>IF($C150="","",IF($AK150="Y",$Q150="Y",TRUE))</x:f>
      </x:c>
      <x:c r="BC150" s="13">
        <x:f>IF($C150="","",IF($AL150="Y",$R150="Y",TRUE))</x:f>
      </x:c>
      <x:c r="BD150" s="13">
        <x:f>IF($C150="","",IF($AM150="Y",$S150="Y",TRUE))</x:f>
      </x:c>
      <x:c r="BE150" s="13">
        <x:f>IF($C150="","",IF($AN150="Y",$T150="Y",TRUE))</x:f>
      </x:c>
      <x:c r="BF150" s="13">
        <x:f>IF($C150="","",IF($AO150="",TRUE,IF($U150="",FALSE,$U150&lt;=$AO150)))</x:f>
      </x:c>
      <x:c r="BG150" s="13">
        <x:f>IF($C150="","",IF($AP150="",TRUE,IF($V150="",FALSE,$V150&lt;=$AP150)))</x:f>
      </x:c>
      <x:c r="BH150" s="13">
        <x:f>IF($C150="","",IF($AQ150="",TRUE,IF($W150="",FALSE,$W150&lt;=$AQ150)))</x:f>
      </x:c>
      <x:c r="BI150" s="13">
        <x:f>IF($C150="","",IF($AR150="",TRUE,IF($X150="",FALSE,$X150&lt;=$AR150)))</x:f>
      </x:c>
      <x:c r="BJ150" s="15">
        <x:f>IF($C150="","",IF($Y150="",0,$Y150)+IF($AS150,10,0)+IF($AT150,8,0)+IF($AU150,5,0)+IF($AV150,8,0)+IF($AW150,15,0)+IF($AX150,4,0)+IF($AY150,5,0)+IF($AZ150,10,0)+IF($BA150,8,0)+IF($BB150,4,0)+IF($BC150,6,0)+IF($BD150,3,0)+IF($BE150,2,0)+IF($BF150,2,0)+IF($BG150,2,0)+IF($BH150,2,0)+IF($BI150,1,0))</x:f>
      </x:c>
      <x:c r="BK150" s="15">
        <x:f>IF($C150="","",IF(NOT($AS150),1,0)+IF(NOT($AW150),1,0)+IF(NOT($AZ150),1,0)+IF(NOT($BA150),1,0)+IF(NOT($BB150),1,0)+IF(NOT($BC150),1,0))</x:f>
      </x:c>
      <x:c r="BL150" s="13">
        <x:f>IF($C150="","",IF($BK150&gt;0,"REJECT",IF(COUNTIF($AS150:$BI150,FALSE)=0,"ACCEPT",IF($BJ150&gt;=85,"ACCEPT WITH SORTING / DISCOUNT","REJECT"))))</x:f>
      </x:c>
    </x:row>
    <x:row r="151" ht="24" customHeight="1">
      <x:c r="A151" s="10" t="n"/>
      <x:c r="B151" s="11" t="n"/>
      <x:c r="C151" s="11" t="n"/>
      <x:c r="D151" s="11" t="n"/>
      <x:c r="E151" s="11" t="n"/>
      <x:c r="F151" s="11" t="n"/>
      <x:c r="G151" s="11" t="n"/>
      <x:c r="H151" s="11" t="n"/>
      <x:c r="I151" s="12" t="n"/>
      <x:c r="J151" s="12" t="n"/>
      <x:c r="K151" s="12" t="n"/>
      <x:c r="L151" s="12" t="n"/>
      <x:c r="M151" s="12" t="n"/>
      <x:c r="N151" s="12" t="n"/>
      <x:c r="O151" s="12" t="n"/>
      <x:c r="P151" s="11" t="n"/>
      <x:c r="Q151" s="11" t="n"/>
      <x:c r="R151" s="11" t="n"/>
      <x:c r="S151" s="11" t="n"/>
      <x:c r="T151" s="11" t="n"/>
      <x:c r="U151" s="12" t="n"/>
      <x:c r="V151" s="12" t="n"/>
      <x:c r="W151" s="12" t="n"/>
      <x:c r="X151" s="12" t="n"/>
      <x:c r="Y151" s="12" t="n"/>
      <x:c r="Z151" s="13">
        <x:f>IF($C151="","",VLOOKUP($C151,Config!$A$2:$Y$4,2,FALSE))</x:f>
      </x:c>
      <x:c r="AA151" s="13">
        <x:f>IF($C151="","",VLOOKUP($C151,Config!$A$2:$Y$4,5,FALSE))</x:f>
      </x:c>
      <x:c r="AB151" s="14">
        <x:f>IF($C151="","",VLOOKUP($C151,Config!$A$2:$Y$4,7,FALSE))</x:f>
      </x:c>
      <x:c r="AC151" s="14">
        <x:f>IF($C151="","",VLOOKUP($C151,Config!$A$2:$Y$4,8,FALSE))</x:f>
      </x:c>
      <x:c r="AD151" s="14">
        <x:f>IF($C151="","",VLOOKUP($C151,Config!$A$2:$Y$4,9,FALSE))</x:f>
      </x:c>
      <x:c r="AE151" s="14">
        <x:f>IF($C151="","",VLOOKUP($C151,Config!$A$2:$Y$4,10,FALSE))</x:f>
      </x:c>
      <x:c r="AF151" s="14">
        <x:f>IF($C151="","",VLOOKUP($C151,Config!$A$2:$Y$4,11,FALSE))</x:f>
      </x:c>
      <x:c r="AG151" s="14">
        <x:f>IF($C151="","",VLOOKUP($C151,Config!$A$2:$Y$4,12,FALSE))</x:f>
      </x:c>
      <x:c r="AH151" s="14">
        <x:f>IF($C151="","",VLOOKUP($C151,Config!$A$2:$Y$4,13,FALSE))</x:f>
      </x:c>
      <x:c r="AI151" s="14">
        <x:f>IF($C151="","",VLOOKUP($C151,Config!$A$2:$Y$4,14,FALSE))</x:f>
      </x:c>
      <x:c r="AJ151" s="14">
        <x:f>IF($C151="","",VLOOKUP($C151,Config!$A$2:$Y$4,15,FALSE))</x:f>
      </x:c>
      <x:c r="AK151" s="14">
        <x:f>IF($C151="","",VLOOKUP($C151,Config!$A$2:$Y$4,16,FALSE))</x:f>
      </x:c>
      <x:c r="AL151" s="14">
        <x:f>IF($C151="","",VLOOKUP($C151,Config!$A$2:$Y$4,17,FALSE))</x:f>
      </x:c>
      <x:c r="AM151" s="14">
        <x:f>IF($C151="","",VLOOKUP($C151,Config!$A$2:$Y$4,18,FALSE))</x:f>
      </x:c>
      <x:c r="AN151" s="14">
        <x:f>IF($C151="","",VLOOKUP($C151,Config!$A$2:$Y$4,19,FALSE))</x:f>
      </x:c>
      <x:c r="AO151" s="14">
        <x:f>IF($C151="","",VLOOKUP($C151,Config!$A$2:$Y$4,20,FALSE))</x:f>
      </x:c>
      <x:c r="AP151" s="14">
        <x:f>IF($C151="","",VLOOKUP($C151,Config!$A$2:$Y$4,21,FALSE))</x:f>
      </x:c>
      <x:c r="AQ151" s="14">
        <x:f>IF($C151="","",VLOOKUP($C151,Config!$A$2:$Y$4,22,FALSE))</x:f>
      </x:c>
      <x:c r="AR151" s="14">
        <x:f>IF($C151="","",VLOOKUP($C151,Config!$A$2:$Y$4,23,FALSE))</x:f>
      </x:c>
      <x:c r="AS151" s="13">
        <x:f>IF($C151="","",IF($H151="Extra",3,IF($H151="I",2,IF($H151="II",1,0)))&gt;=IF($AA151="Extra",3,IF($AA151="I",2,IF($AA151="II",1,0))))</x:f>
      </x:c>
      <x:c r="AT151" s="13">
        <x:f>IF($C151="","",IF($I151="",FALSE,$I151&gt;=$AB151))</x:f>
      </x:c>
      <x:c r="AU151" s="13">
        <x:f>IF($C151="","",IF($AC151="",TRUE,IF($J151="",FALSE,$J151&lt;=$AC151)))</x:f>
      </x:c>
      <x:c r="AV151" s="13">
        <x:f>IF($C151="","",IF($AD151="",TRUE,IF($K151="",FALSE,$K151&lt;=$AD151)))</x:f>
      </x:c>
      <x:c r="AW151" s="13">
        <x:f>IF($C151="","",IF($AE151="",TRUE,IF($L151="",FALSE,$L151&lt;=$AE151)))</x:f>
      </x:c>
      <x:c r="AX151" s="13">
        <x:f>IF($C151="","",IF($AF151="",TRUE,IF($M151="",FALSE,$M151&lt;=$AF151)))</x:f>
      </x:c>
      <x:c r="AY151" s="13">
        <x:f>IF($C151="","",IF($AG151="",TRUE,IF($N151="",FALSE,$N151&gt;=$AG151)))</x:f>
      </x:c>
      <x:c r="AZ151" s="13">
        <x:f>IF($C151="","",IF(OR($AH151="",$AI151=""),TRUE,IF($O151="",FALSE,AND($O151&gt;=$AH151,$O151&lt;=$AI151))))</x:f>
      </x:c>
      <x:c r="BA151" s="13">
        <x:f>IF($C151="","",IF($AJ151="Y",$P151="Y",TRUE))</x:f>
      </x:c>
      <x:c r="BB151" s="13">
        <x:f>IF($C151="","",IF($AK151="Y",$Q151="Y",TRUE))</x:f>
      </x:c>
      <x:c r="BC151" s="13">
        <x:f>IF($C151="","",IF($AL151="Y",$R151="Y",TRUE))</x:f>
      </x:c>
      <x:c r="BD151" s="13">
        <x:f>IF($C151="","",IF($AM151="Y",$S151="Y",TRUE))</x:f>
      </x:c>
      <x:c r="BE151" s="13">
        <x:f>IF($C151="","",IF($AN151="Y",$T151="Y",TRUE))</x:f>
      </x:c>
      <x:c r="BF151" s="13">
        <x:f>IF($C151="","",IF($AO151="",TRUE,IF($U151="",FALSE,$U151&lt;=$AO151)))</x:f>
      </x:c>
      <x:c r="BG151" s="13">
        <x:f>IF($C151="","",IF($AP151="",TRUE,IF($V151="",FALSE,$V151&lt;=$AP151)))</x:f>
      </x:c>
      <x:c r="BH151" s="13">
        <x:f>IF($C151="","",IF($AQ151="",TRUE,IF($W151="",FALSE,$W151&lt;=$AQ151)))</x:f>
      </x:c>
      <x:c r="BI151" s="13">
        <x:f>IF($C151="","",IF($AR151="",TRUE,IF($X151="",FALSE,$X151&lt;=$AR151)))</x:f>
      </x:c>
      <x:c r="BJ151" s="15">
        <x:f>IF($C151="","",IF($Y151="",0,$Y151)+IF($AS151,10,0)+IF($AT151,8,0)+IF($AU151,5,0)+IF($AV151,8,0)+IF($AW151,15,0)+IF($AX151,4,0)+IF($AY151,5,0)+IF($AZ151,10,0)+IF($BA151,8,0)+IF($BB151,4,0)+IF($BC151,6,0)+IF($BD151,3,0)+IF($BE151,2,0)+IF($BF151,2,0)+IF($BG151,2,0)+IF($BH151,2,0)+IF($BI151,1,0))</x:f>
      </x:c>
      <x:c r="BK151" s="15">
        <x:f>IF($C151="","",IF(NOT($AS151),1,0)+IF(NOT($AW151),1,0)+IF(NOT($AZ151),1,0)+IF(NOT($BA151),1,0)+IF(NOT($BB151),1,0)+IF(NOT($BC151),1,0))</x:f>
      </x:c>
      <x:c r="BL151" s="13">
        <x:f>IF($C151="","",IF($BK151&gt;0,"REJECT",IF(COUNTIF($AS151:$BI151,FALSE)=0,"ACCEPT",IF($BJ151&gt;=85,"ACCEPT WITH SORTING / DISCOUNT","REJECT"))))</x:f>
      </x:c>
    </x:row>
    <x:row r="152" ht="24" customHeight="1">
      <x:c r="A152" s="10" t="n"/>
      <x:c r="B152" s="11" t="n"/>
      <x:c r="C152" s="11" t="n"/>
      <x:c r="D152" s="11" t="n"/>
      <x:c r="E152" s="11" t="n"/>
      <x:c r="F152" s="11" t="n"/>
      <x:c r="G152" s="11" t="n"/>
      <x:c r="H152" s="11" t="n"/>
      <x:c r="I152" s="12" t="n"/>
      <x:c r="J152" s="12" t="n"/>
      <x:c r="K152" s="12" t="n"/>
      <x:c r="L152" s="12" t="n"/>
      <x:c r="M152" s="12" t="n"/>
      <x:c r="N152" s="12" t="n"/>
      <x:c r="O152" s="12" t="n"/>
      <x:c r="P152" s="11" t="n"/>
      <x:c r="Q152" s="11" t="n"/>
      <x:c r="R152" s="11" t="n"/>
      <x:c r="S152" s="11" t="n"/>
      <x:c r="T152" s="11" t="n"/>
      <x:c r="U152" s="12" t="n"/>
      <x:c r="V152" s="12" t="n"/>
      <x:c r="W152" s="12" t="n"/>
      <x:c r="X152" s="12" t="n"/>
      <x:c r="Y152" s="12" t="n"/>
      <x:c r="Z152" s="13">
        <x:f>IF($C152="","",VLOOKUP($C152,Config!$A$2:$Y$4,2,FALSE))</x:f>
      </x:c>
      <x:c r="AA152" s="13">
        <x:f>IF($C152="","",VLOOKUP($C152,Config!$A$2:$Y$4,5,FALSE))</x:f>
      </x:c>
      <x:c r="AB152" s="14">
        <x:f>IF($C152="","",VLOOKUP($C152,Config!$A$2:$Y$4,7,FALSE))</x:f>
      </x:c>
      <x:c r="AC152" s="14">
        <x:f>IF($C152="","",VLOOKUP($C152,Config!$A$2:$Y$4,8,FALSE))</x:f>
      </x:c>
      <x:c r="AD152" s="14">
        <x:f>IF($C152="","",VLOOKUP($C152,Config!$A$2:$Y$4,9,FALSE))</x:f>
      </x:c>
      <x:c r="AE152" s="14">
        <x:f>IF($C152="","",VLOOKUP($C152,Config!$A$2:$Y$4,10,FALSE))</x:f>
      </x:c>
      <x:c r="AF152" s="14">
        <x:f>IF($C152="","",VLOOKUP($C152,Config!$A$2:$Y$4,11,FALSE))</x:f>
      </x:c>
      <x:c r="AG152" s="14">
        <x:f>IF($C152="","",VLOOKUP($C152,Config!$A$2:$Y$4,12,FALSE))</x:f>
      </x:c>
      <x:c r="AH152" s="14">
        <x:f>IF($C152="","",VLOOKUP($C152,Config!$A$2:$Y$4,13,FALSE))</x:f>
      </x:c>
      <x:c r="AI152" s="14">
        <x:f>IF($C152="","",VLOOKUP($C152,Config!$A$2:$Y$4,14,FALSE))</x:f>
      </x:c>
      <x:c r="AJ152" s="14">
        <x:f>IF($C152="","",VLOOKUP($C152,Config!$A$2:$Y$4,15,FALSE))</x:f>
      </x:c>
      <x:c r="AK152" s="14">
        <x:f>IF($C152="","",VLOOKUP($C152,Config!$A$2:$Y$4,16,FALSE))</x:f>
      </x:c>
      <x:c r="AL152" s="14">
        <x:f>IF($C152="","",VLOOKUP($C152,Config!$A$2:$Y$4,17,FALSE))</x:f>
      </x:c>
      <x:c r="AM152" s="14">
        <x:f>IF($C152="","",VLOOKUP($C152,Config!$A$2:$Y$4,18,FALSE))</x:f>
      </x:c>
      <x:c r="AN152" s="14">
        <x:f>IF($C152="","",VLOOKUP($C152,Config!$A$2:$Y$4,19,FALSE))</x:f>
      </x:c>
      <x:c r="AO152" s="14">
        <x:f>IF($C152="","",VLOOKUP($C152,Config!$A$2:$Y$4,20,FALSE))</x:f>
      </x:c>
      <x:c r="AP152" s="14">
        <x:f>IF($C152="","",VLOOKUP($C152,Config!$A$2:$Y$4,21,FALSE))</x:f>
      </x:c>
      <x:c r="AQ152" s="14">
        <x:f>IF($C152="","",VLOOKUP($C152,Config!$A$2:$Y$4,22,FALSE))</x:f>
      </x:c>
      <x:c r="AR152" s="14">
        <x:f>IF($C152="","",VLOOKUP($C152,Config!$A$2:$Y$4,23,FALSE))</x:f>
      </x:c>
      <x:c r="AS152" s="13">
        <x:f>IF($C152="","",IF($H152="Extra",3,IF($H152="I",2,IF($H152="II",1,0)))&gt;=IF($AA152="Extra",3,IF($AA152="I",2,IF($AA152="II",1,0))))</x:f>
      </x:c>
      <x:c r="AT152" s="13">
        <x:f>IF($C152="","",IF($I152="",FALSE,$I152&gt;=$AB152))</x:f>
      </x:c>
      <x:c r="AU152" s="13">
        <x:f>IF($C152="","",IF($AC152="",TRUE,IF($J152="",FALSE,$J152&lt;=$AC152)))</x:f>
      </x:c>
      <x:c r="AV152" s="13">
        <x:f>IF($C152="","",IF($AD152="",TRUE,IF($K152="",FALSE,$K152&lt;=$AD152)))</x:f>
      </x:c>
      <x:c r="AW152" s="13">
        <x:f>IF($C152="","",IF($AE152="",TRUE,IF($L152="",FALSE,$L152&lt;=$AE152)))</x:f>
      </x:c>
      <x:c r="AX152" s="13">
        <x:f>IF($C152="","",IF($AF152="",TRUE,IF($M152="",FALSE,$M152&lt;=$AF152)))</x:f>
      </x:c>
      <x:c r="AY152" s="13">
        <x:f>IF($C152="","",IF($AG152="",TRUE,IF($N152="",FALSE,$N152&gt;=$AG152)))</x:f>
      </x:c>
      <x:c r="AZ152" s="13">
        <x:f>IF($C152="","",IF(OR($AH152="",$AI152=""),TRUE,IF($O152="",FALSE,AND($O152&gt;=$AH152,$O152&lt;=$AI152))))</x:f>
      </x:c>
      <x:c r="BA152" s="13">
        <x:f>IF($C152="","",IF($AJ152="Y",$P152="Y",TRUE))</x:f>
      </x:c>
      <x:c r="BB152" s="13">
        <x:f>IF($C152="","",IF($AK152="Y",$Q152="Y",TRUE))</x:f>
      </x:c>
      <x:c r="BC152" s="13">
        <x:f>IF($C152="","",IF($AL152="Y",$R152="Y",TRUE))</x:f>
      </x:c>
      <x:c r="BD152" s="13">
        <x:f>IF($C152="","",IF($AM152="Y",$S152="Y",TRUE))</x:f>
      </x:c>
      <x:c r="BE152" s="13">
        <x:f>IF($C152="","",IF($AN152="Y",$T152="Y",TRUE))</x:f>
      </x:c>
      <x:c r="BF152" s="13">
        <x:f>IF($C152="","",IF($AO152="",TRUE,IF($U152="",FALSE,$U152&lt;=$AO152)))</x:f>
      </x:c>
      <x:c r="BG152" s="13">
        <x:f>IF($C152="","",IF($AP152="",TRUE,IF($V152="",FALSE,$V152&lt;=$AP152)))</x:f>
      </x:c>
      <x:c r="BH152" s="13">
        <x:f>IF($C152="","",IF($AQ152="",TRUE,IF($W152="",FALSE,$W152&lt;=$AQ152)))</x:f>
      </x:c>
      <x:c r="BI152" s="13">
        <x:f>IF($C152="","",IF($AR152="",TRUE,IF($X152="",FALSE,$X152&lt;=$AR152)))</x:f>
      </x:c>
      <x:c r="BJ152" s="15">
        <x:f>IF($C152="","",IF($Y152="",0,$Y152)+IF($AS152,10,0)+IF($AT152,8,0)+IF($AU152,5,0)+IF($AV152,8,0)+IF($AW152,15,0)+IF($AX152,4,0)+IF($AY152,5,0)+IF($AZ152,10,0)+IF($BA152,8,0)+IF($BB152,4,0)+IF($BC152,6,0)+IF($BD152,3,0)+IF($BE152,2,0)+IF($BF152,2,0)+IF($BG152,2,0)+IF($BH152,2,0)+IF($BI152,1,0))</x:f>
      </x:c>
      <x:c r="BK152" s="15">
        <x:f>IF($C152="","",IF(NOT($AS152),1,0)+IF(NOT($AW152),1,0)+IF(NOT($AZ152),1,0)+IF(NOT($BA152),1,0)+IF(NOT($BB152),1,0)+IF(NOT($BC152),1,0))</x:f>
      </x:c>
      <x:c r="BL152" s="13">
        <x:f>IF($C152="","",IF($BK152&gt;0,"REJECT",IF(COUNTIF($AS152:$BI152,FALSE)=0,"ACCEPT",IF($BJ152&gt;=85,"ACCEPT WITH SORTING / DISCOUNT","REJECT"))))</x:f>
      </x:c>
    </x:row>
    <x:row r="153" ht="24" customHeight="1">
      <x:c r="A153" s="10" t="n"/>
      <x:c r="B153" s="11" t="n"/>
      <x:c r="C153" s="11" t="n"/>
      <x:c r="D153" s="11" t="n"/>
      <x:c r="E153" s="11" t="n"/>
      <x:c r="F153" s="11" t="n"/>
      <x:c r="G153" s="11" t="n"/>
      <x:c r="H153" s="11" t="n"/>
      <x:c r="I153" s="12" t="n"/>
      <x:c r="J153" s="12" t="n"/>
      <x:c r="K153" s="12" t="n"/>
      <x:c r="L153" s="12" t="n"/>
      <x:c r="M153" s="12" t="n"/>
      <x:c r="N153" s="12" t="n"/>
      <x:c r="O153" s="12" t="n"/>
      <x:c r="P153" s="11" t="n"/>
      <x:c r="Q153" s="11" t="n"/>
      <x:c r="R153" s="11" t="n"/>
      <x:c r="S153" s="11" t="n"/>
      <x:c r="T153" s="11" t="n"/>
      <x:c r="U153" s="12" t="n"/>
      <x:c r="V153" s="12" t="n"/>
      <x:c r="W153" s="12" t="n"/>
      <x:c r="X153" s="12" t="n"/>
      <x:c r="Y153" s="12" t="n"/>
      <x:c r="Z153" s="13">
        <x:f>IF($C153="","",VLOOKUP($C153,Config!$A$2:$Y$4,2,FALSE))</x:f>
      </x:c>
      <x:c r="AA153" s="13">
        <x:f>IF($C153="","",VLOOKUP($C153,Config!$A$2:$Y$4,5,FALSE))</x:f>
      </x:c>
      <x:c r="AB153" s="14">
        <x:f>IF($C153="","",VLOOKUP($C153,Config!$A$2:$Y$4,7,FALSE))</x:f>
      </x:c>
      <x:c r="AC153" s="14">
        <x:f>IF($C153="","",VLOOKUP($C153,Config!$A$2:$Y$4,8,FALSE))</x:f>
      </x:c>
      <x:c r="AD153" s="14">
        <x:f>IF($C153="","",VLOOKUP($C153,Config!$A$2:$Y$4,9,FALSE))</x:f>
      </x:c>
      <x:c r="AE153" s="14">
        <x:f>IF($C153="","",VLOOKUP($C153,Config!$A$2:$Y$4,10,FALSE))</x:f>
      </x:c>
      <x:c r="AF153" s="14">
        <x:f>IF($C153="","",VLOOKUP($C153,Config!$A$2:$Y$4,11,FALSE))</x:f>
      </x:c>
      <x:c r="AG153" s="14">
        <x:f>IF($C153="","",VLOOKUP($C153,Config!$A$2:$Y$4,12,FALSE))</x:f>
      </x:c>
      <x:c r="AH153" s="14">
        <x:f>IF($C153="","",VLOOKUP($C153,Config!$A$2:$Y$4,13,FALSE))</x:f>
      </x:c>
      <x:c r="AI153" s="14">
        <x:f>IF($C153="","",VLOOKUP($C153,Config!$A$2:$Y$4,14,FALSE))</x:f>
      </x:c>
      <x:c r="AJ153" s="14">
        <x:f>IF($C153="","",VLOOKUP($C153,Config!$A$2:$Y$4,15,FALSE))</x:f>
      </x:c>
      <x:c r="AK153" s="14">
        <x:f>IF($C153="","",VLOOKUP($C153,Config!$A$2:$Y$4,16,FALSE))</x:f>
      </x:c>
      <x:c r="AL153" s="14">
        <x:f>IF($C153="","",VLOOKUP($C153,Config!$A$2:$Y$4,17,FALSE))</x:f>
      </x:c>
      <x:c r="AM153" s="14">
        <x:f>IF($C153="","",VLOOKUP($C153,Config!$A$2:$Y$4,18,FALSE))</x:f>
      </x:c>
      <x:c r="AN153" s="14">
        <x:f>IF($C153="","",VLOOKUP($C153,Config!$A$2:$Y$4,19,FALSE))</x:f>
      </x:c>
      <x:c r="AO153" s="14">
        <x:f>IF($C153="","",VLOOKUP($C153,Config!$A$2:$Y$4,20,FALSE))</x:f>
      </x:c>
      <x:c r="AP153" s="14">
        <x:f>IF($C153="","",VLOOKUP($C153,Config!$A$2:$Y$4,21,FALSE))</x:f>
      </x:c>
      <x:c r="AQ153" s="14">
        <x:f>IF($C153="","",VLOOKUP($C153,Config!$A$2:$Y$4,22,FALSE))</x:f>
      </x:c>
      <x:c r="AR153" s="14">
        <x:f>IF($C153="","",VLOOKUP($C153,Config!$A$2:$Y$4,23,FALSE))</x:f>
      </x:c>
      <x:c r="AS153" s="13">
        <x:f>IF($C153="","",IF($H153="Extra",3,IF($H153="I",2,IF($H153="II",1,0)))&gt;=IF($AA153="Extra",3,IF($AA153="I",2,IF($AA153="II",1,0))))</x:f>
      </x:c>
      <x:c r="AT153" s="13">
        <x:f>IF($C153="","",IF($I153="",FALSE,$I153&gt;=$AB153))</x:f>
      </x:c>
      <x:c r="AU153" s="13">
        <x:f>IF($C153="","",IF($AC153="",TRUE,IF($J153="",FALSE,$J153&lt;=$AC153)))</x:f>
      </x:c>
      <x:c r="AV153" s="13">
        <x:f>IF($C153="","",IF($AD153="",TRUE,IF($K153="",FALSE,$K153&lt;=$AD153)))</x:f>
      </x:c>
      <x:c r="AW153" s="13">
        <x:f>IF($C153="","",IF($AE153="",TRUE,IF($L153="",FALSE,$L153&lt;=$AE153)))</x:f>
      </x:c>
      <x:c r="AX153" s="13">
        <x:f>IF($C153="","",IF($AF153="",TRUE,IF($M153="",FALSE,$M153&lt;=$AF153)))</x:f>
      </x:c>
      <x:c r="AY153" s="13">
        <x:f>IF($C153="","",IF($AG153="",TRUE,IF($N153="",FALSE,$N153&gt;=$AG153)))</x:f>
      </x:c>
      <x:c r="AZ153" s="13">
        <x:f>IF($C153="","",IF(OR($AH153="",$AI153=""),TRUE,IF($O153="",FALSE,AND($O153&gt;=$AH153,$O153&lt;=$AI153))))</x:f>
      </x:c>
      <x:c r="BA153" s="13">
        <x:f>IF($C153="","",IF($AJ153="Y",$P153="Y",TRUE))</x:f>
      </x:c>
      <x:c r="BB153" s="13">
        <x:f>IF($C153="","",IF($AK153="Y",$Q153="Y",TRUE))</x:f>
      </x:c>
      <x:c r="BC153" s="13">
        <x:f>IF($C153="","",IF($AL153="Y",$R153="Y",TRUE))</x:f>
      </x:c>
      <x:c r="BD153" s="13">
        <x:f>IF($C153="","",IF($AM153="Y",$S153="Y",TRUE))</x:f>
      </x:c>
      <x:c r="BE153" s="13">
        <x:f>IF($C153="","",IF($AN153="Y",$T153="Y",TRUE))</x:f>
      </x:c>
      <x:c r="BF153" s="13">
        <x:f>IF($C153="","",IF($AO153="",TRUE,IF($U153="",FALSE,$U153&lt;=$AO153)))</x:f>
      </x:c>
      <x:c r="BG153" s="13">
        <x:f>IF($C153="","",IF($AP153="",TRUE,IF($V153="",FALSE,$V153&lt;=$AP153)))</x:f>
      </x:c>
      <x:c r="BH153" s="13">
        <x:f>IF($C153="","",IF($AQ153="",TRUE,IF($W153="",FALSE,$W153&lt;=$AQ153)))</x:f>
      </x:c>
      <x:c r="BI153" s="13">
        <x:f>IF($C153="","",IF($AR153="",TRUE,IF($X153="",FALSE,$X153&lt;=$AR153)))</x:f>
      </x:c>
      <x:c r="BJ153" s="15">
        <x:f>IF($C153="","",IF($Y153="",0,$Y153)+IF($AS153,10,0)+IF($AT153,8,0)+IF($AU153,5,0)+IF($AV153,8,0)+IF($AW153,15,0)+IF($AX153,4,0)+IF($AY153,5,0)+IF($AZ153,10,0)+IF($BA153,8,0)+IF($BB153,4,0)+IF($BC153,6,0)+IF($BD153,3,0)+IF($BE153,2,0)+IF($BF153,2,0)+IF($BG153,2,0)+IF($BH153,2,0)+IF($BI153,1,0))</x:f>
      </x:c>
      <x:c r="BK153" s="15">
        <x:f>IF($C153="","",IF(NOT($AS153),1,0)+IF(NOT($AW153),1,0)+IF(NOT($AZ153),1,0)+IF(NOT($BA153),1,0)+IF(NOT($BB153),1,0)+IF(NOT($BC153),1,0))</x:f>
      </x:c>
      <x:c r="BL153" s="13">
        <x:f>IF($C153="","",IF($BK153&gt;0,"REJECT",IF(COUNTIF($AS153:$BI153,FALSE)=0,"ACCEPT",IF($BJ153&gt;=85,"ACCEPT WITH SORTING / DISCOUNT","REJECT"))))</x:f>
      </x:c>
    </x:row>
    <x:row r="154" ht="24" customHeight="1">
      <x:c r="A154" s="10" t="n"/>
      <x:c r="B154" s="11" t="n"/>
      <x:c r="C154" s="11" t="n"/>
      <x:c r="D154" s="11" t="n"/>
      <x:c r="E154" s="11" t="n"/>
      <x:c r="F154" s="11" t="n"/>
      <x:c r="G154" s="11" t="n"/>
      <x:c r="H154" s="11" t="n"/>
      <x:c r="I154" s="12" t="n"/>
      <x:c r="J154" s="12" t="n"/>
      <x:c r="K154" s="12" t="n"/>
      <x:c r="L154" s="12" t="n"/>
      <x:c r="M154" s="12" t="n"/>
      <x:c r="N154" s="12" t="n"/>
      <x:c r="O154" s="12" t="n"/>
      <x:c r="P154" s="11" t="n"/>
      <x:c r="Q154" s="11" t="n"/>
      <x:c r="R154" s="11" t="n"/>
      <x:c r="S154" s="11" t="n"/>
      <x:c r="T154" s="11" t="n"/>
      <x:c r="U154" s="12" t="n"/>
      <x:c r="V154" s="12" t="n"/>
      <x:c r="W154" s="12" t="n"/>
      <x:c r="X154" s="12" t="n"/>
      <x:c r="Y154" s="12" t="n"/>
      <x:c r="Z154" s="13">
        <x:f>IF($C154="","",VLOOKUP($C154,Config!$A$2:$Y$4,2,FALSE))</x:f>
      </x:c>
      <x:c r="AA154" s="13">
        <x:f>IF($C154="","",VLOOKUP($C154,Config!$A$2:$Y$4,5,FALSE))</x:f>
      </x:c>
      <x:c r="AB154" s="14">
        <x:f>IF($C154="","",VLOOKUP($C154,Config!$A$2:$Y$4,7,FALSE))</x:f>
      </x:c>
      <x:c r="AC154" s="14">
        <x:f>IF($C154="","",VLOOKUP($C154,Config!$A$2:$Y$4,8,FALSE))</x:f>
      </x:c>
      <x:c r="AD154" s="14">
        <x:f>IF($C154="","",VLOOKUP($C154,Config!$A$2:$Y$4,9,FALSE))</x:f>
      </x:c>
      <x:c r="AE154" s="14">
        <x:f>IF($C154="","",VLOOKUP($C154,Config!$A$2:$Y$4,10,FALSE))</x:f>
      </x:c>
      <x:c r="AF154" s="14">
        <x:f>IF($C154="","",VLOOKUP($C154,Config!$A$2:$Y$4,11,FALSE))</x:f>
      </x:c>
      <x:c r="AG154" s="14">
        <x:f>IF($C154="","",VLOOKUP($C154,Config!$A$2:$Y$4,12,FALSE))</x:f>
      </x:c>
      <x:c r="AH154" s="14">
        <x:f>IF($C154="","",VLOOKUP($C154,Config!$A$2:$Y$4,13,FALSE))</x:f>
      </x:c>
      <x:c r="AI154" s="14">
        <x:f>IF($C154="","",VLOOKUP($C154,Config!$A$2:$Y$4,14,FALSE))</x:f>
      </x:c>
      <x:c r="AJ154" s="14">
        <x:f>IF($C154="","",VLOOKUP($C154,Config!$A$2:$Y$4,15,FALSE))</x:f>
      </x:c>
      <x:c r="AK154" s="14">
        <x:f>IF($C154="","",VLOOKUP($C154,Config!$A$2:$Y$4,16,FALSE))</x:f>
      </x:c>
      <x:c r="AL154" s="14">
        <x:f>IF($C154="","",VLOOKUP($C154,Config!$A$2:$Y$4,17,FALSE))</x:f>
      </x:c>
      <x:c r="AM154" s="14">
        <x:f>IF($C154="","",VLOOKUP($C154,Config!$A$2:$Y$4,18,FALSE))</x:f>
      </x:c>
      <x:c r="AN154" s="14">
        <x:f>IF($C154="","",VLOOKUP($C154,Config!$A$2:$Y$4,19,FALSE))</x:f>
      </x:c>
      <x:c r="AO154" s="14">
        <x:f>IF($C154="","",VLOOKUP($C154,Config!$A$2:$Y$4,20,FALSE))</x:f>
      </x:c>
      <x:c r="AP154" s="14">
        <x:f>IF($C154="","",VLOOKUP($C154,Config!$A$2:$Y$4,21,FALSE))</x:f>
      </x:c>
      <x:c r="AQ154" s="14">
        <x:f>IF($C154="","",VLOOKUP($C154,Config!$A$2:$Y$4,22,FALSE))</x:f>
      </x:c>
      <x:c r="AR154" s="14">
        <x:f>IF($C154="","",VLOOKUP($C154,Config!$A$2:$Y$4,23,FALSE))</x:f>
      </x:c>
      <x:c r="AS154" s="13">
        <x:f>IF($C154="","",IF($H154="Extra",3,IF($H154="I",2,IF($H154="II",1,0)))&gt;=IF($AA154="Extra",3,IF($AA154="I",2,IF($AA154="II",1,0))))</x:f>
      </x:c>
      <x:c r="AT154" s="13">
        <x:f>IF($C154="","",IF($I154="",FALSE,$I154&gt;=$AB154))</x:f>
      </x:c>
      <x:c r="AU154" s="13">
        <x:f>IF($C154="","",IF($AC154="",TRUE,IF($J154="",FALSE,$J154&lt;=$AC154)))</x:f>
      </x:c>
      <x:c r="AV154" s="13">
        <x:f>IF($C154="","",IF($AD154="",TRUE,IF($K154="",FALSE,$K154&lt;=$AD154)))</x:f>
      </x:c>
      <x:c r="AW154" s="13">
        <x:f>IF($C154="","",IF($AE154="",TRUE,IF($L154="",FALSE,$L154&lt;=$AE154)))</x:f>
      </x:c>
      <x:c r="AX154" s="13">
        <x:f>IF($C154="","",IF($AF154="",TRUE,IF($M154="",FALSE,$M154&lt;=$AF154)))</x:f>
      </x:c>
      <x:c r="AY154" s="13">
        <x:f>IF($C154="","",IF($AG154="",TRUE,IF($N154="",FALSE,$N154&gt;=$AG154)))</x:f>
      </x:c>
      <x:c r="AZ154" s="13">
        <x:f>IF($C154="","",IF(OR($AH154="",$AI154=""),TRUE,IF($O154="",FALSE,AND($O154&gt;=$AH154,$O154&lt;=$AI154))))</x:f>
      </x:c>
      <x:c r="BA154" s="13">
        <x:f>IF($C154="","",IF($AJ154="Y",$P154="Y",TRUE))</x:f>
      </x:c>
      <x:c r="BB154" s="13">
        <x:f>IF($C154="","",IF($AK154="Y",$Q154="Y",TRUE))</x:f>
      </x:c>
      <x:c r="BC154" s="13">
        <x:f>IF($C154="","",IF($AL154="Y",$R154="Y",TRUE))</x:f>
      </x:c>
      <x:c r="BD154" s="13">
        <x:f>IF($C154="","",IF($AM154="Y",$S154="Y",TRUE))</x:f>
      </x:c>
      <x:c r="BE154" s="13">
        <x:f>IF($C154="","",IF($AN154="Y",$T154="Y",TRUE))</x:f>
      </x:c>
      <x:c r="BF154" s="13">
        <x:f>IF($C154="","",IF($AO154="",TRUE,IF($U154="",FALSE,$U154&lt;=$AO154)))</x:f>
      </x:c>
      <x:c r="BG154" s="13">
        <x:f>IF($C154="","",IF($AP154="",TRUE,IF($V154="",FALSE,$V154&lt;=$AP154)))</x:f>
      </x:c>
      <x:c r="BH154" s="13">
        <x:f>IF($C154="","",IF($AQ154="",TRUE,IF($W154="",FALSE,$W154&lt;=$AQ154)))</x:f>
      </x:c>
      <x:c r="BI154" s="13">
        <x:f>IF($C154="","",IF($AR154="",TRUE,IF($X154="",FALSE,$X154&lt;=$AR154)))</x:f>
      </x:c>
      <x:c r="BJ154" s="15">
        <x:f>IF($C154="","",IF($Y154="",0,$Y154)+IF($AS154,10,0)+IF($AT154,8,0)+IF($AU154,5,0)+IF($AV154,8,0)+IF($AW154,15,0)+IF($AX154,4,0)+IF($AY154,5,0)+IF($AZ154,10,0)+IF($BA154,8,0)+IF($BB154,4,0)+IF($BC154,6,0)+IF($BD154,3,0)+IF($BE154,2,0)+IF($BF154,2,0)+IF($BG154,2,0)+IF($BH154,2,0)+IF($BI154,1,0))</x:f>
      </x:c>
      <x:c r="BK154" s="15">
        <x:f>IF($C154="","",IF(NOT($AS154),1,0)+IF(NOT($AW154),1,0)+IF(NOT($AZ154),1,0)+IF(NOT($BA154),1,0)+IF(NOT($BB154),1,0)+IF(NOT($BC154),1,0))</x:f>
      </x:c>
      <x:c r="BL154" s="13">
        <x:f>IF($C154="","",IF($BK154&gt;0,"REJECT",IF(COUNTIF($AS154:$BI154,FALSE)=0,"ACCEPT",IF($BJ154&gt;=85,"ACCEPT WITH SORTING / DISCOUNT","REJECT"))))</x:f>
      </x:c>
    </x:row>
    <x:row r="155" ht="24" customHeight="1">
      <x:c r="A155" s="10" t="n"/>
      <x:c r="B155" s="11" t="n"/>
      <x:c r="C155" s="11" t="n"/>
      <x:c r="D155" s="11" t="n"/>
      <x:c r="E155" s="11" t="n"/>
      <x:c r="F155" s="11" t="n"/>
      <x:c r="G155" s="11" t="n"/>
      <x:c r="H155" s="11" t="n"/>
      <x:c r="I155" s="12" t="n"/>
      <x:c r="J155" s="12" t="n"/>
      <x:c r="K155" s="12" t="n"/>
      <x:c r="L155" s="12" t="n"/>
      <x:c r="M155" s="12" t="n"/>
      <x:c r="N155" s="12" t="n"/>
      <x:c r="O155" s="12" t="n"/>
      <x:c r="P155" s="11" t="n"/>
      <x:c r="Q155" s="11" t="n"/>
      <x:c r="R155" s="11" t="n"/>
      <x:c r="S155" s="11" t="n"/>
      <x:c r="T155" s="11" t="n"/>
      <x:c r="U155" s="12" t="n"/>
      <x:c r="V155" s="12" t="n"/>
      <x:c r="W155" s="12" t="n"/>
      <x:c r="X155" s="12" t="n"/>
      <x:c r="Y155" s="12" t="n"/>
      <x:c r="Z155" s="13">
        <x:f>IF($C155="","",VLOOKUP($C155,Config!$A$2:$Y$4,2,FALSE))</x:f>
      </x:c>
      <x:c r="AA155" s="13">
        <x:f>IF($C155="","",VLOOKUP($C155,Config!$A$2:$Y$4,5,FALSE))</x:f>
      </x:c>
      <x:c r="AB155" s="14">
        <x:f>IF($C155="","",VLOOKUP($C155,Config!$A$2:$Y$4,7,FALSE))</x:f>
      </x:c>
      <x:c r="AC155" s="14">
        <x:f>IF($C155="","",VLOOKUP($C155,Config!$A$2:$Y$4,8,FALSE))</x:f>
      </x:c>
      <x:c r="AD155" s="14">
        <x:f>IF($C155="","",VLOOKUP($C155,Config!$A$2:$Y$4,9,FALSE))</x:f>
      </x:c>
      <x:c r="AE155" s="14">
        <x:f>IF($C155="","",VLOOKUP($C155,Config!$A$2:$Y$4,10,FALSE))</x:f>
      </x:c>
      <x:c r="AF155" s="14">
        <x:f>IF($C155="","",VLOOKUP($C155,Config!$A$2:$Y$4,11,FALSE))</x:f>
      </x:c>
      <x:c r="AG155" s="14">
        <x:f>IF($C155="","",VLOOKUP($C155,Config!$A$2:$Y$4,12,FALSE))</x:f>
      </x:c>
      <x:c r="AH155" s="14">
        <x:f>IF($C155="","",VLOOKUP($C155,Config!$A$2:$Y$4,13,FALSE))</x:f>
      </x:c>
      <x:c r="AI155" s="14">
        <x:f>IF($C155="","",VLOOKUP($C155,Config!$A$2:$Y$4,14,FALSE))</x:f>
      </x:c>
      <x:c r="AJ155" s="14">
        <x:f>IF($C155="","",VLOOKUP($C155,Config!$A$2:$Y$4,15,FALSE))</x:f>
      </x:c>
      <x:c r="AK155" s="14">
        <x:f>IF($C155="","",VLOOKUP($C155,Config!$A$2:$Y$4,16,FALSE))</x:f>
      </x:c>
      <x:c r="AL155" s="14">
        <x:f>IF($C155="","",VLOOKUP($C155,Config!$A$2:$Y$4,17,FALSE))</x:f>
      </x:c>
      <x:c r="AM155" s="14">
        <x:f>IF($C155="","",VLOOKUP($C155,Config!$A$2:$Y$4,18,FALSE))</x:f>
      </x:c>
      <x:c r="AN155" s="14">
        <x:f>IF($C155="","",VLOOKUP($C155,Config!$A$2:$Y$4,19,FALSE))</x:f>
      </x:c>
      <x:c r="AO155" s="14">
        <x:f>IF($C155="","",VLOOKUP($C155,Config!$A$2:$Y$4,20,FALSE))</x:f>
      </x:c>
      <x:c r="AP155" s="14">
        <x:f>IF($C155="","",VLOOKUP($C155,Config!$A$2:$Y$4,21,FALSE))</x:f>
      </x:c>
      <x:c r="AQ155" s="14">
        <x:f>IF($C155="","",VLOOKUP($C155,Config!$A$2:$Y$4,22,FALSE))</x:f>
      </x:c>
      <x:c r="AR155" s="14">
        <x:f>IF($C155="","",VLOOKUP($C155,Config!$A$2:$Y$4,23,FALSE))</x:f>
      </x:c>
      <x:c r="AS155" s="13">
        <x:f>IF($C155="","",IF($H155="Extra",3,IF($H155="I",2,IF($H155="II",1,0)))&gt;=IF($AA155="Extra",3,IF($AA155="I",2,IF($AA155="II",1,0))))</x:f>
      </x:c>
      <x:c r="AT155" s="13">
        <x:f>IF($C155="","",IF($I155="",FALSE,$I155&gt;=$AB155))</x:f>
      </x:c>
      <x:c r="AU155" s="13">
        <x:f>IF($C155="","",IF($AC155="",TRUE,IF($J155="",FALSE,$J155&lt;=$AC155)))</x:f>
      </x:c>
      <x:c r="AV155" s="13">
        <x:f>IF($C155="","",IF($AD155="",TRUE,IF($K155="",FALSE,$K155&lt;=$AD155)))</x:f>
      </x:c>
      <x:c r="AW155" s="13">
        <x:f>IF($C155="","",IF($AE155="",TRUE,IF($L155="",FALSE,$L155&lt;=$AE155)))</x:f>
      </x:c>
      <x:c r="AX155" s="13">
        <x:f>IF($C155="","",IF($AF155="",TRUE,IF($M155="",FALSE,$M155&lt;=$AF155)))</x:f>
      </x:c>
      <x:c r="AY155" s="13">
        <x:f>IF($C155="","",IF($AG155="",TRUE,IF($N155="",FALSE,$N155&gt;=$AG155)))</x:f>
      </x:c>
      <x:c r="AZ155" s="13">
        <x:f>IF($C155="","",IF(OR($AH155="",$AI155=""),TRUE,IF($O155="",FALSE,AND($O155&gt;=$AH155,$O155&lt;=$AI155))))</x:f>
      </x:c>
      <x:c r="BA155" s="13">
        <x:f>IF($C155="","",IF($AJ155="Y",$P155="Y",TRUE))</x:f>
      </x:c>
      <x:c r="BB155" s="13">
        <x:f>IF($C155="","",IF($AK155="Y",$Q155="Y",TRUE))</x:f>
      </x:c>
      <x:c r="BC155" s="13">
        <x:f>IF($C155="","",IF($AL155="Y",$R155="Y",TRUE))</x:f>
      </x:c>
      <x:c r="BD155" s="13">
        <x:f>IF($C155="","",IF($AM155="Y",$S155="Y",TRUE))</x:f>
      </x:c>
      <x:c r="BE155" s="13">
        <x:f>IF($C155="","",IF($AN155="Y",$T155="Y",TRUE))</x:f>
      </x:c>
      <x:c r="BF155" s="13">
        <x:f>IF($C155="","",IF($AO155="",TRUE,IF($U155="",FALSE,$U155&lt;=$AO155)))</x:f>
      </x:c>
      <x:c r="BG155" s="13">
        <x:f>IF($C155="","",IF($AP155="",TRUE,IF($V155="",FALSE,$V155&lt;=$AP155)))</x:f>
      </x:c>
      <x:c r="BH155" s="13">
        <x:f>IF($C155="","",IF($AQ155="",TRUE,IF($W155="",FALSE,$W155&lt;=$AQ155)))</x:f>
      </x:c>
      <x:c r="BI155" s="13">
        <x:f>IF($C155="","",IF($AR155="",TRUE,IF($X155="",FALSE,$X155&lt;=$AR155)))</x:f>
      </x:c>
      <x:c r="BJ155" s="15">
        <x:f>IF($C155="","",IF($Y155="",0,$Y155)+IF($AS155,10,0)+IF($AT155,8,0)+IF($AU155,5,0)+IF($AV155,8,0)+IF($AW155,15,0)+IF($AX155,4,0)+IF($AY155,5,0)+IF($AZ155,10,0)+IF($BA155,8,0)+IF($BB155,4,0)+IF($BC155,6,0)+IF($BD155,3,0)+IF($BE155,2,0)+IF($BF155,2,0)+IF($BG155,2,0)+IF($BH155,2,0)+IF($BI155,1,0))</x:f>
      </x:c>
      <x:c r="BK155" s="15">
        <x:f>IF($C155="","",IF(NOT($AS155),1,0)+IF(NOT($AW155),1,0)+IF(NOT($AZ155),1,0)+IF(NOT($BA155),1,0)+IF(NOT($BB155),1,0)+IF(NOT($BC155),1,0))</x:f>
      </x:c>
      <x:c r="BL155" s="13">
        <x:f>IF($C155="","",IF($BK155&gt;0,"REJECT",IF(COUNTIF($AS155:$BI155,FALSE)=0,"ACCEPT",IF($BJ155&gt;=85,"ACCEPT WITH SORTING / DISCOUNT","REJECT"))))</x:f>
      </x:c>
    </x:row>
    <x:row r="156" ht="24" customHeight="1">
      <x:c r="A156" s="10" t="n"/>
      <x:c r="B156" s="11" t="n"/>
      <x:c r="C156" s="11" t="n"/>
      <x:c r="D156" s="11" t="n"/>
      <x:c r="E156" s="11" t="n"/>
      <x:c r="F156" s="11" t="n"/>
      <x:c r="G156" s="11" t="n"/>
      <x:c r="H156" s="11" t="n"/>
      <x:c r="I156" s="12" t="n"/>
      <x:c r="J156" s="12" t="n"/>
      <x:c r="K156" s="12" t="n"/>
      <x:c r="L156" s="12" t="n"/>
      <x:c r="M156" s="12" t="n"/>
      <x:c r="N156" s="12" t="n"/>
      <x:c r="O156" s="12" t="n"/>
      <x:c r="P156" s="11" t="n"/>
      <x:c r="Q156" s="11" t="n"/>
      <x:c r="R156" s="11" t="n"/>
      <x:c r="S156" s="11" t="n"/>
      <x:c r="T156" s="11" t="n"/>
      <x:c r="U156" s="12" t="n"/>
      <x:c r="V156" s="12" t="n"/>
      <x:c r="W156" s="12" t="n"/>
      <x:c r="X156" s="12" t="n"/>
      <x:c r="Y156" s="12" t="n"/>
      <x:c r="Z156" s="13">
        <x:f>IF($C156="","",VLOOKUP($C156,Config!$A$2:$Y$4,2,FALSE))</x:f>
      </x:c>
      <x:c r="AA156" s="13">
        <x:f>IF($C156="","",VLOOKUP($C156,Config!$A$2:$Y$4,5,FALSE))</x:f>
      </x:c>
      <x:c r="AB156" s="14">
        <x:f>IF($C156="","",VLOOKUP($C156,Config!$A$2:$Y$4,7,FALSE))</x:f>
      </x:c>
      <x:c r="AC156" s="14">
        <x:f>IF($C156="","",VLOOKUP($C156,Config!$A$2:$Y$4,8,FALSE))</x:f>
      </x:c>
      <x:c r="AD156" s="14">
        <x:f>IF($C156="","",VLOOKUP($C156,Config!$A$2:$Y$4,9,FALSE))</x:f>
      </x:c>
      <x:c r="AE156" s="14">
        <x:f>IF($C156="","",VLOOKUP($C156,Config!$A$2:$Y$4,10,FALSE))</x:f>
      </x:c>
      <x:c r="AF156" s="14">
        <x:f>IF($C156="","",VLOOKUP($C156,Config!$A$2:$Y$4,11,FALSE))</x:f>
      </x:c>
      <x:c r="AG156" s="14">
        <x:f>IF($C156="","",VLOOKUP($C156,Config!$A$2:$Y$4,12,FALSE))</x:f>
      </x:c>
      <x:c r="AH156" s="14">
        <x:f>IF($C156="","",VLOOKUP($C156,Config!$A$2:$Y$4,13,FALSE))</x:f>
      </x:c>
      <x:c r="AI156" s="14">
        <x:f>IF($C156="","",VLOOKUP($C156,Config!$A$2:$Y$4,14,FALSE))</x:f>
      </x:c>
      <x:c r="AJ156" s="14">
        <x:f>IF($C156="","",VLOOKUP($C156,Config!$A$2:$Y$4,15,FALSE))</x:f>
      </x:c>
      <x:c r="AK156" s="14">
        <x:f>IF($C156="","",VLOOKUP($C156,Config!$A$2:$Y$4,16,FALSE))</x:f>
      </x:c>
      <x:c r="AL156" s="14">
        <x:f>IF($C156="","",VLOOKUP($C156,Config!$A$2:$Y$4,17,FALSE))</x:f>
      </x:c>
      <x:c r="AM156" s="14">
        <x:f>IF($C156="","",VLOOKUP($C156,Config!$A$2:$Y$4,18,FALSE))</x:f>
      </x:c>
      <x:c r="AN156" s="14">
        <x:f>IF($C156="","",VLOOKUP($C156,Config!$A$2:$Y$4,19,FALSE))</x:f>
      </x:c>
      <x:c r="AO156" s="14">
        <x:f>IF($C156="","",VLOOKUP($C156,Config!$A$2:$Y$4,20,FALSE))</x:f>
      </x:c>
      <x:c r="AP156" s="14">
        <x:f>IF($C156="","",VLOOKUP($C156,Config!$A$2:$Y$4,21,FALSE))</x:f>
      </x:c>
      <x:c r="AQ156" s="14">
        <x:f>IF($C156="","",VLOOKUP($C156,Config!$A$2:$Y$4,22,FALSE))</x:f>
      </x:c>
      <x:c r="AR156" s="14">
        <x:f>IF($C156="","",VLOOKUP($C156,Config!$A$2:$Y$4,23,FALSE))</x:f>
      </x:c>
      <x:c r="AS156" s="13">
        <x:f>IF($C156="","",IF($H156="Extra",3,IF($H156="I",2,IF($H156="II",1,0)))&gt;=IF($AA156="Extra",3,IF($AA156="I",2,IF($AA156="II",1,0))))</x:f>
      </x:c>
      <x:c r="AT156" s="13">
        <x:f>IF($C156="","",IF($I156="",FALSE,$I156&gt;=$AB156))</x:f>
      </x:c>
      <x:c r="AU156" s="13">
        <x:f>IF($C156="","",IF($AC156="",TRUE,IF($J156="",FALSE,$J156&lt;=$AC156)))</x:f>
      </x:c>
      <x:c r="AV156" s="13">
        <x:f>IF($C156="","",IF($AD156="",TRUE,IF($K156="",FALSE,$K156&lt;=$AD156)))</x:f>
      </x:c>
      <x:c r="AW156" s="13">
        <x:f>IF($C156="","",IF($AE156="",TRUE,IF($L156="",FALSE,$L156&lt;=$AE156)))</x:f>
      </x:c>
      <x:c r="AX156" s="13">
        <x:f>IF($C156="","",IF($AF156="",TRUE,IF($M156="",FALSE,$M156&lt;=$AF156)))</x:f>
      </x:c>
      <x:c r="AY156" s="13">
        <x:f>IF($C156="","",IF($AG156="",TRUE,IF($N156="",FALSE,$N156&gt;=$AG156)))</x:f>
      </x:c>
      <x:c r="AZ156" s="13">
        <x:f>IF($C156="","",IF(OR($AH156="",$AI156=""),TRUE,IF($O156="",FALSE,AND($O156&gt;=$AH156,$O156&lt;=$AI156))))</x:f>
      </x:c>
      <x:c r="BA156" s="13">
        <x:f>IF($C156="","",IF($AJ156="Y",$P156="Y",TRUE))</x:f>
      </x:c>
      <x:c r="BB156" s="13">
        <x:f>IF($C156="","",IF($AK156="Y",$Q156="Y",TRUE))</x:f>
      </x:c>
      <x:c r="BC156" s="13">
        <x:f>IF($C156="","",IF($AL156="Y",$R156="Y",TRUE))</x:f>
      </x:c>
      <x:c r="BD156" s="13">
        <x:f>IF($C156="","",IF($AM156="Y",$S156="Y",TRUE))</x:f>
      </x:c>
      <x:c r="BE156" s="13">
        <x:f>IF($C156="","",IF($AN156="Y",$T156="Y",TRUE))</x:f>
      </x:c>
      <x:c r="BF156" s="13">
        <x:f>IF($C156="","",IF($AO156="",TRUE,IF($U156="",FALSE,$U156&lt;=$AO156)))</x:f>
      </x:c>
      <x:c r="BG156" s="13">
        <x:f>IF($C156="","",IF($AP156="",TRUE,IF($V156="",FALSE,$V156&lt;=$AP156)))</x:f>
      </x:c>
      <x:c r="BH156" s="13">
        <x:f>IF($C156="","",IF($AQ156="",TRUE,IF($W156="",FALSE,$W156&lt;=$AQ156)))</x:f>
      </x:c>
      <x:c r="BI156" s="13">
        <x:f>IF($C156="","",IF($AR156="",TRUE,IF($X156="",FALSE,$X156&lt;=$AR156)))</x:f>
      </x:c>
      <x:c r="BJ156" s="15">
        <x:f>IF($C156="","",IF($Y156="",0,$Y156)+IF($AS156,10,0)+IF($AT156,8,0)+IF($AU156,5,0)+IF($AV156,8,0)+IF($AW156,15,0)+IF($AX156,4,0)+IF($AY156,5,0)+IF($AZ156,10,0)+IF($BA156,8,0)+IF($BB156,4,0)+IF($BC156,6,0)+IF($BD156,3,0)+IF($BE156,2,0)+IF($BF156,2,0)+IF($BG156,2,0)+IF($BH156,2,0)+IF($BI156,1,0))</x:f>
      </x:c>
      <x:c r="BK156" s="15">
        <x:f>IF($C156="","",IF(NOT($AS156),1,0)+IF(NOT($AW156),1,0)+IF(NOT($AZ156),1,0)+IF(NOT($BA156),1,0)+IF(NOT($BB156),1,0)+IF(NOT($BC156),1,0))</x:f>
      </x:c>
      <x:c r="BL156" s="13">
        <x:f>IF($C156="","",IF($BK156&gt;0,"REJECT",IF(COUNTIF($AS156:$BI156,FALSE)=0,"ACCEPT",IF($BJ156&gt;=85,"ACCEPT WITH SORTING / DISCOUNT","REJECT"))))</x:f>
      </x:c>
    </x:row>
    <x:row r="157" ht="24" customHeight="1">
      <x:c r="A157" s="10" t="n"/>
      <x:c r="B157" s="11" t="n"/>
      <x:c r="C157" s="11" t="n"/>
      <x:c r="D157" s="11" t="n"/>
      <x:c r="E157" s="11" t="n"/>
      <x:c r="F157" s="11" t="n"/>
      <x:c r="G157" s="11" t="n"/>
      <x:c r="H157" s="11" t="n"/>
      <x:c r="I157" s="12" t="n"/>
      <x:c r="J157" s="12" t="n"/>
      <x:c r="K157" s="12" t="n"/>
      <x:c r="L157" s="12" t="n"/>
      <x:c r="M157" s="12" t="n"/>
      <x:c r="N157" s="12" t="n"/>
      <x:c r="O157" s="12" t="n"/>
      <x:c r="P157" s="11" t="n"/>
      <x:c r="Q157" s="11" t="n"/>
      <x:c r="R157" s="11" t="n"/>
      <x:c r="S157" s="11" t="n"/>
      <x:c r="T157" s="11" t="n"/>
      <x:c r="U157" s="12" t="n"/>
      <x:c r="V157" s="12" t="n"/>
      <x:c r="W157" s="12" t="n"/>
      <x:c r="X157" s="12" t="n"/>
      <x:c r="Y157" s="12" t="n"/>
      <x:c r="Z157" s="13">
        <x:f>IF($C157="","",VLOOKUP($C157,Config!$A$2:$Y$4,2,FALSE))</x:f>
      </x:c>
      <x:c r="AA157" s="13">
        <x:f>IF($C157="","",VLOOKUP($C157,Config!$A$2:$Y$4,5,FALSE))</x:f>
      </x:c>
      <x:c r="AB157" s="14">
        <x:f>IF($C157="","",VLOOKUP($C157,Config!$A$2:$Y$4,7,FALSE))</x:f>
      </x:c>
      <x:c r="AC157" s="14">
        <x:f>IF($C157="","",VLOOKUP($C157,Config!$A$2:$Y$4,8,FALSE))</x:f>
      </x:c>
      <x:c r="AD157" s="14">
        <x:f>IF($C157="","",VLOOKUP($C157,Config!$A$2:$Y$4,9,FALSE))</x:f>
      </x:c>
      <x:c r="AE157" s="14">
        <x:f>IF($C157="","",VLOOKUP($C157,Config!$A$2:$Y$4,10,FALSE))</x:f>
      </x:c>
      <x:c r="AF157" s="14">
        <x:f>IF($C157="","",VLOOKUP($C157,Config!$A$2:$Y$4,11,FALSE))</x:f>
      </x:c>
      <x:c r="AG157" s="14">
        <x:f>IF($C157="","",VLOOKUP($C157,Config!$A$2:$Y$4,12,FALSE))</x:f>
      </x:c>
      <x:c r="AH157" s="14">
        <x:f>IF($C157="","",VLOOKUP($C157,Config!$A$2:$Y$4,13,FALSE))</x:f>
      </x:c>
      <x:c r="AI157" s="14">
        <x:f>IF($C157="","",VLOOKUP($C157,Config!$A$2:$Y$4,14,FALSE))</x:f>
      </x:c>
      <x:c r="AJ157" s="14">
        <x:f>IF($C157="","",VLOOKUP($C157,Config!$A$2:$Y$4,15,FALSE))</x:f>
      </x:c>
      <x:c r="AK157" s="14">
        <x:f>IF($C157="","",VLOOKUP($C157,Config!$A$2:$Y$4,16,FALSE))</x:f>
      </x:c>
      <x:c r="AL157" s="14">
        <x:f>IF($C157="","",VLOOKUP($C157,Config!$A$2:$Y$4,17,FALSE))</x:f>
      </x:c>
      <x:c r="AM157" s="14">
        <x:f>IF($C157="","",VLOOKUP($C157,Config!$A$2:$Y$4,18,FALSE))</x:f>
      </x:c>
      <x:c r="AN157" s="14">
        <x:f>IF($C157="","",VLOOKUP($C157,Config!$A$2:$Y$4,19,FALSE))</x:f>
      </x:c>
      <x:c r="AO157" s="14">
        <x:f>IF($C157="","",VLOOKUP($C157,Config!$A$2:$Y$4,20,FALSE))</x:f>
      </x:c>
      <x:c r="AP157" s="14">
        <x:f>IF($C157="","",VLOOKUP($C157,Config!$A$2:$Y$4,21,FALSE))</x:f>
      </x:c>
      <x:c r="AQ157" s="14">
        <x:f>IF($C157="","",VLOOKUP($C157,Config!$A$2:$Y$4,22,FALSE))</x:f>
      </x:c>
      <x:c r="AR157" s="14">
        <x:f>IF($C157="","",VLOOKUP($C157,Config!$A$2:$Y$4,23,FALSE))</x:f>
      </x:c>
      <x:c r="AS157" s="13">
        <x:f>IF($C157="","",IF($H157="Extra",3,IF($H157="I",2,IF($H157="II",1,0)))&gt;=IF($AA157="Extra",3,IF($AA157="I",2,IF($AA157="II",1,0))))</x:f>
      </x:c>
      <x:c r="AT157" s="13">
        <x:f>IF($C157="","",IF($I157="",FALSE,$I157&gt;=$AB157))</x:f>
      </x:c>
      <x:c r="AU157" s="13">
        <x:f>IF($C157="","",IF($AC157="",TRUE,IF($J157="",FALSE,$J157&lt;=$AC157)))</x:f>
      </x:c>
      <x:c r="AV157" s="13">
        <x:f>IF($C157="","",IF($AD157="",TRUE,IF($K157="",FALSE,$K157&lt;=$AD157)))</x:f>
      </x:c>
      <x:c r="AW157" s="13">
        <x:f>IF($C157="","",IF($AE157="",TRUE,IF($L157="",FALSE,$L157&lt;=$AE157)))</x:f>
      </x:c>
      <x:c r="AX157" s="13">
        <x:f>IF($C157="","",IF($AF157="",TRUE,IF($M157="",FALSE,$M157&lt;=$AF157)))</x:f>
      </x:c>
      <x:c r="AY157" s="13">
        <x:f>IF($C157="","",IF($AG157="",TRUE,IF($N157="",FALSE,$N157&gt;=$AG157)))</x:f>
      </x:c>
      <x:c r="AZ157" s="13">
        <x:f>IF($C157="","",IF(OR($AH157="",$AI157=""),TRUE,IF($O157="",FALSE,AND($O157&gt;=$AH157,$O157&lt;=$AI157))))</x:f>
      </x:c>
      <x:c r="BA157" s="13">
        <x:f>IF($C157="","",IF($AJ157="Y",$P157="Y",TRUE))</x:f>
      </x:c>
      <x:c r="BB157" s="13">
        <x:f>IF($C157="","",IF($AK157="Y",$Q157="Y",TRUE))</x:f>
      </x:c>
      <x:c r="BC157" s="13">
        <x:f>IF($C157="","",IF($AL157="Y",$R157="Y",TRUE))</x:f>
      </x:c>
      <x:c r="BD157" s="13">
        <x:f>IF($C157="","",IF($AM157="Y",$S157="Y",TRUE))</x:f>
      </x:c>
      <x:c r="BE157" s="13">
        <x:f>IF($C157="","",IF($AN157="Y",$T157="Y",TRUE))</x:f>
      </x:c>
      <x:c r="BF157" s="13">
        <x:f>IF($C157="","",IF($AO157="",TRUE,IF($U157="",FALSE,$U157&lt;=$AO157)))</x:f>
      </x:c>
      <x:c r="BG157" s="13">
        <x:f>IF($C157="","",IF($AP157="",TRUE,IF($V157="",FALSE,$V157&lt;=$AP157)))</x:f>
      </x:c>
      <x:c r="BH157" s="13">
        <x:f>IF($C157="","",IF($AQ157="",TRUE,IF($W157="",FALSE,$W157&lt;=$AQ157)))</x:f>
      </x:c>
      <x:c r="BI157" s="13">
        <x:f>IF($C157="","",IF($AR157="",TRUE,IF($X157="",FALSE,$X157&lt;=$AR157)))</x:f>
      </x:c>
      <x:c r="BJ157" s="15">
        <x:f>IF($C157="","",IF($Y157="",0,$Y157)+IF($AS157,10,0)+IF($AT157,8,0)+IF($AU157,5,0)+IF($AV157,8,0)+IF($AW157,15,0)+IF($AX157,4,0)+IF($AY157,5,0)+IF($AZ157,10,0)+IF($BA157,8,0)+IF($BB157,4,0)+IF($BC157,6,0)+IF($BD157,3,0)+IF($BE157,2,0)+IF($BF157,2,0)+IF($BG157,2,0)+IF($BH157,2,0)+IF($BI157,1,0))</x:f>
      </x:c>
      <x:c r="BK157" s="15">
        <x:f>IF($C157="","",IF(NOT($AS157),1,0)+IF(NOT($AW157),1,0)+IF(NOT($AZ157),1,0)+IF(NOT($BA157),1,0)+IF(NOT($BB157),1,0)+IF(NOT($BC157),1,0))</x:f>
      </x:c>
      <x:c r="BL157" s="13">
        <x:f>IF($C157="","",IF($BK157&gt;0,"REJECT",IF(COUNTIF($AS157:$BI157,FALSE)=0,"ACCEPT",IF($BJ157&gt;=85,"ACCEPT WITH SORTING / DISCOUNT","REJECT"))))</x:f>
      </x:c>
    </x:row>
    <x:row r="158" ht="24" customHeight="1">
      <x:c r="A158" s="10" t="n"/>
      <x:c r="B158" s="11" t="n"/>
      <x:c r="C158" s="11" t="n"/>
      <x:c r="D158" s="11" t="n"/>
      <x:c r="E158" s="11" t="n"/>
      <x:c r="F158" s="11" t="n"/>
      <x:c r="G158" s="11" t="n"/>
      <x:c r="H158" s="11" t="n"/>
      <x:c r="I158" s="12" t="n"/>
      <x:c r="J158" s="12" t="n"/>
      <x:c r="K158" s="12" t="n"/>
      <x:c r="L158" s="12" t="n"/>
      <x:c r="M158" s="12" t="n"/>
      <x:c r="N158" s="12" t="n"/>
      <x:c r="O158" s="12" t="n"/>
      <x:c r="P158" s="11" t="n"/>
      <x:c r="Q158" s="11" t="n"/>
      <x:c r="R158" s="11" t="n"/>
      <x:c r="S158" s="11" t="n"/>
      <x:c r="T158" s="11" t="n"/>
      <x:c r="U158" s="12" t="n"/>
      <x:c r="V158" s="12" t="n"/>
      <x:c r="W158" s="12" t="n"/>
      <x:c r="X158" s="12" t="n"/>
      <x:c r="Y158" s="12" t="n"/>
      <x:c r="Z158" s="13">
        <x:f>IF($C158="","",VLOOKUP($C158,Config!$A$2:$Y$4,2,FALSE))</x:f>
      </x:c>
      <x:c r="AA158" s="13">
        <x:f>IF($C158="","",VLOOKUP($C158,Config!$A$2:$Y$4,5,FALSE))</x:f>
      </x:c>
      <x:c r="AB158" s="14">
        <x:f>IF($C158="","",VLOOKUP($C158,Config!$A$2:$Y$4,7,FALSE))</x:f>
      </x:c>
      <x:c r="AC158" s="14">
        <x:f>IF($C158="","",VLOOKUP($C158,Config!$A$2:$Y$4,8,FALSE))</x:f>
      </x:c>
      <x:c r="AD158" s="14">
        <x:f>IF($C158="","",VLOOKUP($C158,Config!$A$2:$Y$4,9,FALSE))</x:f>
      </x:c>
      <x:c r="AE158" s="14">
        <x:f>IF($C158="","",VLOOKUP($C158,Config!$A$2:$Y$4,10,FALSE))</x:f>
      </x:c>
      <x:c r="AF158" s="14">
        <x:f>IF($C158="","",VLOOKUP($C158,Config!$A$2:$Y$4,11,FALSE))</x:f>
      </x:c>
      <x:c r="AG158" s="14">
        <x:f>IF($C158="","",VLOOKUP($C158,Config!$A$2:$Y$4,12,FALSE))</x:f>
      </x:c>
      <x:c r="AH158" s="14">
        <x:f>IF($C158="","",VLOOKUP($C158,Config!$A$2:$Y$4,13,FALSE))</x:f>
      </x:c>
      <x:c r="AI158" s="14">
        <x:f>IF($C158="","",VLOOKUP($C158,Config!$A$2:$Y$4,14,FALSE))</x:f>
      </x:c>
      <x:c r="AJ158" s="14">
        <x:f>IF($C158="","",VLOOKUP($C158,Config!$A$2:$Y$4,15,FALSE))</x:f>
      </x:c>
      <x:c r="AK158" s="14">
        <x:f>IF($C158="","",VLOOKUP($C158,Config!$A$2:$Y$4,16,FALSE))</x:f>
      </x:c>
      <x:c r="AL158" s="14">
        <x:f>IF($C158="","",VLOOKUP($C158,Config!$A$2:$Y$4,17,FALSE))</x:f>
      </x:c>
      <x:c r="AM158" s="14">
        <x:f>IF($C158="","",VLOOKUP($C158,Config!$A$2:$Y$4,18,FALSE))</x:f>
      </x:c>
      <x:c r="AN158" s="14">
        <x:f>IF($C158="","",VLOOKUP($C158,Config!$A$2:$Y$4,19,FALSE))</x:f>
      </x:c>
      <x:c r="AO158" s="14">
        <x:f>IF($C158="","",VLOOKUP($C158,Config!$A$2:$Y$4,20,FALSE))</x:f>
      </x:c>
      <x:c r="AP158" s="14">
        <x:f>IF($C158="","",VLOOKUP($C158,Config!$A$2:$Y$4,21,FALSE))</x:f>
      </x:c>
      <x:c r="AQ158" s="14">
        <x:f>IF($C158="","",VLOOKUP($C158,Config!$A$2:$Y$4,22,FALSE))</x:f>
      </x:c>
      <x:c r="AR158" s="14">
        <x:f>IF($C158="","",VLOOKUP($C158,Config!$A$2:$Y$4,23,FALSE))</x:f>
      </x:c>
      <x:c r="AS158" s="13">
        <x:f>IF($C158="","",IF($H158="Extra",3,IF($H158="I",2,IF($H158="II",1,0)))&gt;=IF($AA158="Extra",3,IF($AA158="I",2,IF($AA158="II",1,0))))</x:f>
      </x:c>
      <x:c r="AT158" s="13">
        <x:f>IF($C158="","",IF($I158="",FALSE,$I158&gt;=$AB158))</x:f>
      </x:c>
      <x:c r="AU158" s="13">
        <x:f>IF($C158="","",IF($AC158="",TRUE,IF($J158="",FALSE,$J158&lt;=$AC158)))</x:f>
      </x:c>
      <x:c r="AV158" s="13">
        <x:f>IF($C158="","",IF($AD158="",TRUE,IF($K158="",FALSE,$K158&lt;=$AD158)))</x:f>
      </x:c>
      <x:c r="AW158" s="13">
        <x:f>IF($C158="","",IF($AE158="",TRUE,IF($L158="",FALSE,$L158&lt;=$AE158)))</x:f>
      </x:c>
      <x:c r="AX158" s="13">
        <x:f>IF($C158="","",IF($AF158="",TRUE,IF($M158="",FALSE,$M158&lt;=$AF158)))</x:f>
      </x:c>
      <x:c r="AY158" s="13">
        <x:f>IF($C158="","",IF($AG158="",TRUE,IF($N158="",FALSE,$N158&gt;=$AG158)))</x:f>
      </x:c>
      <x:c r="AZ158" s="13">
        <x:f>IF($C158="","",IF(OR($AH158="",$AI158=""),TRUE,IF($O158="",FALSE,AND($O158&gt;=$AH158,$O158&lt;=$AI158))))</x:f>
      </x:c>
      <x:c r="BA158" s="13">
        <x:f>IF($C158="","",IF($AJ158="Y",$P158="Y",TRUE))</x:f>
      </x:c>
      <x:c r="BB158" s="13">
        <x:f>IF($C158="","",IF($AK158="Y",$Q158="Y",TRUE))</x:f>
      </x:c>
      <x:c r="BC158" s="13">
        <x:f>IF($C158="","",IF($AL158="Y",$R158="Y",TRUE))</x:f>
      </x:c>
      <x:c r="BD158" s="13">
        <x:f>IF($C158="","",IF($AM158="Y",$S158="Y",TRUE))</x:f>
      </x:c>
      <x:c r="BE158" s="13">
        <x:f>IF($C158="","",IF($AN158="Y",$T158="Y",TRUE))</x:f>
      </x:c>
      <x:c r="BF158" s="13">
        <x:f>IF($C158="","",IF($AO158="",TRUE,IF($U158="",FALSE,$U158&lt;=$AO158)))</x:f>
      </x:c>
      <x:c r="BG158" s="13">
        <x:f>IF($C158="","",IF($AP158="",TRUE,IF($V158="",FALSE,$V158&lt;=$AP158)))</x:f>
      </x:c>
      <x:c r="BH158" s="13">
        <x:f>IF($C158="","",IF($AQ158="",TRUE,IF($W158="",FALSE,$W158&lt;=$AQ158)))</x:f>
      </x:c>
      <x:c r="BI158" s="13">
        <x:f>IF($C158="","",IF($AR158="",TRUE,IF($X158="",FALSE,$X158&lt;=$AR158)))</x:f>
      </x:c>
      <x:c r="BJ158" s="15">
        <x:f>IF($C158="","",IF($Y158="",0,$Y158)+IF($AS158,10,0)+IF($AT158,8,0)+IF($AU158,5,0)+IF($AV158,8,0)+IF($AW158,15,0)+IF($AX158,4,0)+IF($AY158,5,0)+IF($AZ158,10,0)+IF($BA158,8,0)+IF($BB158,4,0)+IF($BC158,6,0)+IF($BD158,3,0)+IF($BE158,2,0)+IF($BF158,2,0)+IF($BG158,2,0)+IF($BH158,2,0)+IF($BI158,1,0))</x:f>
      </x:c>
      <x:c r="BK158" s="15">
        <x:f>IF($C158="","",IF(NOT($AS158),1,0)+IF(NOT($AW158),1,0)+IF(NOT($AZ158),1,0)+IF(NOT($BA158),1,0)+IF(NOT($BB158),1,0)+IF(NOT($BC158),1,0))</x:f>
      </x:c>
      <x:c r="BL158" s="13">
        <x:f>IF($C158="","",IF($BK158&gt;0,"REJECT",IF(COUNTIF($AS158:$BI158,FALSE)=0,"ACCEPT",IF($BJ158&gt;=85,"ACCEPT WITH SORTING / DISCOUNT","REJECT"))))</x:f>
      </x:c>
    </x:row>
    <x:row r="159" ht="24" customHeight="1">
      <x:c r="A159" s="10" t="n"/>
      <x:c r="B159" s="11" t="n"/>
      <x:c r="C159" s="11" t="n"/>
      <x:c r="D159" s="11" t="n"/>
      <x:c r="E159" s="11" t="n"/>
      <x:c r="F159" s="11" t="n"/>
      <x:c r="G159" s="11" t="n"/>
      <x:c r="H159" s="11" t="n"/>
      <x:c r="I159" s="12" t="n"/>
      <x:c r="J159" s="12" t="n"/>
      <x:c r="K159" s="12" t="n"/>
      <x:c r="L159" s="12" t="n"/>
      <x:c r="M159" s="12" t="n"/>
      <x:c r="N159" s="12" t="n"/>
      <x:c r="O159" s="12" t="n"/>
      <x:c r="P159" s="11" t="n"/>
      <x:c r="Q159" s="11" t="n"/>
      <x:c r="R159" s="11" t="n"/>
      <x:c r="S159" s="11" t="n"/>
      <x:c r="T159" s="11" t="n"/>
      <x:c r="U159" s="12" t="n"/>
      <x:c r="V159" s="12" t="n"/>
      <x:c r="W159" s="12" t="n"/>
      <x:c r="X159" s="12" t="n"/>
      <x:c r="Y159" s="12" t="n"/>
      <x:c r="Z159" s="13">
        <x:f>IF($C159="","",VLOOKUP($C159,Config!$A$2:$Y$4,2,FALSE))</x:f>
      </x:c>
      <x:c r="AA159" s="13">
        <x:f>IF($C159="","",VLOOKUP($C159,Config!$A$2:$Y$4,5,FALSE))</x:f>
      </x:c>
      <x:c r="AB159" s="14">
        <x:f>IF($C159="","",VLOOKUP($C159,Config!$A$2:$Y$4,7,FALSE))</x:f>
      </x:c>
      <x:c r="AC159" s="14">
        <x:f>IF($C159="","",VLOOKUP($C159,Config!$A$2:$Y$4,8,FALSE))</x:f>
      </x:c>
      <x:c r="AD159" s="14">
        <x:f>IF($C159="","",VLOOKUP($C159,Config!$A$2:$Y$4,9,FALSE))</x:f>
      </x:c>
      <x:c r="AE159" s="14">
        <x:f>IF($C159="","",VLOOKUP($C159,Config!$A$2:$Y$4,10,FALSE))</x:f>
      </x:c>
      <x:c r="AF159" s="14">
        <x:f>IF($C159="","",VLOOKUP($C159,Config!$A$2:$Y$4,11,FALSE))</x:f>
      </x:c>
      <x:c r="AG159" s="14">
        <x:f>IF($C159="","",VLOOKUP($C159,Config!$A$2:$Y$4,12,FALSE))</x:f>
      </x:c>
      <x:c r="AH159" s="14">
        <x:f>IF($C159="","",VLOOKUP($C159,Config!$A$2:$Y$4,13,FALSE))</x:f>
      </x:c>
      <x:c r="AI159" s="14">
        <x:f>IF($C159="","",VLOOKUP($C159,Config!$A$2:$Y$4,14,FALSE))</x:f>
      </x:c>
      <x:c r="AJ159" s="14">
        <x:f>IF($C159="","",VLOOKUP($C159,Config!$A$2:$Y$4,15,FALSE))</x:f>
      </x:c>
      <x:c r="AK159" s="14">
        <x:f>IF($C159="","",VLOOKUP($C159,Config!$A$2:$Y$4,16,FALSE))</x:f>
      </x:c>
      <x:c r="AL159" s="14">
        <x:f>IF($C159="","",VLOOKUP($C159,Config!$A$2:$Y$4,17,FALSE))</x:f>
      </x:c>
      <x:c r="AM159" s="14">
        <x:f>IF($C159="","",VLOOKUP($C159,Config!$A$2:$Y$4,18,FALSE))</x:f>
      </x:c>
      <x:c r="AN159" s="14">
        <x:f>IF($C159="","",VLOOKUP($C159,Config!$A$2:$Y$4,19,FALSE))</x:f>
      </x:c>
      <x:c r="AO159" s="14">
        <x:f>IF($C159="","",VLOOKUP($C159,Config!$A$2:$Y$4,20,FALSE))</x:f>
      </x:c>
      <x:c r="AP159" s="14">
        <x:f>IF($C159="","",VLOOKUP($C159,Config!$A$2:$Y$4,21,FALSE))</x:f>
      </x:c>
      <x:c r="AQ159" s="14">
        <x:f>IF($C159="","",VLOOKUP($C159,Config!$A$2:$Y$4,22,FALSE))</x:f>
      </x:c>
      <x:c r="AR159" s="14">
        <x:f>IF($C159="","",VLOOKUP($C159,Config!$A$2:$Y$4,23,FALSE))</x:f>
      </x:c>
      <x:c r="AS159" s="13">
        <x:f>IF($C159="","",IF($H159="Extra",3,IF($H159="I",2,IF($H159="II",1,0)))&gt;=IF($AA159="Extra",3,IF($AA159="I",2,IF($AA159="II",1,0))))</x:f>
      </x:c>
      <x:c r="AT159" s="13">
        <x:f>IF($C159="","",IF($I159="",FALSE,$I159&gt;=$AB159))</x:f>
      </x:c>
      <x:c r="AU159" s="13">
        <x:f>IF($C159="","",IF($AC159="",TRUE,IF($J159="",FALSE,$J159&lt;=$AC159)))</x:f>
      </x:c>
      <x:c r="AV159" s="13">
        <x:f>IF($C159="","",IF($AD159="",TRUE,IF($K159="",FALSE,$K159&lt;=$AD159)))</x:f>
      </x:c>
      <x:c r="AW159" s="13">
        <x:f>IF($C159="","",IF($AE159="",TRUE,IF($L159="",FALSE,$L159&lt;=$AE159)))</x:f>
      </x:c>
      <x:c r="AX159" s="13">
        <x:f>IF($C159="","",IF($AF159="",TRUE,IF($M159="",FALSE,$M159&lt;=$AF159)))</x:f>
      </x:c>
      <x:c r="AY159" s="13">
        <x:f>IF($C159="","",IF($AG159="",TRUE,IF($N159="",FALSE,$N159&gt;=$AG159)))</x:f>
      </x:c>
      <x:c r="AZ159" s="13">
        <x:f>IF($C159="","",IF(OR($AH159="",$AI159=""),TRUE,IF($O159="",FALSE,AND($O159&gt;=$AH159,$O159&lt;=$AI159))))</x:f>
      </x:c>
      <x:c r="BA159" s="13">
        <x:f>IF($C159="","",IF($AJ159="Y",$P159="Y",TRUE))</x:f>
      </x:c>
      <x:c r="BB159" s="13">
        <x:f>IF($C159="","",IF($AK159="Y",$Q159="Y",TRUE))</x:f>
      </x:c>
      <x:c r="BC159" s="13">
        <x:f>IF($C159="","",IF($AL159="Y",$R159="Y",TRUE))</x:f>
      </x:c>
      <x:c r="BD159" s="13">
        <x:f>IF($C159="","",IF($AM159="Y",$S159="Y",TRUE))</x:f>
      </x:c>
      <x:c r="BE159" s="13">
        <x:f>IF($C159="","",IF($AN159="Y",$T159="Y",TRUE))</x:f>
      </x:c>
      <x:c r="BF159" s="13">
        <x:f>IF($C159="","",IF($AO159="",TRUE,IF($U159="",FALSE,$U159&lt;=$AO159)))</x:f>
      </x:c>
      <x:c r="BG159" s="13">
        <x:f>IF($C159="","",IF($AP159="",TRUE,IF($V159="",FALSE,$V159&lt;=$AP159)))</x:f>
      </x:c>
      <x:c r="BH159" s="13">
        <x:f>IF($C159="","",IF($AQ159="",TRUE,IF($W159="",FALSE,$W159&lt;=$AQ159)))</x:f>
      </x:c>
      <x:c r="BI159" s="13">
        <x:f>IF($C159="","",IF($AR159="",TRUE,IF($X159="",FALSE,$X159&lt;=$AR159)))</x:f>
      </x:c>
      <x:c r="BJ159" s="15">
        <x:f>IF($C159="","",IF($Y159="",0,$Y159)+IF($AS159,10,0)+IF($AT159,8,0)+IF($AU159,5,0)+IF($AV159,8,0)+IF($AW159,15,0)+IF($AX159,4,0)+IF($AY159,5,0)+IF($AZ159,10,0)+IF($BA159,8,0)+IF($BB159,4,0)+IF($BC159,6,0)+IF($BD159,3,0)+IF($BE159,2,0)+IF($BF159,2,0)+IF($BG159,2,0)+IF($BH159,2,0)+IF($BI159,1,0))</x:f>
      </x:c>
      <x:c r="BK159" s="15">
        <x:f>IF($C159="","",IF(NOT($AS159),1,0)+IF(NOT($AW159),1,0)+IF(NOT($AZ159),1,0)+IF(NOT($BA159),1,0)+IF(NOT($BB159),1,0)+IF(NOT($BC159),1,0))</x:f>
      </x:c>
      <x:c r="BL159" s="13">
        <x:f>IF($C159="","",IF($BK159&gt;0,"REJECT",IF(COUNTIF($AS159:$BI159,FALSE)=0,"ACCEPT",IF($BJ159&gt;=85,"ACCEPT WITH SORTING / DISCOUNT","REJECT"))))</x:f>
      </x:c>
    </x:row>
    <x:row r="160" ht="24" customHeight="1">
      <x:c r="A160" s="10" t="n"/>
      <x:c r="B160" s="11" t="n"/>
      <x:c r="C160" s="11" t="n"/>
      <x:c r="D160" s="11" t="n"/>
      <x:c r="E160" s="11" t="n"/>
      <x:c r="F160" s="11" t="n"/>
      <x:c r="G160" s="11" t="n"/>
      <x:c r="H160" s="11" t="n"/>
      <x:c r="I160" s="12" t="n"/>
      <x:c r="J160" s="12" t="n"/>
      <x:c r="K160" s="12" t="n"/>
      <x:c r="L160" s="12" t="n"/>
      <x:c r="M160" s="12" t="n"/>
      <x:c r="N160" s="12" t="n"/>
      <x:c r="O160" s="12" t="n"/>
      <x:c r="P160" s="11" t="n"/>
      <x:c r="Q160" s="11" t="n"/>
      <x:c r="R160" s="11" t="n"/>
      <x:c r="S160" s="11" t="n"/>
      <x:c r="T160" s="11" t="n"/>
      <x:c r="U160" s="12" t="n"/>
      <x:c r="V160" s="12" t="n"/>
      <x:c r="W160" s="12" t="n"/>
      <x:c r="X160" s="12" t="n"/>
      <x:c r="Y160" s="12" t="n"/>
      <x:c r="Z160" s="13">
        <x:f>IF($C160="","",VLOOKUP($C160,Config!$A$2:$Y$4,2,FALSE))</x:f>
      </x:c>
      <x:c r="AA160" s="13">
        <x:f>IF($C160="","",VLOOKUP($C160,Config!$A$2:$Y$4,5,FALSE))</x:f>
      </x:c>
      <x:c r="AB160" s="14">
        <x:f>IF($C160="","",VLOOKUP($C160,Config!$A$2:$Y$4,7,FALSE))</x:f>
      </x:c>
      <x:c r="AC160" s="14">
        <x:f>IF($C160="","",VLOOKUP($C160,Config!$A$2:$Y$4,8,FALSE))</x:f>
      </x:c>
      <x:c r="AD160" s="14">
        <x:f>IF($C160="","",VLOOKUP($C160,Config!$A$2:$Y$4,9,FALSE))</x:f>
      </x:c>
      <x:c r="AE160" s="14">
        <x:f>IF($C160="","",VLOOKUP($C160,Config!$A$2:$Y$4,10,FALSE))</x:f>
      </x:c>
      <x:c r="AF160" s="14">
        <x:f>IF($C160="","",VLOOKUP($C160,Config!$A$2:$Y$4,11,FALSE))</x:f>
      </x:c>
      <x:c r="AG160" s="14">
        <x:f>IF($C160="","",VLOOKUP($C160,Config!$A$2:$Y$4,12,FALSE))</x:f>
      </x:c>
      <x:c r="AH160" s="14">
        <x:f>IF($C160="","",VLOOKUP($C160,Config!$A$2:$Y$4,13,FALSE))</x:f>
      </x:c>
      <x:c r="AI160" s="14">
        <x:f>IF($C160="","",VLOOKUP($C160,Config!$A$2:$Y$4,14,FALSE))</x:f>
      </x:c>
      <x:c r="AJ160" s="14">
        <x:f>IF($C160="","",VLOOKUP($C160,Config!$A$2:$Y$4,15,FALSE))</x:f>
      </x:c>
      <x:c r="AK160" s="14">
        <x:f>IF($C160="","",VLOOKUP($C160,Config!$A$2:$Y$4,16,FALSE))</x:f>
      </x:c>
      <x:c r="AL160" s="14">
        <x:f>IF($C160="","",VLOOKUP($C160,Config!$A$2:$Y$4,17,FALSE))</x:f>
      </x:c>
      <x:c r="AM160" s="14">
        <x:f>IF($C160="","",VLOOKUP($C160,Config!$A$2:$Y$4,18,FALSE))</x:f>
      </x:c>
      <x:c r="AN160" s="14">
        <x:f>IF($C160="","",VLOOKUP($C160,Config!$A$2:$Y$4,19,FALSE))</x:f>
      </x:c>
      <x:c r="AO160" s="14">
        <x:f>IF($C160="","",VLOOKUP($C160,Config!$A$2:$Y$4,20,FALSE))</x:f>
      </x:c>
      <x:c r="AP160" s="14">
        <x:f>IF($C160="","",VLOOKUP($C160,Config!$A$2:$Y$4,21,FALSE))</x:f>
      </x:c>
      <x:c r="AQ160" s="14">
        <x:f>IF($C160="","",VLOOKUP($C160,Config!$A$2:$Y$4,22,FALSE))</x:f>
      </x:c>
      <x:c r="AR160" s="14">
        <x:f>IF($C160="","",VLOOKUP($C160,Config!$A$2:$Y$4,23,FALSE))</x:f>
      </x:c>
      <x:c r="AS160" s="13">
        <x:f>IF($C160="","",IF($H160="Extra",3,IF($H160="I",2,IF($H160="II",1,0)))&gt;=IF($AA160="Extra",3,IF($AA160="I",2,IF($AA160="II",1,0))))</x:f>
      </x:c>
      <x:c r="AT160" s="13">
        <x:f>IF($C160="","",IF($I160="",FALSE,$I160&gt;=$AB160))</x:f>
      </x:c>
      <x:c r="AU160" s="13">
        <x:f>IF($C160="","",IF($AC160="",TRUE,IF($J160="",FALSE,$J160&lt;=$AC160)))</x:f>
      </x:c>
      <x:c r="AV160" s="13">
        <x:f>IF($C160="","",IF($AD160="",TRUE,IF($K160="",FALSE,$K160&lt;=$AD160)))</x:f>
      </x:c>
      <x:c r="AW160" s="13">
        <x:f>IF($C160="","",IF($AE160="",TRUE,IF($L160="",FALSE,$L160&lt;=$AE160)))</x:f>
      </x:c>
      <x:c r="AX160" s="13">
        <x:f>IF($C160="","",IF($AF160="",TRUE,IF($M160="",FALSE,$M160&lt;=$AF160)))</x:f>
      </x:c>
      <x:c r="AY160" s="13">
        <x:f>IF($C160="","",IF($AG160="",TRUE,IF($N160="",FALSE,$N160&gt;=$AG160)))</x:f>
      </x:c>
      <x:c r="AZ160" s="13">
        <x:f>IF($C160="","",IF(OR($AH160="",$AI160=""),TRUE,IF($O160="",FALSE,AND($O160&gt;=$AH160,$O160&lt;=$AI160))))</x:f>
      </x:c>
      <x:c r="BA160" s="13">
        <x:f>IF($C160="","",IF($AJ160="Y",$P160="Y",TRUE))</x:f>
      </x:c>
      <x:c r="BB160" s="13">
        <x:f>IF($C160="","",IF($AK160="Y",$Q160="Y",TRUE))</x:f>
      </x:c>
      <x:c r="BC160" s="13">
        <x:f>IF($C160="","",IF($AL160="Y",$R160="Y",TRUE))</x:f>
      </x:c>
      <x:c r="BD160" s="13">
        <x:f>IF($C160="","",IF($AM160="Y",$S160="Y",TRUE))</x:f>
      </x:c>
      <x:c r="BE160" s="13">
        <x:f>IF($C160="","",IF($AN160="Y",$T160="Y",TRUE))</x:f>
      </x:c>
      <x:c r="BF160" s="13">
        <x:f>IF($C160="","",IF($AO160="",TRUE,IF($U160="",FALSE,$U160&lt;=$AO160)))</x:f>
      </x:c>
      <x:c r="BG160" s="13">
        <x:f>IF($C160="","",IF($AP160="",TRUE,IF($V160="",FALSE,$V160&lt;=$AP160)))</x:f>
      </x:c>
      <x:c r="BH160" s="13">
        <x:f>IF($C160="","",IF($AQ160="",TRUE,IF($W160="",FALSE,$W160&lt;=$AQ160)))</x:f>
      </x:c>
      <x:c r="BI160" s="13">
        <x:f>IF($C160="","",IF($AR160="",TRUE,IF($X160="",FALSE,$X160&lt;=$AR160)))</x:f>
      </x:c>
      <x:c r="BJ160" s="15">
        <x:f>IF($C160="","",IF($Y160="",0,$Y160)+IF($AS160,10,0)+IF($AT160,8,0)+IF($AU160,5,0)+IF($AV160,8,0)+IF($AW160,15,0)+IF($AX160,4,0)+IF($AY160,5,0)+IF($AZ160,10,0)+IF($BA160,8,0)+IF($BB160,4,0)+IF($BC160,6,0)+IF($BD160,3,0)+IF($BE160,2,0)+IF($BF160,2,0)+IF($BG160,2,0)+IF($BH160,2,0)+IF($BI160,1,0))</x:f>
      </x:c>
      <x:c r="BK160" s="15">
        <x:f>IF($C160="","",IF(NOT($AS160),1,0)+IF(NOT($AW160),1,0)+IF(NOT($AZ160),1,0)+IF(NOT($BA160),1,0)+IF(NOT($BB160),1,0)+IF(NOT($BC160),1,0))</x:f>
      </x:c>
      <x:c r="BL160" s="13">
        <x:f>IF($C160="","",IF($BK160&gt;0,"REJECT",IF(COUNTIF($AS160:$BI160,FALSE)=0,"ACCEPT",IF($BJ160&gt;=85,"ACCEPT WITH SORTING / DISCOUNT","REJECT"))))</x:f>
      </x:c>
    </x:row>
    <x:row r="161" ht="24" customHeight="1">
      <x:c r="A161" s="10" t="n"/>
      <x:c r="B161" s="11" t="n"/>
      <x:c r="C161" s="11" t="n"/>
      <x:c r="D161" s="11" t="n"/>
      <x:c r="E161" s="11" t="n"/>
      <x:c r="F161" s="11" t="n"/>
      <x:c r="G161" s="11" t="n"/>
      <x:c r="H161" s="11" t="n"/>
      <x:c r="I161" s="12" t="n"/>
      <x:c r="J161" s="12" t="n"/>
      <x:c r="K161" s="12" t="n"/>
      <x:c r="L161" s="12" t="n"/>
      <x:c r="M161" s="12" t="n"/>
      <x:c r="N161" s="12" t="n"/>
      <x:c r="O161" s="12" t="n"/>
      <x:c r="P161" s="11" t="n"/>
      <x:c r="Q161" s="11" t="n"/>
      <x:c r="R161" s="11" t="n"/>
      <x:c r="S161" s="11" t="n"/>
      <x:c r="T161" s="11" t="n"/>
      <x:c r="U161" s="12" t="n"/>
      <x:c r="V161" s="12" t="n"/>
      <x:c r="W161" s="12" t="n"/>
      <x:c r="X161" s="12" t="n"/>
      <x:c r="Y161" s="12" t="n"/>
      <x:c r="Z161" s="13">
        <x:f>IF($C161="","",VLOOKUP($C161,Config!$A$2:$Y$4,2,FALSE))</x:f>
      </x:c>
      <x:c r="AA161" s="13">
        <x:f>IF($C161="","",VLOOKUP($C161,Config!$A$2:$Y$4,5,FALSE))</x:f>
      </x:c>
      <x:c r="AB161" s="14">
        <x:f>IF($C161="","",VLOOKUP($C161,Config!$A$2:$Y$4,7,FALSE))</x:f>
      </x:c>
      <x:c r="AC161" s="14">
        <x:f>IF($C161="","",VLOOKUP($C161,Config!$A$2:$Y$4,8,FALSE))</x:f>
      </x:c>
      <x:c r="AD161" s="14">
        <x:f>IF($C161="","",VLOOKUP($C161,Config!$A$2:$Y$4,9,FALSE))</x:f>
      </x:c>
      <x:c r="AE161" s="14">
        <x:f>IF($C161="","",VLOOKUP($C161,Config!$A$2:$Y$4,10,FALSE))</x:f>
      </x:c>
      <x:c r="AF161" s="14">
        <x:f>IF($C161="","",VLOOKUP($C161,Config!$A$2:$Y$4,11,FALSE))</x:f>
      </x:c>
      <x:c r="AG161" s="14">
        <x:f>IF($C161="","",VLOOKUP($C161,Config!$A$2:$Y$4,12,FALSE))</x:f>
      </x:c>
      <x:c r="AH161" s="14">
        <x:f>IF($C161="","",VLOOKUP($C161,Config!$A$2:$Y$4,13,FALSE))</x:f>
      </x:c>
      <x:c r="AI161" s="14">
        <x:f>IF($C161="","",VLOOKUP($C161,Config!$A$2:$Y$4,14,FALSE))</x:f>
      </x:c>
      <x:c r="AJ161" s="14">
        <x:f>IF($C161="","",VLOOKUP($C161,Config!$A$2:$Y$4,15,FALSE))</x:f>
      </x:c>
      <x:c r="AK161" s="14">
        <x:f>IF($C161="","",VLOOKUP($C161,Config!$A$2:$Y$4,16,FALSE))</x:f>
      </x:c>
      <x:c r="AL161" s="14">
        <x:f>IF($C161="","",VLOOKUP($C161,Config!$A$2:$Y$4,17,FALSE))</x:f>
      </x:c>
      <x:c r="AM161" s="14">
        <x:f>IF($C161="","",VLOOKUP($C161,Config!$A$2:$Y$4,18,FALSE))</x:f>
      </x:c>
      <x:c r="AN161" s="14">
        <x:f>IF($C161="","",VLOOKUP($C161,Config!$A$2:$Y$4,19,FALSE))</x:f>
      </x:c>
      <x:c r="AO161" s="14">
        <x:f>IF($C161="","",VLOOKUP($C161,Config!$A$2:$Y$4,20,FALSE))</x:f>
      </x:c>
      <x:c r="AP161" s="14">
        <x:f>IF($C161="","",VLOOKUP($C161,Config!$A$2:$Y$4,21,FALSE))</x:f>
      </x:c>
      <x:c r="AQ161" s="14">
        <x:f>IF($C161="","",VLOOKUP($C161,Config!$A$2:$Y$4,22,FALSE))</x:f>
      </x:c>
      <x:c r="AR161" s="14">
        <x:f>IF($C161="","",VLOOKUP($C161,Config!$A$2:$Y$4,23,FALSE))</x:f>
      </x:c>
      <x:c r="AS161" s="13">
        <x:f>IF($C161="","",IF($H161="Extra",3,IF($H161="I",2,IF($H161="II",1,0)))&gt;=IF($AA161="Extra",3,IF($AA161="I",2,IF($AA161="II",1,0))))</x:f>
      </x:c>
      <x:c r="AT161" s="13">
        <x:f>IF($C161="","",IF($I161="",FALSE,$I161&gt;=$AB161))</x:f>
      </x:c>
      <x:c r="AU161" s="13">
        <x:f>IF($C161="","",IF($AC161="",TRUE,IF($J161="",FALSE,$J161&lt;=$AC161)))</x:f>
      </x:c>
      <x:c r="AV161" s="13">
        <x:f>IF($C161="","",IF($AD161="",TRUE,IF($K161="",FALSE,$K161&lt;=$AD161)))</x:f>
      </x:c>
      <x:c r="AW161" s="13">
        <x:f>IF($C161="","",IF($AE161="",TRUE,IF($L161="",FALSE,$L161&lt;=$AE161)))</x:f>
      </x:c>
      <x:c r="AX161" s="13">
        <x:f>IF($C161="","",IF($AF161="",TRUE,IF($M161="",FALSE,$M161&lt;=$AF161)))</x:f>
      </x:c>
      <x:c r="AY161" s="13">
        <x:f>IF($C161="","",IF($AG161="",TRUE,IF($N161="",FALSE,$N161&gt;=$AG161)))</x:f>
      </x:c>
      <x:c r="AZ161" s="13">
        <x:f>IF($C161="","",IF(OR($AH161="",$AI161=""),TRUE,IF($O161="",FALSE,AND($O161&gt;=$AH161,$O161&lt;=$AI161))))</x:f>
      </x:c>
      <x:c r="BA161" s="13">
        <x:f>IF($C161="","",IF($AJ161="Y",$P161="Y",TRUE))</x:f>
      </x:c>
      <x:c r="BB161" s="13">
        <x:f>IF($C161="","",IF($AK161="Y",$Q161="Y",TRUE))</x:f>
      </x:c>
      <x:c r="BC161" s="13">
        <x:f>IF($C161="","",IF($AL161="Y",$R161="Y",TRUE))</x:f>
      </x:c>
      <x:c r="BD161" s="13">
        <x:f>IF($C161="","",IF($AM161="Y",$S161="Y",TRUE))</x:f>
      </x:c>
      <x:c r="BE161" s="13">
        <x:f>IF($C161="","",IF($AN161="Y",$T161="Y",TRUE))</x:f>
      </x:c>
      <x:c r="BF161" s="13">
        <x:f>IF($C161="","",IF($AO161="",TRUE,IF($U161="",FALSE,$U161&lt;=$AO161)))</x:f>
      </x:c>
      <x:c r="BG161" s="13">
        <x:f>IF($C161="","",IF($AP161="",TRUE,IF($V161="",FALSE,$V161&lt;=$AP161)))</x:f>
      </x:c>
      <x:c r="BH161" s="13">
        <x:f>IF($C161="","",IF($AQ161="",TRUE,IF($W161="",FALSE,$W161&lt;=$AQ161)))</x:f>
      </x:c>
      <x:c r="BI161" s="13">
        <x:f>IF($C161="","",IF($AR161="",TRUE,IF($X161="",FALSE,$X161&lt;=$AR161)))</x:f>
      </x:c>
      <x:c r="BJ161" s="15">
        <x:f>IF($C161="","",IF($Y161="",0,$Y161)+IF($AS161,10,0)+IF($AT161,8,0)+IF($AU161,5,0)+IF($AV161,8,0)+IF($AW161,15,0)+IF($AX161,4,0)+IF($AY161,5,0)+IF($AZ161,10,0)+IF($BA161,8,0)+IF($BB161,4,0)+IF($BC161,6,0)+IF($BD161,3,0)+IF($BE161,2,0)+IF($BF161,2,0)+IF($BG161,2,0)+IF($BH161,2,0)+IF($BI161,1,0))</x:f>
      </x:c>
      <x:c r="BK161" s="15">
        <x:f>IF($C161="","",IF(NOT($AS161),1,0)+IF(NOT($AW161),1,0)+IF(NOT($AZ161),1,0)+IF(NOT($BA161),1,0)+IF(NOT($BB161),1,0)+IF(NOT($BC161),1,0))</x:f>
      </x:c>
      <x:c r="BL161" s="13">
        <x:f>IF($C161="","",IF($BK161&gt;0,"REJECT",IF(COUNTIF($AS161:$BI161,FALSE)=0,"ACCEPT",IF($BJ161&gt;=85,"ACCEPT WITH SORTING / DISCOUNT","REJECT"))))</x:f>
      </x:c>
    </x:row>
    <x:row r="162" ht="24" customHeight="1">
      <x:c r="A162" s="10" t="n"/>
      <x:c r="B162" s="11" t="n"/>
      <x:c r="C162" s="11" t="n"/>
      <x:c r="D162" s="11" t="n"/>
      <x:c r="E162" s="11" t="n"/>
      <x:c r="F162" s="11" t="n"/>
      <x:c r="G162" s="11" t="n"/>
      <x:c r="H162" s="11" t="n"/>
      <x:c r="I162" s="12" t="n"/>
      <x:c r="J162" s="12" t="n"/>
      <x:c r="K162" s="12" t="n"/>
      <x:c r="L162" s="12" t="n"/>
      <x:c r="M162" s="12" t="n"/>
      <x:c r="N162" s="12" t="n"/>
      <x:c r="O162" s="12" t="n"/>
      <x:c r="P162" s="11" t="n"/>
      <x:c r="Q162" s="11" t="n"/>
      <x:c r="R162" s="11" t="n"/>
      <x:c r="S162" s="11" t="n"/>
      <x:c r="T162" s="11" t="n"/>
      <x:c r="U162" s="12" t="n"/>
      <x:c r="V162" s="12" t="n"/>
      <x:c r="W162" s="12" t="n"/>
      <x:c r="X162" s="12" t="n"/>
      <x:c r="Y162" s="12" t="n"/>
      <x:c r="Z162" s="13">
        <x:f>IF($C162="","",VLOOKUP($C162,Config!$A$2:$Y$4,2,FALSE))</x:f>
      </x:c>
      <x:c r="AA162" s="13">
        <x:f>IF($C162="","",VLOOKUP($C162,Config!$A$2:$Y$4,5,FALSE))</x:f>
      </x:c>
      <x:c r="AB162" s="14">
        <x:f>IF($C162="","",VLOOKUP($C162,Config!$A$2:$Y$4,7,FALSE))</x:f>
      </x:c>
      <x:c r="AC162" s="14">
        <x:f>IF($C162="","",VLOOKUP($C162,Config!$A$2:$Y$4,8,FALSE))</x:f>
      </x:c>
      <x:c r="AD162" s="14">
        <x:f>IF($C162="","",VLOOKUP($C162,Config!$A$2:$Y$4,9,FALSE))</x:f>
      </x:c>
      <x:c r="AE162" s="14">
        <x:f>IF($C162="","",VLOOKUP($C162,Config!$A$2:$Y$4,10,FALSE))</x:f>
      </x:c>
      <x:c r="AF162" s="14">
        <x:f>IF($C162="","",VLOOKUP($C162,Config!$A$2:$Y$4,11,FALSE))</x:f>
      </x:c>
      <x:c r="AG162" s="14">
        <x:f>IF($C162="","",VLOOKUP($C162,Config!$A$2:$Y$4,12,FALSE))</x:f>
      </x:c>
      <x:c r="AH162" s="14">
        <x:f>IF($C162="","",VLOOKUP($C162,Config!$A$2:$Y$4,13,FALSE))</x:f>
      </x:c>
      <x:c r="AI162" s="14">
        <x:f>IF($C162="","",VLOOKUP($C162,Config!$A$2:$Y$4,14,FALSE))</x:f>
      </x:c>
      <x:c r="AJ162" s="14">
        <x:f>IF($C162="","",VLOOKUP($C162,Config!$A$2:$Y$4,15,FALSE))</x:f>
      </x:c>
      <x:c r="AK162" s="14">
        <x:f>IF($C162="","",VLOOKUP($C162,Config!$A$2:$Y$4,16,FALSE))</x:f>
      </x:c>
      <x:c r="AL162" s="14">
        <x:f>IF($C162="","",VLOOKUP($C162,Config!$A$2:$Y$4,17,FALSE))</x:f>
      </x:c>
      <x:c r="AM162" s="14">
        <x:f>IF($C162="","",VLOOKUP($C162,Config!$A$2:$Y$4,18,FALSE))</x:f>
      </x:c>
      <x:c r="AN162" s="14">
        <x:f>IF($C162="","",VLOOKUP($C162,Config!$A$2:$Y$4,19,FALSE))</x:f>
      </x:c>
      <x:c r="AO162" s="14">
        <x:f>IF($C162="","",VLOOKUP($C162,Config!$A$2:$Y$4,20,FALSE))</x:f>
      </x:c>
      <x:c r="AP162" s="14">
        <x:f>IF($C162="","",VLOOKUP($C162,Config!$A$2:$Y$4,21,FALSE))</x:f>
      </x:c>
      <x:c r="AQ162" s="14">
        <x:f>IF($C162="","",VLOOKUP($C162,Config!$A$2:$Y$4,22,FALSE))</x:f>
      </x:c>
      <x:c r="AR162" s="14">
        <x:f>IF($C162="","",VLOOKUP($C162,Config!$A$2:$Y$4,23,FALSE))</x:f>
      </x:c>
      <x:c r="AS162" s="13">
        <x:f>IF($C162="","",IF($H162="Extra",3,IF($H162="I",2,IF($H162="II",1,0)))&gt;=IF($AA162="Extra",3,IF($AA162="I",2,IF($AA162="II",1,0))))</x:f>
      </x:c>
      <x:c r="AT162" s="13">
        <x:f>IF($C162="","",IF($I162="",FALSE,$I162&gt;=$AB162))</x:f>
      </x:c>
      <x:c r="AU162" s="13">
        <x:f>IF($C162="","",IF($AC162="",TRUE,IF($J162="",FALSE,$J162&lt;=$AC162)))</x:f>
      </x:c>
      <x:c r="AV162" s="13">
        <x:f>IF($C162="","",IF($AD162="",TRUE,IF($K162="",FALSE,$K162&lt;=$AD162)))</x:f>
      </x:c>
      <x:c r="AW162" s="13">
        <x:f>IF($C162="","",IF($AE162="",TRUE,IF($L162="",FALSE,$L162&lt;=$AE162)))</x:f>
      </x:c>
      <x:c r="AX162" s="13">
        <x:f>IF($C162="","",IF($AF162="",TRUE,IF($M162="",FALSE,$M162&lt;=$AF162)))</x:f>
      </x:c>
      <x:c r="AY162" s="13">
        <x:f>IF($C162="","",IF($AG162="",TRUE,IF($N162="",FALSE,$N162&gt;=$AG162)))</x:f>
      </x:c>
      <x:c r="AZ162" s="13">
        <x:f>IF($C162="","",IF(OR($AH162="",$AI162=""),TRUE,IF($O162="",FALSE,AND($O162&gt;=$AH162,$O162&lt;=$AI162))))</x:f>
      </x:c>
      <x:c r="BA162" s="13">
        <x:f>IF($C162="","",IF($AJ162="Y",$P162="Y",TRUE))</x:f>
      </x:c>
      <x:c r="BB162" s="13">
        <x:f>IF($C162="","",IF($AK162="Y",$Q162="Y",TRUE))</x:f>
      </x:c>
      <x:c r="BC162" s="13">
        <x:f>IF($C162="","",IF($AL162="Y",$R162="Y",TRUE))</x:f>
      </x:c>
      <x:c r="BD162" s="13">
        <x:f>IF($C162="","",IF($AM162="Y",$S162="Y",TRUE))</x:f>
      </x:c>
      <x:c r="BE162" s="13">
        <x:f>IF($C162="","",IF($AN162="Y",$T162="Y",TRUE))</x:f>
      </x:c>
      <x:c r="BF162" s="13">
        <x:f>IF($C162="","",IF($AO162="",TRUE,IF($U162="",FALSE,$U162&lt;=$AO162)))</x:f>
      </x:c>
      <x:c r="BG162" s="13">
        <x:f>IF($C162="","",IF($AP162="",TRUE,IF($V162="",FALSE,$V162&lt;=$AP162)))</x:f>
      </x:c>
      <x:c r="BH162" s="13">
        <x:f>IF($C162="","",IF($AQ162="",TRUE,IF($W162="",FALSE,$W162&lt;=$AQ162)))</x:f>
      </x:c>
      <x:c r="BI162" s="13">
        <x:f>IF($C162="","",IF($AR162="",TRUE,IF($X162="",FALSE,$X162&lt;=$AR162)))</x:f>
      </x:c>
      <x:c r="BJ162" s="15">
        <x:f>IF($C162="","",IF($Y162="",0,$Y162)+IF($AS162,10,0)+IF($AT162,8,0)+IF($AU162,5,0)+IF($AV162,8,0)+IF($AW162,15,0)+IF($AX162,4,0)+IF($AY162,5,0)+IF($AZ162,10,0)+IF($BA162,8,0)+IF($BB162,4,0)+IF($BC162,6,0)+IF($BD162,3,0)+IF($BE162,2,0)+IF($BF162,2,0)+IF($BG162,2,0)+IF($BH162,2,0)+IF($BI162,1,0))</x:f>
      </x:c>
      <x:c r="BK162" s="15">
        <x:f>IF($C162="","",IF(NOT($AS162),1,0)+IF(NOT($AW162),1,0)+IF(NOT($AZ162),1,0)+IF(NOT($BA162),1,0)+IF(NOT($BB162),1,0)+IF(NOT($BC162),1,0))</x:f>
      </x:c>
      <x:c r="BL162" s="13">
        <x:f>IF($C162="","",IF($BK162&gt;0,"REJECT",IF(COUNTIF($AS162:$BI162,FALSE)=0,"ACCEPT",IF($BJ162&gt;=85,"ACCEPT WITH SORTING / DISCOUNT","REJECT"))))</x:f>
      </x:c>
    </x:row>
    <x:row r="163" ht="24" customHeight="1">
      <x:c r="A163" s="10" t="n"/>
      <x:c r="B163" s="11" t="n"/>
      <x:c r="C163" s="11" t="n"/>
      <x:c r="D163" s="11" t="n"/>
      <x:c r="E163" s="11" t="n"/>
      <x:c r="F163" s="11" t="n"/>
      <x:c r="G163" s="11" t="n"/>
      <x:c r="H163" s="11" t="n"/>
      <x:c r="I163" s="12" t="n"/>
      <x:c r="J163" s="12" t="n"/>
      <x:c r="K163" s="12" t="n"/>
      <x:c r="L163" s="12" t="n"/>
      <x:c r="M163" s="12" t="n"/>
      <x:c r="N163" s="12" t="n"/>
      <x:c r="O163" s="12" t="n"/>
      <x:c r="P163" s="11" t="n"/>
      <x:c r="Q163" s="11" t="n"/>
      <x:c r="R163" s="11" t="n"/>
      <x:c r="S163" s="11" t="n"/>
      <x:c r="T163" s="11" t="n"/>
      <x:c r="U163" s="12" t="n"/>
      <x:c r="V163" s="12" t="n"/>
      <x:c r="W163" s="12" t="n"/>
      <x:c r="X163" s="12" t="n"/>
      <x:c r="Y163" s="12" t="n"/>
      <x:c r="Z163" s="13">
        <x:f>IF($C163="","",VLOOKUP($C163,Config!$A$2:$Y$4,2,FALSE))</x:f>
      </x:c>
      <x:c r="AA163" s="13">
        <x:f>IF($C163="","",VLOOKUP($C163,Config!$A$2:$Y$4,5,FALSE))</x:f>
      </x:c>
      <x:c r="AB163" s="14">
        <x:f>IF($C163="","",VLOOKUP($C163,Config!$A$2:$Y$4,7,FALSE))</x:f>
      </x:c>
      <x:c r="AC163" s="14">
        <x:f>IF($C163="","",VLOOKUP($C163,Config!$A$2:$Y$4,8,FALSE))</x:f>
      </x:c>
      <x:c r="AD163" s="14">
        <x:f>IF($C163="","",VLOOKUP($C163,Config!$A$2:$Y$4,9,FALSE))</x:f>
      </x:c>
      <x:c r="AE163" s="14">
        <x:f>IF($C163="","",VLOOKUP($C163,Config!$A$2:$Y$4,10,FALSE))</x:f>
      </x:c>
      <x:c r="AF163" s="14">
        <x:f>IF($C163="","",VLOOKUP($C163,Config!$A$2:$Y$4,11,FALSE))</x:f>
      </x:c>
      <x:c r="AG163" s="14">
        <x:f>IF($C163="","",VLOOKUP($C163,Config!$A$2:$Y$4,12,FALSE))</x:f>
      </x:c>
      <x:c r="AH163" s="14">
        <x:f>IF($C163="","",VLOOKUP($C163,Config!$A$2:$Y$4,13,FALSE))</x:f>
      </x:c>
      <x:c r="AI163" s="14">
        <x:f>IF($C163="","",VLOOKUP($C163,Config!$A$2:$Y$4,14,FALSE))</x:f>
      </x:c>
      <x:c r="AJ163" s="14">
        <x:f>IF($C163="","",VLOOKUP($C163,Config!$A$2:$Y$4,15,FALSE))</x:f>
      </x:c>
      <x:c r="AK163" s="14">
        <x:f>IF($C163="","",VLOOKUP($C163,Config!$A$2:$Y$4,16,FALSE))</x:f>
      </x:c>
      <x:c r="AL163" s="14">
        <x:f>IF($C163="","",VLOOKUP($C163,Config!$A$2:$Y$4,17,FALSE))</x:f>
      </x:c>
      <x:c r="AM163" s="14">
        <x:f>IF($C163="","",VLOOKUP($C163,Config!$A$2:$Y$4,18,FALSE))</x:f>
      </x:c>
      <x:c r="AN163" s="14">
        <x:f>IF($C163="","",VLOOKUP($C163,Config!$A$2:$Y$4,19,FALSE))</x:f>
      </x:c>
      <x:c r="AO163" s="14">
        <x:f>IF($C163="","",VLOOKUP($C163,Config!$A$2:$Y$4,20,FALSE))</x:f>
      </x:c>
      <x:c r="AP163" s="14">
        <x:f>IF($C163="","",VLOOKUP($C163,Config!$A$2:$Y$4,21,FALSE))</x:f>
      </x:c>
      <x:c r="AQ163" s="14">
        <x:f>IF($C163="","",VLOOKUP($C163,Config!$A$2:$Y$4,22,FALSE))</x:f>
      </x:c>
      <x:c r="AR163" s="14">
        <x:f>IF($C163="","",VLOOKUP($C163,Config!$A$2:$Y$4,23,FALSE))</x:f>
      </x:c>
      <x:c r="AS163" s="13">
        <x:f>IF($C163="","",IF($H163="Extra",3,IF($H163="I",2,IF($H163="II",1,0)))&gt;=IF($AA163="Extra",3,IF($AA163="I",2,IF($AA163="II",1,0))))</x:f>
      </x:c>
      <x:c r="AT163" s="13">
        <x:f>IF($C163="","",IF($I163="",FALSE,$I163&gt;=$AB163))</x:f>
      </x:c>
      <x:c r="AU163" s="13">
        <x:f>IF($C163="","",IF($AC163="",TRUE,IF($J163="",FALSE,$J163&lt;=$AC163)))</x:f>
      </x:c>
      <x:c r="AV163" s="13">
        <x:f>IF($C163="","",IF($AD163="",TRUE,IF($K163="",FALSE,$K163&lt;=$AD163)))</x:f>
      </x:c>
      <x:c r="AW163" s="13">
        <x:f>IF($C163="","",IF($AE163="",TRUE,IF($L163="",FALSE,$L163&lt;=$AE163)))</x:f>
      </x:c>
      <x:c r="AX163" s="13">
        <x:f>IF($C163="","",IF($AF163="",TRUE,IF($M163="",FALSE,$M163&lt;=$AF163)))</x:f>
      </x:c>
      <x:c r="AY163" s="13">
        <x:f>IF($C163="","",IF($AG163="",TRUE,IF($N163="",FALSE,$N163&gt;=$AG163)))</x:f>
      </x:c>
      <x:c r="AZ163" s="13">
        <x:f>IF($C163="","",IF(OR($AH163="",$AI163=""),TRUE,IF($O163="",FALSE,AND($O163&gt;=$AH163,$O163&lt;=$AI163))))</x:f>
      </x:c>
      <x:c r="BA163" s="13">
        <x:f>IF($C163="","",IF($AJ163="Y",$P163="Y",TRUE))</x:f>
      </x:c>
      <x:c r="BB163" s="13">
        <x:f>IF($C163="","",IF($AK163="Y",$Q163="Y",TRUE))</x:f>
      </x:c>
      <x:c r="BC163" s="13">
        <x:f>IF($C163="","",IF($AL163="Y",$R163="Y",TRUE))</x:f>
      </x:c>
      <x:c r="BD163" s="13">
        <x:f>IF($C163="","",IF($AM163="Y",$S163="Y",TRUE))</x:f>
      </x:c>
      <x:c r="BE163" s="13">
        <x:f>IF($C163="","",IF($AN163="Y",$T163="Y",TRUE))</x:f>
      </x:c>
      <x:c r="BF163" s="13">
        <x:f>IF($C163="","",IF($AO163="",TRUE,IF($U163="",FALSE,$U163&lt;=$AO163)))</x:f>
      </x:c>
      <x:c r="BG163" s="13">
        <x:f>IF($C163="","",IF($AP163="",TRUE,IF($V163="",FALSE,$V163&lt;=$AP163)))</x:f>
      </x:c>
      <x:c r="BH163" s="13">
        <x:f>IF($C163="","",IF($AQ163="",TRUE,IF($W163="",FALSE,$W163&lt;=$AQ163)))</x:f>
      </x:c>
      <x:c r="BI163" s="13">
        <x:f>IF($C163="","",IF($AR163="",TRUE,IF($X163="",FALSE,$X163&lt;=$AR163)))</x:f>
      </x:c>
      <x:c r="BJ163" s="15">
        <x:f>IF($C163="","",IF($Y163="",0,$Y163)+IF($AS163,10,0)+IF($AT163,8,0)+IF($AU163,5,0)+IF($AV163,8,0)+IF($AW163,15,0)+IF($AX163,4,0)+IF($AY163,5,0)+IF($AZ163,10,0)+IF($BA163,8,0)+IF($BB163,4,0)+IF($BC163,6,0)+IF($BD163,3,0)+IF($BE163,2,0)+IF($BF163,2,0)+IF($BG163,2,0)+IF($BH163,2,0)+IF($BI163,1,0))</x:f>
      </x:c>
      <x:c r="BK163" s="15">
        <x:f>IF($C163="","",IF(NOT($AS163),1,0)+IF(NOT($AW163),1,0)+IF(NOT($AZ163),1,0)+IF(NOT($BA163),1,0)+IF(NOT($BB163),1,0)+IF(NOT($BC163),1,0))</x:f>
      </x:c>
      <x:c r="BL163" s="13">
        <x:f>IF($C163="","",IF($BK163&gt;0,"REJECT",IF(COUNTIF($AS163:$BI163,FALSE)=0,"ACCEPT",IF($BJ163&gt;=85,"ACCEPT WITH SORTING / DISCOUNT","REJECT"))))</x:f>
      </x:c>
    </x:row>
    <x:row r="164" ht="24" customHeight="1">
      <x:c r="A164" s="10" t="n"/>
      <x:c r="B164" s="11" t="n"/>
      <x:c r="C164" s="11" t="n"/>
      <x:c r="D164" s="11" t="n"/>
      <x:c r="E164" s="11" t="n"/>
      <x:c r="F164" s="11" t="n"/>
      <x:c r="G164" s="11" t="n"/>
      <x:c r="H164" s="11" t="n"/>
      <x:c r="I164" s="12" t="n"/>
      <x:c r="J164" s="12" t="n"/>
      <x:c r="K164" s="12" t="n"/>
      <x:c r="L164" s="12" t="n"/>
      <x:c r="M164" s="12" t="n"/>
      <x:c r="N164" s="12" t="n"/>
      <x:c r="O164" s="12" t="n"/>
      <x:c r="P164" s="11" t="n"/>
      <x:c r="Q164" s="11" t="n"/>
      <x:c r="R164" s="11" t="n"/>
      <x:c r="S164" s="11" t="n"/>
      <x:c r="T164" s="11" t="n"/>
      <x:c r="U164" s="12" t="n"/>
      <x:c r="V164" s="12" t="n"/>
      <x:c r="W164" s="12" t="n"/>
      <x:c r="X164" s="12" t="n"/>
      <x:c r="Y164" s="12" t="n"/>
      <x:c r="Z164" s="13">
        <x:f>IF($C164="","",VLOOKUP($C164,Config!$A$2:$Y$4,2,FALSE))</x:f>
      </x:c>
      <x:c r="AA164" s="13">
        <x:f>IF($C164="","",VLOOKUP($C164,Config!$A$2:$Y$4,5,FALSE))</x:f>
      </x:c>
      <x:c r="AB164" s="14">
        <x:f>IF($C164="","",VLOOKUP($C164,Config!$A$2:$Y$4,7,FALSE))</x:f>
      </x:c>
      <x:c r="AC164" s="14">
        <x:f>IF($C164="","",VLOOKUP($C164,Config!$A$2:$Y$4,8,FALSE))</x:f>
      </x:c>
      <x:c r="AD164" s="14">
        <x:f>IF($C164="","",VLOOKUP($C164,Config!$A$2:$Y$4,9,FALSE))</x:f>
      </x:c>
      <x:c r="AE164" s="14">
        <x:f>IF($C164="","",VLOOKUP($C164,Config!$A$2:$Y$4,10,FALSE))</x:f>
      </x:c>
      <x:c r="AF164" s="14">
        <x:f>IF($C164="","",VLOOKUP($C164,Config!$A$2:$Y$4,11,FALSE))</x:f>
      </x:c>
      <x:c r="AG164" s="14">
        <x:f>IF($C164="","",VLOOKUP($C164,Config!$A$2:$Y$4,12,FALSE))</x:f>
      </x:c>
      <x:c r="AH164" s="14">
        <x:f>IF($C164="","",VLOOKUP($C164,Config!$A$2:$Y$4,13,FALSE))</x:f>
      </x:c>
      <x:c r="AI164" s="14">
        <x:f>IF($C164="","",VLOOKUP($C164,Config!$A$2:$Y$4,14,FALSE))</x:f>
      </x:c>
      <x:c r="AJ164" s="14">
        <x:f>IF($C164="","",VLOOKUP($C164,Config!$A$2:$Y$4,15,FALSE))</x:f>
      </x:c>
      <x:c r="AK164" s="14">
        <x:f>IF($C164="","",VLOOKUP($C164,Config!$A$2:$Y$4,16,FALSE))</x:f>
      </x:c>
      <x:c r="AL164" s="14">
        <x:f>IF($C164="","",VLOOKUP($C164,Config!$A$2:$Y$4,17,FALSE))</x:f>
      </x:c>
      <x:c r="AM164" s="14">
        <x:f>IF($C164="","",VLOOKUP($C164,Config!$A$2:$Y$4,18,FALSE))</x:f>
      </x:c>
      <x:c r="AN164" s="14">
        <x:f>IF($C164="","",VLOOKUP($C164,Config!$A$2:$Y$4,19,FALSE))</x:f>
      </x:c>
      <x:c r="AO164" s="14">
        <x:f>IF($C164="","",VLOOKUP($C164,Config!$A$2:$Y$4,20,FALSE))</x:f>
      </x:c>
      <x:c r="AP164" s="14">
        <x:f>IF($C164="","",VLOOKUP($C164,Config!$A$2:$Y$4,21,FALSE))</x:f>
      </x:c>
      <x:c r="AQ164" s="14">
        <x:f>IF($C164="","",VLOOKUP($C164,Config!$A$2:$Y$4,22,FALSE))</x:f>
      </x:c>
      <x:c r="AR164" s="14">
        <x:f>IF($C164="","",VLOOKUP($C164,Config!$A$2:$Y$4,23,FALSE))</x:f>
      </x:c>
      <x:c r="AS164" s="13">
        <x:f>IF($C164="","",IF($H164="Extra",3,IF($H164="I",2,IF($H164="II",1,0)))&gt;=IF($AA164="Extra",3,IF($AA164="I",2,IF($AA164="II",1,0))))</x:f>
      </x:c>
      <x:c r="AT164" s="13">
        <x:f>IF($C164="","",IF($I164="",FALSE,$I164&gt;=$AB164))</x:f>
      </x:c>
      <x:c r="AU164" s="13">
        <x:f>IF($C164="","",IF($AC164="",TRUE,IF($J164="",FALSE,$J164&lt;=$AC164)))</x:f>
      </x:c>
      <x:c r="AV164" s="13">
        <x:f>IF($C164="","",IF($AD164="",TRUE,IF($K164="",FALSE,$K164&lt;=$AD164)))</x:f>
      </x:c>
      <x:c r="AW164" s="13">
        <x:f>IF($C164="","",IF($AE164="",TRUE,IF($L164="",FALSE,$L164&lt;=$AE164)))</x:f>
      </x:c>
      <x:c r="AX164" s="13">
        <x:f>IF($C164="","",IF($AF164="",TRUE,IF($M164="",FALSE,$M164&lt;=$AF164)))</x:f>
      </x:c>
      <x:c r="AY164" s="13">
        <x:f>IF($C164="","",IF($AG164="",TRUE,IF($N164="",FALSE,$N164&gt;=$AG164)))</x:f>
      </x:c>
      <x:c r="AZ164" s="13">
        <x:f>IF($C164="","",IF(OR($AH164="",$AI164=""),TRUE,IF($O164="",FALSE,AND($O164&gt;=$AH164,$O164&lt;=$AI164))))</x:f>
      </x:c>
      <x:c r="BA164" s="13">
        <x:f>IF($C164="","",IF($AJ164="Y",$P164="Y",TRUE))</x:f>
      </x:c>
      <x:c r="BB164" s="13">
        <x:f>IF($C164="","",IF($AK164="Y",$Q164="Y",TRUE))</x:f>
      </x:c>
      <x:c r="BC164" s="13">
        <x:f>IF($C164="","",IF($AL164="Y",$R164="Y",TRUE))</x:f>
      </x:c>
      <x:c r="BD164" s="13">
        <x:f>IF($C164="","",IF($AM164="Y",$S164="Y",TRUE))</x:f>
      </x:c>
      <x:c r="BE164" s="13">
        <x:f>IF($C164="","",IF($AN164="Y",$T164="Y",TRUE))</x:f>
      </x:c>
      <x:c r="BF164" s="13">
        <x:f>IF($C164="","",IF($AO164="",TRUE,IF($U164="",FALSE,$U164&lt;=$AO164)))</x:f>
      </x:c>
      <x:c r="BG164" s="13">
        <x:f>IF($C164="","",IF($AP164="",TRUE,IF($V164="",FALSE,$V164&lt;=$AP164)))</x:f>
      </x:c>
      <x:c r="BH164" s="13">
        <x:f>IF($C164="","",IF($AQ164="",TRUE,IF($W164="",FALSE,$W164&lt;=$AQ164)))</x:f>
      </x:c>
      <x:c r="BI164" s="13">
        <x:f>IF($C164="","",IF($AR164="",TRUE,IF($X164="",FALSE,$X164&lt;=$AR164)))</x:f>
      </x:c>
      <x:c r="BJ164" s="15">
        <x:f>IF($C164="","",IF($Y164="",0,$Y164)+IF($AS164,10,0)+IF($AT164,8,0)+IF($AU164,5,0)+IF($AV164,8,0)+IF($AW164,15,0)+IF($AX164,4,0)+IF($AY164,5,0)+IF($AZ164,10,0)+IF($BA164,8,0)+IF($BB164,4,0)+IF($BC164,6,0)+IF($BD164,3,0)+IF($BE164,2,0)+IF($BF164,2,0)+IF($BG164,2,0)+IF($BH164,2,0)+IF($BI164,1,0))</x:f>
      </x:c>
      <x:c r="BK164" s="15">
        <x:f>IF($C164="","",IF(NOT($AS164),1,0)+IF(NOT($AW164),1,0)+IF(NOT($AZ164),1,0)+IF(NOT($BA164),1,0)+IF(NOT($BB164),1,0)+IF(NOT($BC164),1,0))</x:f>
      </x:c>
      <x:c r="BL164" s="13">
        <x:f>IF($C164="","",IF($BK164&gt;0,"REJECT",IF(COUNTIF($AS164:$BI164,FALSE)=0,"ACCEPT",IF($BJ164&gt;=85,"ACCEPT WITH SORTING / DISCOUNT","REJECT"))))</x:f>
      </x:c>
    </x:row>
    <x:row r="165" ht="24" customHeight="1">
      <x:c r="A165" s="10" t="n"/>
      <x:c r="B165" s="11" t="n"/>
      <x:c r="C165" s="11" t="n"/>
      <x:c r="D165" s="11" t="n"/>
      <x:c r="E165" s="11" t="n"/>
      <x:c r="F165" s="11" t="n"/>
      <x:c r="G165" s="11" t="n"/>
      <x:c r="H165" s="11" t="n"/>
      <x:c r="I165" s="12" t="n"/>
      <x:c r="J165" s="12" t="n"/>
      <x:c r="K165" s="12" t="n"/>
      <x:c r="L165" s="12" t="n"/>
      <x:c r="M165" s="12" t="n"/>
      <x:c r="N165" s="12" t="n"/>
      <x:c r="O165" s="12" t="n"/>
      <x:c r="P165" s="11" t="n"/>
      <x:c r="Q165" s="11" t="n"/>
      <x:c r="R165" s="11" t="n"/>
      <x:c r="S165" s="11" t="n"/>
      <x:c r="T165" s="11" t="n"/>
      <x:c r="U165" s="12" t="n"/>
      <x:c r="V165" s="12" t="n"/>
      <x:c r="W165" s="12" t="n"/>
      <x:c r="X165" s="12" t="n"/>
      <x:c r="Y165" s="12" t="n"/>
      <x:c r="Z165" s="13">
        <x:f>IF($C165="","",VLOOKUP($C165,Config!$A$2:$Y$4,2,FALSE))</x:f>
      </x:c>
      <x:c r="AA165" s="13">
        <x:f>IF($C165="","",VLOOKUP($C165,Config!$A$2:$Y$4,5,FALSE))</x:f>
      </x:c>
      <x:c r="AB165" s="14">
        <x:f>IF($C165="","",VLOOKUP($C165,Config!$A$2:$Y$4,7,FALSE))</x:f>
      </x:c>
      <x:c r="AC165" s="14">
        <x:f>IF($C165="","",VLOOKUP($C165,Config!$A$2:$Y$4,8,FALSE))</x:f>
      </x:c>
      <x:c r="AD165" s="14">
        <x:f>IF($C165="","",VLOOKUP($C165,Config!$A$2:$Y$4,9,FALSE))</x:f>
      </x:c>
      <x:c r="AE165" s="14">
        <x:f>IF($C165="","",VLOOKUP($C165,Config!$A$2:$Y$4,10,FALSE))</x:f>
      </x:c>
      <x:c r="AF165" s="14">
        <x:f>IF($C165="","",VLOOKUP($C165,Config!$A$2:$Y$4,11,FALSE))</x:f>
      </x:c>
      <x:c r="AG165" s="14">
        <x:f>IF($C165="","",VLOOKUP($C165,Config!$A$2:$Y$4,12,FALSE))</x:f>
      </x:c>
      <x:c r="AH165" s="14">
        <x:f>IF($C165="","",VLOOKUP($C165,Config!$A$2:$Y$4,13,FALSE))</x:f>
      </x:c>
      <x:c r="AI165" s="14">
        <x:f>IF($C165="","",VLOOKUP($C165,Config!$A$2:$Y$4,14,FALSE))</x:f>
      </x:c>
      <x:c r="AJ165" s="14">
        <x:f>IF($C165="","",VLOOKUP($C165,Config!$A$2:$Y$4,15,FALSE))</x:f>
      </x:c>
      <x:c r="AK165" s="14">
        <x:f>IF($C165="","",VLOOKUP($C165,Config!$A$2:$Y$4,16,FALSE))</x:f>
      </x:c>
      <x:c r="AL165" s="14">
        <x:f>IF($C165="","",VLOOKUP($C165,Config!$A$2:$Y$4,17,FALSE))</x:f>
      </x:c>
      <x:c r="AM165" s="14">
        <x:f>IF($C165="","",VLOOKUP($C165,Config!$A$2:$Y$4,18,FALSE))</x:f>
      </x:c>
      <x:c r="AN165" s="14">
        <x:f>IF($C165="","",VLOOKUP($C165,Config!$A$2:$Y$4,19,FALSE))</x:f>
      </x:c>
      <x:c r="AO165" s="14">
        <x:f>IF($C165="","",VLOOKUP($C165,Config!$A$2:$Y$4,20,FALSE))</x:f>
      </x:c>
      <x:c r="AP165" s="14">
        <x:f>IF($C165="","",VLOOKUP($C165,Config!$A$2:$Y$4,21,FALSE))</x:f>
      </x:c>
      <x:c r="AQ165" s="14">
        <x:f>IF($C165="","",VLOOKUP($C165,Config!$A$2:$Y$4,22,FALSE))</x:f>
      </x:c>
      <x:c r="AR165" s="14">
        <x:f>IF($C165="","",VLOOKUP($C165,Config!$A$2:$Y$4,23,FALSE))</x:f>
      </x:c>
      <x:c r="AS165" s="13">
        <x:f>IF($C165="","",IF($H165="Extra",3,IF($H165="I",2,IF($H165="II",1,0)))&gt;=IF($AA165="Extra",3,IF($AA165="I",2,IF($AA165="II",1,0))))</x:f>
      </x:c>
      <x:c r="AT165" s="13">
        <x:f>IF($C165="","",IF($I165="",FALSE,$I165&gt;=$AB165))</x:f>
      </x:c>
      <x:c r="AU165" s="13">
        <x:f>IF($C165="","",IF($AC165="",TRUE,IF($J165="",FALSE,$J165&lt;=$AC165)))</x:f>
      </x:c>
      <x:c r="AV165" s="13">
        <x:f>IF($C165="","",IF($AD165="",TRUE,IF($K165="",FALSE,$K165&lt;=$AD165)))</x:f>
      </x:c>
      <x:c r="AW165" s="13">
        <x:f>IF($C165="","",IF($AE165="",TRUE,IF($L165="",FALSE,$L165&lt;=$AE165)))</x:f>
      </x:c>
      <x:c r="AX165" s="13">
        <x:f>IF($C165="","",IF($AF165="",TRUE,IF($M165="",FALSE,$M165&lt;=$AF165)))</x:f>
      </x:c>
      <x:c r="AY165" s="13">
        <x:f>IF($C165="","",IF($AG165="",TRUE,IF($N165="",FALSE,$N165&gt;=$AG165)))</x:f>
      </x:c>
      <x:c r="AZ165" s="13">
        <x:f>IF($C165="","",IF(OR($AH165="",$AI165=""),TRUE,IF($O165="",FALSE,AND($O165&gt;=$AH165,$O165&lt;=$AI165))))</x:f>
      </x:c>
      <x:c r="BA165" s="13">
        <x:f>IF($C165="","",IF($AJ165="Y",$P165="Y",TRUE))</x:f>
      </x:c>
      <x:c r="BB165" s="13">
        <x:f>IF($C165="","",IF($AK165="Y",$Q165="Y",TRUE))</x:f>
      </x:c>
      <x:c r="BC165" s="13">
        <x:f>IF($C165="","",IF($AL165="Y",$R165="Y",TRUE))</x:f>
      </x:c>
      <x:c r="BD165" s="13">
        <x:f>IF($C165="","",IF($AM165="Y",$S165="Y",TRUE))</x:f>
      </x:c>
      <x:c r="BE165" s="13">
        <x:f>IF($C165="","",IF($AN165="Y",$T165="Y",TRUE))</x:f>
      </x:c>
      <x:c r="BF165" s="13">
        <x:f>IF($C165="","",IF($AO165="",TRUE,IF($U165="",FALSE,$U165&lt;=$AO165)))</x:f>
      </x:c>
      <x:c r="BG165" s="13">
        <x:f>IF($C165="","",IF($AP165="",TRUE,IF($V165="",FALSE,$V165&lt;=$AP165)))</x:f>
      </x:c>
      <x:c r="BH165" s="13">
        <x:f>IF($C165="","",IF($AQ165="",TRUE,IF($W165="",FALSE,$W165&lt;=$AQ165)))</x:f>
      </x:c>
      <x:c r="BI165" s="13">
        <x:f>IF($C165="","",IF($AR165="",TRUE,IF($X165="",FALSE,$X165&lt;=$AR165)))</x:f>
      </x:c>
      <x:c r="BJ165" s="15">
        <x:f>IF($C165="","",IF($Y165="",0,$Y165)+IF($AS165,10,0)+IF($AT165,8,0)+IF($AU165,5,0)+IF($AV165,8,0)+IF($AW165,15,0)+IF($AX165,4,0)+IF($AY165,5,0)+IF($AZ165,10,0)+IF($BA165,8,0)+IF($BB165,4,0)+IF($BC165,6,0)+IF($BD165,3,0)+IF($BE165,2,0)+IF($BF165,2,0)+IF($BG165,2,0)+IF($BH165,2,0)+IF($BI165,1,0))</x:f>
      </x:c>
      <x:c r="BK165" s="15">
        <x:f>IF($C165="","",IF(NOT($AS165),1,0)+IF(NOT($AW165),1,0)+IF(NOT($AZ165),1,0)+IF(NOT($BA165),1,0)+IF(NOT($BB165),1,0)+IF(NOT($BC165),1,0))</x:f>
      </x:c>
      <x:c r="BL165" s="13">
        <x:f>IF($C165="","",IF($BK165&gt;0,"REJECT",IF(COUNTIF($AS165:$BI165,FALSE)=0,"ACCEPT",IF($BJ165&gt;=85,"ACCEPT WITH SORTING / DISCOUNT","REJECT"))))</x:f>
      </x:c>
    </x:row>
    <x:row r="166" ht="24" customHeight="1">
      <x:c r="A166" s="10" t="n"/>
      <x:c r="B166" s="11" t="n"/>
      <x:c r="C166" s="11" t="n"/>
      <x:c r="D166" s="11" t="n"/>
      <x:c r="E166" s="11" t="n"/>
      <x:c r="F166" s="11" t="n"/>
      <x:c r="G166" s="11" t="n"/>
      <x:c r="H166" s="11" t="n"/>
      <x:c r="I166" s="12" t="n"/>
      <x:c r="J166" s="12" t="n"/>
      <x:c r="K166" s="12" t="n"/>
      <x:c r="L166" s="12" t="n"/>
      <x:c r="M166" s="12" t="n"/>
      <x:c r="N166" s="12" t="n"/>
      <x:c r="O166" s="12" t="n"/>
      <x:c r="P166" s="11" t="n"/>
      <x:c r="Q166" s="11" t="n"/>
      <x:c r="R166" s="11" t="n"/>
      <x:c r="S166" s="11" t="n"/>
      <x:c r="T166" s="11" t="n"/>
      <x:c r="U166" s="12" t="n"/>
      <x:c r="V166" s="12" t="n"/>
      <x:c r="W166" s="12" t="n"/>
      <x:c r="X166" s="12" t="n"/>
      <x:c r="Y166" s="12" t="n"/>
      <x:c r="Z166" s="13">
        <x:f>IF($C166="","",VLOOKUP($C166,Config!$A$2:$Y$4,2,FALSE))</x:f>
      </x:c>
      <x:c r="AA166" s="13">
        <x:f>IF($C166="","",VLOOKUP($C166,Config!$A$2:$Y$4,5,FALSE))</x:f>
      </x:c>
      <x:c r="AB166" s="14">
        <x:f>IF($C166="","",VLOOKUP($C166,Config!$A$2:$Y$4,7,FALSE))</x:f>
      </x:c>
      <x:c r="AC166" s="14">
        <x:f>IF($C166="","",VLOOKUP($C166,Config!$A$2:$Y$4,8,FALSE))</x:f>
      </x:c>
      <x:c r="AD166" s="14">
        <x:f>IF($C166="","",VLOOKUP($C166,Config!$A$2:$Y$4,9,FALSE))</x:f>
      </x:c>
      <x:c r="AE166" s="14">
        <x:f>IF($C166="","",VLOOKUP($C166,Config!$A$2:$Y$4,10,FALSE))</x:f>
      </x:c>
      <x:c r="AF166" s="14">
        <x:f>IF($C166="","",VLOOKUP($C166,Config!$A$2:$Y$4,11,FALSE))</x:f>
      </x:c>
      <x:c r="AG166" s="14">
        <x:f>IF($C166="","",VLOOKUP($C166,Config!$A$2:$Y$4,12,FALSE))</x:f>
      </x:c>
      <x:c r="AH166" s="14">
        <x:f>IF($C166="","",VLOOKUP($C166,Config!$A$2:$Y$4,13,FALSE))</x:f>
      </x:c>
      <x:c r="AI166" s="14">
        <x:f>IF($C166="","",VLOOKUP($C166,Config!$A$2:$Y$4,14,FALSE))</x:f>
      </x:c>
      <x:c r="AJ166" s="14">
        <x:f>IF($C166="","",VLOOKUP($C166,Config!$A$2:$Y$4,15,FALSE))</x:f>
      </x:c>
      <x:c r="AK166" s="14">
        <x:f>IF($C166="","",VLOOKUP($C166,Config!$A$2:$Y$4,16,FALSE))</x:f>
      </x:c>
      <x:c r="AL166" s="14">
        <x:f>IF($C166="","",VLOOKUP($C166,Config!$A$2:$Y$4,17,FALSE))</x:f>
      </x:c>
      <x:c r="AM166" s="14">
        <x:f>IF($C166="","",VLOOKUP($C166,Config!$A$2:$Y$4,18,FALSE))</x:f>
      </x:c>
      <x:c r="AN166" s="14">
        <x:f>IF($C166="","",VLOOKUP($C166,Config!$A$2:$Y$4,19,FALSE))</x:f>
      </x:c>
      <x:c r="AO166" s="14">
        <x:f>IF($C166="","",VLOOKUP($C166,Config!$A$2:$Y$4,20,FALSE))</x:f>
      </x:c>
      <x:c r="AP166" s="14">
        <x:f>IF($C166="","",VLOOKUP($C166,Config!$A$2:$Y$4,21,FALSE))</x:f>
      </x:c>
      <x:c r="AQ166" s="14">
        <x:f>IF($C166="","",VLOOKUP($C166,Config!$A$2:$Y$4,22,FALSE))</x:f>
      </x:c>
      <x:c r="AR166" s="14">
        <x:f>IF($C166="","",VLOOKUP($C166,Config!$A$2:$Y$4,23,FALSE))</x:f>
      </x:c>
      <x:c r="AS166" s="13">
        <x:f>IF($C166="","",IF($H166="Extra",3,IF($H166="I",2,IF($H166="II",1,0)))&gt;=IF($AA166="Extra",3,IF($AA166="I",2,IF($AA166="II",1,0))))</x:f>
      </x:c>
      <x:c r="AT166" s="13">
        <x:f>IF($C166="","",IF($I166="",FALSE,$I166&gt;=$AB166))</x:f>
      </x:c>
      <x:c r="AU166" s="13">
        <x:f>IF($C166="","",IF($AC166="",TRUE,IF($J166="",FALSE,$J166&lt;=$AC166)))</x:f>
      </x:c>
      <x:c r="AV166" s="13">
        <x:f>IF($C166="","",IF($AD166="",TRUE,IF($K166="",FALSE,$K166&lt;=$AD166)))</x:f>
      </x:c>
      <x:c r="AW166" s="13">
        <x:f>IF($C166="","",IF($AE166="",TRUE,IF($L166="",FALSE,$L166&lt;=$AE166)))</x:f>
      </x:c>
      <x:c r="AX166" s="13">
        <x:f>IF($C166="","",IF($AF166="",TRUE,IF($M166="",FALSE,$M166&lt;=$AF166)))</x:f>
      </x:c>
      <x:c r="AY166" s="13">
        <x:f>IF($C166="","",IF($AG166="",TRUE,IF($N166="",FALSE,$N166&gt;=$AG166)))</x:f>
      </x:c>
      <x:c r="AZ166" s="13">
        <x:f>IF($C166="","",IF(OR($AH166="",$AI166=""),TRUE,IF($O166="",FALSE,AND($O166&gt;=$AH166,$O166&lt;=$AI166))))</x:f>
      </x:c>
      <x:c r="BA166" s="13">
        <x:f>IF($C166="","",IF($AJ166="Y",$P166="Y",TRUE))</x:f>
      </x:c>
      <x:c r="BB166" s="13">
        <x:f>IF($C166="","",IF($AK166="Y",$Q166="Y",TRUE))</x:f>
      </x:c>
      <x:c r="BC166" s="13">
        <x:f>IF($C166="","",IF($AL166="Y",$R166="Y",TRUE))</x:f>
      </x:c>
      <x:c r="BD166" s="13">
        <x:f>IF($C166="","",IF($AM166="Y",$S166="Y",TRUE))</x:f>
      </x:c>
      <x:c r="BE166" s="13">
        <x:f>IF($C166="","",IF($AN166="Y",$T166="Y",TRUE))</x:f>
      </x:c>
      <x:c r="BF166" s="13">
        <x:f>IF($C166="","",IF($AO166="",TRUE,IF($U166="",FALSE,$U166&lt;=$AO166)))</x:f>
      </x:c>
      <x:c r="BG166" s="13">
        <x:f>IF($C166="","",IF($AP166="",TRUE,IF($V166="",FALSE,$V166&lt;=$AP166)))</x:f>
      </x:c>
      <x:c r="BH166" s="13">
        <x:f>IF($C166="","",IF($AQ166="",TRUE,IF($W166="",FALSE,$W166&lt;=$AQ166)))</x:f>
      </x:c>
      <x:c r="BI166" s="13">
        <x:f>IF($C166="","",IF($AR166="",TRUE,IF($X166="",FALSE,$X166&lt;=$AR166)))</x:f>
      </x:c>
      <x:c r="BJ166" s="15">
        <x:f>IF($C166="","",IF($Y166="",0,$Y166)+IF($AS166,10,0)+IF($AT166,8,0)+IF($AU166,5,0)+IF($AV166,8,0)+IF($AW166,15,0)+IF($AX166,4,0)+IF($AY166,5,0)+IF($AZ166,10,0)+IF($BA166,8,0)+IF($BB166,4,0)+IF($BC166,6,0)+IF($BD166,3,0)+IF($BE166,2,0)+IF($BF166,2,0)+IF($BG166,2,0)+IF($BH166,2,0)+IF($BI166,1,0))</x:f>
      </x:c>
      <x:c r="BK166" s="15">
        <x:f>IF($C166="","",IF(NOT($AS166),1,0)+IF(NOT($AW166),1,0)+IF(NOT($AZ166),1,0)+IF(NOT($BA166),1,0)+IF(NOT($BB166),1,0)+IF(NOT($BC166),1,0))</x:f>
      </x:c>
      <x:c r="BL166" s="13">
        <x:f>IF($C166="","",IF($BK166&gt;0,"REJECT",IF(COUNTIF($AS166:$BI166,FALSE)=0,"ACCEPT",IF($BJ166&gt;=85,"ACCEPT WITH SORTING / DISCOUNT","REJECT"))))</x:f>
      </x:c>
    </x:row>
    <x:row r="167" ht="24" customHeight="1">
      <x:c r="A167" s="10" t="n"/>
      <x:c r="B167" s="11" t="n"/>
      <x:c r="C167" s="11" t="n"/>
      <x:c r="D167" s="11" t="n"/>
      <x:c r="E167" s="11" t="n"/>
      <x:c r="F167" s="11" t="n"/>
      <x:c r="G167" s="11" t="n"/>
      <x:c r="H167" s="11" t="n"/>
      <x:c r="I167" s="12" t="n"/>
      <x:c r="J167" s="12" t="n"/>
      <x:c r="K167" s="12" t="n"/>
      <x:c r="L167" s="12" t="n"/>
      <x:c r="M167" s="12" t="n"/>
      <x:c r="N167" s="12" t="n"/>
      <x:c r="O167" s="12" t="n"/>
      <x:c r="P167" s="11" t="n"/>
      <x:c r="Q167" s="11" t="n"/>
      <x:c r="R167" s="11" t="n"/>
      <x:c r="S167" s="11" t="n"/>
      <x:c r="T167" s="11" t="n"/>
      <x:c r="U167" s="12" t="n"/>
      <x:c r="V167" s="12" t="n"/>
      <x:c r="W167" s="12" t="n"/>
      <x:c r="X167" s="12" t="n"/>
      <x:c r="Y167" s="12" t="n"/>
      <x:c r="Z167" s="13">
        <x:f>IF($C167="","",VLOOKUP($C167,Config!$A$2:$Y$4,2,FALSE))</x:f>
      </x:c>
      <x:c r="AA167" s="13">
        <x:f>IF($C167="","",VLOOKUP($C167,Config!$A$2:$Y$4,5,FALSE))</x:f>
      </x:c>
      <x:c r="AB167" s="14">
        <x:f>IF($C167="","",VLOOKUP($C167,Config!$A$2:$Y$4,7,FALSE))</x:f>
      </x:c>
      <x:c r="AC167" s="14">
        <x:f>IF($C167="","",VLOOKUP($C167,Config!$A$2:$Y$4,8,FALSE))</x:f>
      </x:c>
      <x:c r="AD167" s="14">
        <x:f>IF($C167="","",VLOOKUP($C167,Config!$A$2:$Y$4,9,FALSE))</x:f>
      </x:c>
      <x:c r="AE167" s="14">
        <x:f>IF($C167="","",VLOOKUP($C167,Config!$A$2:$Y$4,10,FALSE))</x:f>
      </x:c>
      <x:c r="AF167" s="14">
        <x:f>IF($C167="","",VLOOKUP($C167,Config!$A$2:$Y$4,11,FALSE))</x:f>
      </x:c>
      <x:c r="AG167" s="14">
        <x:f>IF($C167="","",VLOOKUP($C167,Config!$A$2:$Y$4,12,FALSE))</x:f>
      </x:c>
      <x:c r="AH167" s="14">
        <x:f>IF($C167="","",VLOOKUP($C167,Config!$A$2:$Y$4,13,FALSE))</x:f>
      </x:c>
      <x:c r="AI167" s="14">
        <x:f>IF($C167="","",VLOOKUP($C167,Config!$A$2:$Y$4,14,FALSE))</x:f>
      </x:c>
      <x:c r="AJ167" s="14">
        <x:f>IF($C167="","",VLOOKUP($C167,Config!$A$2:$Y$4,15,FALSE))</x:f>
      </x:c>
      <x:c r="AK167" s="14">
        <x:f>IF($C167="","",VLOOKUP($C167,Config!$A$2:$Y$4,16,FALSE))</x:f>
      </x:c>
      <x:c r="AL167" s="14">
        <x:f>IF($C167="","",VLOOKUP($C167,Config!$A$2:$Y$4,17,FALSE))</x:f>
      </x:c>
      <x:c r="AM167" s="14">
        <x:f>IF($C167="","",VLOOKUP($C167,Config!$A$2:$Y$4,18,FALSE))</x:f>
      </x:c>
      <x:c r="AN167" s="14">
        <x:f>IF($C167="","",VLOOKUP($C167,Config!$A$2:$Y$4,19,FALSE))</x:f>
      </x:c>
      <x:c r="AO167" s="14">
        <x:f>IF($C167="","",VLOOKUP($C167,Config!$A$2:$Y$4,20,FALSE))</x:f>
      </x:c>
      <x:c r="AP167" s="14">
        <x:f>IF($C167="","",VLOOKUP($C167,Config!$A$2:$Y$4,21,FALSE))</x:f>
      </x:c>
      <x:c r="AQ167" s="14">
        <x:f>IF($C167="","",VLOOKUP($C167,Config!$A$2:$Y$4,22,FALSE))</x:f>
      </x:c>
      <x:c r="AR167" s="14">
        <x:f>IF($C167="","",VLOOKUP($C167,Config!$A$2:$Y$4,23,FALSE))</x:f>
      </x:c>
      <x:c r="AS167" s="13">
        <x:f>IF($C167="","",IF($H167="Extra",3,IF($H167="I",2,IF($H167="II",1,0)))&gt;=IF($AA167="Extra",3,IF($AA167="I",2,IF($AA167="II",1,0))))</x:f>
      </x:c>
      <x:c r="AT167" s="13">
        <x:f>IF($C167="","",IF($I167="",FALSE,$I167&gt;=$AB167))</x:f>
      </x:c>
      <x:c r="AU167" s="13">
        <x:f>IF($C167="","",IF($AC167="",TRUE,IF($J167="",FALSE,$J167&lt;=$AC167)))</x:f>
      </x:c>
      <x:c r="AV167" s="13">
        <x:f>IF($C167="","",IF($AD167="",TRUE,IF($K167="",FALSE,$K167&lt;=$AD167)))</x:f>
      </x:c>
      <x:c r="AW167" s="13">
        <x:f>IF($C167="","",IF($AE167="",TRUE,IF($L167="",FALSE,$L167&lt;=$AE167)))</x:f>
      </x:c>
      <x:c r="AX167" s="13">
        <x:f>IF($C167="","",IF($AF167="",TRUE,IF($M167="",FALSE,$M167&lt;=$AF167)))</x:f>
      </x:c>
      <x:c r="AY167" s="13">
        <x:f>IF($C167="","",IF($AG167="",TRUE,IF($N167="",FALSE,$N167&gt;=$AG167)))</x:f>
      </x:c>
      <x:c r="AZ167" s="13">
        <x:f>IF($C167="","",IF(OR($AH167="",$AI167=""),TRUE,IF($O167="",FALSE,AND($O167&gt;=$AH167,$O167&lt;=$AI167))))</x:f>
      </x:c>
      <x:c r="BA167" s="13">
        <x:f>IF($C167="","",IF($AJ167="Y",$P167="Y",TRUE))</x:f>
      </x:c>
      <x:c r="BB167" s="13">
        <x:f>IF($C167="","",IF($AK167="Y",$Q167="Y",TRUE))</x:f>
      </x:c>
      <x:c r="BC167" s="13">
        <x:f>IF($C167="","",IF($AL167="Y",$R167="Y",TRUE))</x:f>
      </x:c>
      <x:c r="BD167" s="13">
        <x:f>IF($C167="","",IF($AM167="Y",$S167="Y",TRUE))</x:f>
      </x:c>
      <x:c r="BE167" s="13">
        <x:f>IF($C167="","",IF($AN167="Y",$T167="Y",TRUE))</x:f>
      </x:c>
      <x:c r="BF167" s="13">
        <x:f>IF($C167="","",IF($AO167="",TRUE,IF($U167="",FALSE,$U167&lt;=$AO167)))</x:f>
      </x:c>
      <x:c r="BG167" s="13">
        <x:f>IF($C167="","",IF($AP167="",TRUE,IF($V167="",FALSE,$V167&lt;=$AP167)))</x:f>
      </x:c>
      <x:c r="BH167" s="13">
        <x:f>IF($C167="","",IF($AQ167="",TRUE,IF($W167="",FALSE,$W167&lt;=$AQ167)))</x:f>
      </x:c>
      <x:c r="BI167" s="13">
        <x:f>IF($C167="","",IF($AR167="",TRUE,IF($X167="",FALSE,$X167&lt;=$AR167)))</x:f>
      </x:c>
      <x:c r="BJ167" s="15">
        <x:f>IF($C167="","",IF($Y167="",0,$Y167)+IF($AS167,10,0)+IF($AT167,8,0)+IF($AU167,5,0)+IF($AV167,8,0)+IF($AW167,15,0)+IF($AX167,4,0)+IF($AY167,5,0)+IF($AZ167,10,0)+IF($BA167,8,0)+IF($BB167,4,0)+IF($BC167,6,0)+IF($BD167,3,0)+IF($BE167,2,0)+IF($BF167,2,0)+IF($BG167,2,0)+IF($BH167,2,0)+IF($BI167,1,0))</x:f>
      </x:c>
      <x:c r="BK167" s="15">
        <x:f>IF($C167="","",IF(NOT($AS167),1,0)+IF(NOT($AW167),1,0)+IF(NOT($AZ167),1,0)+IF(NOT($BA167),1,0)+IF(NOT($BB167),1,0)+IF(NOT($BC167),1,0))</x:f>
      </x:c>
      <x:c r="BL167" s="13">
        <x:f>IF($C167="","",IF($BK167&gt;0,"REJECT",IF(COUNTIF($AS167:$BI167,FALSE)=0,"ACCEPT",IF($BJ167&gt;=85,"ACCEPT WITH SORTING / DISCOUNT","REJECT"))))</x:f>
      </x:c>
    </x:row>
    <x:row r="168" ht="24" customHeight="1">
      <x:c r="A168" s="10" t="n"/>
      <x:c r="B168" s="11" t="n"/>
      <x:c r="C168" s="11" t="n"/>
      <x:c r="D168" s="11" t="n"/>
      <x:c r="E168" s="11" t="n"/>
      <x:c r="F168" s="11" t="n"/>
      <x:c r="G168" s="11" t="n"/>
      <x:c r="H168" s="11" t="n"/>
      <x:c r="I168" s="12" t="n"/>
      <x:c r="J168" s="12" t="n"/>
      <x:c r="K168" s="12" t="n"/>
      <x:c r="L168" s="12" t="n"/>
      <x:c r="M168" s="12" t="n"/>
      <x:c r="N168" s="12" t="n"/>
      <x:c r="O168" s="12" t="n"/>
      <x:c r="P168" s="11" t="n"/>
      <x:c r="Q168" s="11" t="n"/>
      <x:c r="R168" s="11" t="n"/>
      <x:c r="S168" s="11" t="n"/>
      <x:c r="T168" s="11" t="n"/>
      <x:c r="U168" s="12" t="n"/>
      <x:c r="V168" s="12" t="n"/>
      <x:c r="W168" s="12" t="n"/>
      <x:c r="X168" s="12" t="n"/>
      <x:c r="Y168" s="12" t="n"/>
      <x:c r="Z168" s="13">
        <x:f>IF($C168="","",VLOOKUP($C168,Config!$A$2:$Y$4,2,FALSE))</x:f>
      </x:c>
      <x:c r="AA168" s="13">
        <x:f>IF($C168="","",VLOOKUP($C168,Config!$A$2:$Y$4,5,FALSE))</x:f>
      </x:c>
      <x:c r="AB168" s="14">
        <x:f>IF($C168="","",VLOOKUP($C168,Config!$A$2:$Y$4,7,FALSE))</x:f>
      </x:c>
      <x:c r="AC168" s="14">
        <x:f>IF($C168="","",VLOOKUP($C168,Config!$A$2:$Y$4,8,FALSE))</x:f>
      </x:c>
      <x:c r="AD168" s="14">
        <x:f>IF($C168="","",VLOOKUP($C168,Config!$A$2:$Y$4,9,FALSE))</x:f>
      </x:c>
      <x:c r="AE168" s="14">
        <x:f>IF($C168="","",VLOOKUP($C168,Config!$A$2:$Y$4,10,FALSE))</x:f>
      </x:c>
      <x:c r="AF168" s="14">
        <x:f>IF($C168="","",VLOOKUP($C168,Config!$A$2:$Y$4,11,FALSE))</x:f>
      </x:c>
      <x:c r="AG168" s="14">
        <x:f>IF($C168="","",VLOOKUP($C168,Config!$A$2:$Y$4,12,FALSE))</x:f>
      </x:c>
      <x:c r="AH168" s="14">
        <x:f>IF($C168="","",VLOOKUP($C168,Config!$A$2:$Y$4,13,FALSE))</x:f>
      </x:c>
      <x:c r="AI168" s="14">
        <x:f>IF($C168="","",VLOOKUP($C168,Config!$A$2:$Y$4,14,FALSE))</x:f>
      </x:c>
      <x:c r="AJ168" s="14">
        <x:f>IF($C168="","",VLOOKUP($C168,Config!$A$2:$Y$4,15,FALSE))</x:f>
      </x:c>
      <x:c r="AK168" s="14">
        <x:f>IF($C168="","",VLOOKUP($C168,Config!$A$2:$Y$4,16,FALSE))</x:f>
      </x:c>
      <x:c r="AL168" s="14">
        <x:f>IF($C168="","",VLOOKUP($C168,Config!$A$2:$Y$4,17,FALSE))</x:f>
      </x:c>
      <x:c r="AM168" s="14">
        <x:f>IF($C168="","",VLOOKUP($C168,Config!$A$2:$Y$4,18,FALSE))</x:f>
      </x:c>
      <x:c r="AN168" s="14">
        <x:f>IF($C168="","",VLOOKUP($C168,Config!$A$2:$Y$4,19,FALSE))</x:f>
      </x:c>
      <x:c r="AO168" s="14">
        <x:f>IF($C168="","",VLOOKUP($C168,Config!$A$2:$Y$4,20,FALSE))</x:f>
      </x:c>
      <x:c r="AP168" s="14">
        <x:f>IF($C168="","",VLOOKUP($C168,Config!$A$2:$Y$4,21,FALSE))</x:f>
      </x:c>
      <x:c r="AQ168" s="14">
        <x:f>IF($C168="","",VLOOKUP($C168,Config!$A$2:$Y$4,22,FALSE))</x:f>
      </x:c>
      <x:c r="AR168" s="14">
        <x:f>IF($C168="","",VLOOKUP($C168,Config!$A$2:$Y$4,23,FALSE))</x:f>
      </x:c>
      <x:c r="AS168" s="13">
        <x:f>IF($C168="","",IF($H168="Extra",3,IF($H168="I",2,IF($H168="II",1,0)))&gt;=IF($AA168="Extra",3,IF($AA168="I",2,IF($AA168="II",1,0))))</x:f>
      </x:c>
      <x:c r="AT168" s="13">
        <x:f>IF($C168="","",IF($I168="",FALSE,$I168&gt;=$AB168))</x:f>
      </x:c>
      <x:c r="AU168" s="13">
        <x:f>IF($C168="","",IF($AC168="",TRUE,IF($J168="",FALSE,$J168&lt;=$AC168)))</x:f>
      </x:c>
      <x:c r="AV168" s="13">
        <x:f>IF($C168="","",IF($AD168="",TRUE,IF($K168="",FALSE,$K168&lt;=$AD168)))</x:f>
      </x:c>
      <x:c r="AW168" s="13">
        <x:f>IF($C168="","",IF($AE168="",TRUE,IF($L168="",FALSE,$L168&lt;=$AE168)))</x:f>
      </x:c>
      <x:c r="AX168" s="13">
        <x:f>IF($C168="","",IF($AF168="",TRUE,IF($M168="",FALSE,$M168&lt;=$AF168)))</x:f>
      </x:c>
      <x:c r="AY168" s="13">
        <x:f>IF($C168="","",IF($AG168="",TRUE,IF($N168="",FALSE,$N168&gt;=$AG168)))</x:f>
      </x:c>
      <x:c r="AZ168" s="13">
        <x:f>IF($C168="","",IF(OR($AH168="",$AI168=""),TRUE,IF($O168="",FALSE,AND($O168&gt;=$AH168,$O168&lt;=$AI168))))</x:f>
      </x:c>
      <x:c r="BA168" s="13">
        <x:f>IF($C168="","",IF($AJ168="Y",$P168="Y",TRUE))</x:f>
      </x:c>
      <x:c r="BB168" s="13">
        <x:f>IF($C168="","",IF($AK168="Y",$Q168="Y",TRUE))</x:f>
      </x:c>
      <x:c r="BC168" s="13">
        <x:f>IF($C168="","",IF($AL168="Y",$R168="Y",TRUE))</x:f>
      </x:c>
      <x:c r="BD168" s="13">
        <x:f>IF($C168="","",IF($AM168="Y",$S168="Y",TRUE))</x:f>
      </x:c>
      <x:c r="BE168" s="13">
        <x:f>IF($C168="","",IF($AN168="Y",$T168="Y",TRUE))</x:f>
      </x:c>
      <x:c r="BF168" s="13">
        <x:f>IF($C168="","",IF($AO168="",TRUE,IF($U168="",FALSE,$U168&lt;=$AO168)))</x:f>
      </x:c>
      <x:c r="BG168" s="13">
        <x:f>IF($C168="","",IF($AP168="",TRUE,IF($V168="",FALSE,$V168&lt;=$AP168)))</x:f>
      </x:c>
      <x:c r="BH168" s="13">
        <x:f>IF($C168="","",IF($AQ168="",TRUE,IF($W168="",FALSE,$W168&lt;=$AQ168)))</x:f>
      </x:c>
      <x:c r="BI168" s="13">
        <x:f>IF($C168="","",IF($AR168="",TRUE,IF($X168="",FALSE,$X168&lt;=$AR168)))</x:f>
      </x:c>
      <x:c r="BJ168" s="15">
        <x:f>IF($C168="","",IF($Y168="",0,$Y168)+IF($AS168,10,0)+IF($AT168,8,0)+IF($AU168,5,0)+IF($AV168,8,0)+IF($AW168,15,0)+IF($AX168,4,0)+IF($AY168,5,0)+IF($AZ168,10,0)+IF($BA168,8,0)+IF($BB168,4,0)+IF($BC168,6,0)+IF($BD168,3,0)+IF($BE168,2,0)+IF($BF168,2,0)+IF($BG168,2,0)+IF($BH168,2,0)+IF($BI168,1,0))</x:f>
      </x:c>
      <x:c r="BK168" s="15">
        <x:f>IF($C168="","",IF(NOT($AS168),1,0)+IF(NOT($AW168),1,0)+IF(NOT($AZ168),1,0)+IF(NOT($BA168),1,0)+IF(NOT($BB168),1,0)+IF(NOT($BC168),1,0))</x:f>
      </x:c>
      <x:c r="BL168" s="13">
        <x:f>IF($C168="","",IF($BK168&gt;0,"REJECT",IF(COUNTIF($AS168:$BI168,FALSE)=0,"ACCEPT",IF($BJ168&gt;=85,"ACCEPT WITH SORTING / DISCOUNT","REJECT"))))</x:f>
      </x:c>
    </x:row>
    <x:row r="169" ht="24" customHeight="1">
      <x:c r="A169" s="10" t="n"/>
      <x:c r="B169" s="11" t="n"/>
      <x:c r="C169" s="11" t="n"/>
      <x:c r="D169" s="11" t="n"/>
      <x:c r="E169" s="11" t="n"/>
      <x:c r="F169" s="11" t="n"/>
      <x:c r="G169" s="11" t="n"/>
      <x:c r="H169" s="11" t="n"/>
      <x:c r="I169" s="12" t="n"/>
      <x:c r="J169" s="12" t="n"/>
      <x:c r="K169" s="12" t="n"/>
      <x:c r="L169" s="12" t="n"/>
      <x:c r="M169" s="12" t="n"/>
      <x:c r="N169" s="12" t="n"/>
      <x:c r="O169" s="12" t="n"/>
      <x:c r="P169" s="11" t="n"/>
      <x:c r="Q169" s="11" t="n"/>
      <x:c r="R169" s="11" t="n"/>
      <x:c r="S169" s="11" t="n"/>
      <x:c r="T169" s="11" t="n"/>
      <x:c r="U169" s="12" t="n"/>
      <x:c r="V169" s="12" t="n"/>
      <x:c r="W169" s="12" t="n"/>
      <x:c r="X169" s="12" t="n"/>
      <x:c r="Y169" s="12" t="n"/>
      <x:c r="Z169" s="13">
        <x:f>IF($C169="","",VLOOKUP($C169,Config!$A$2:$Y$4,2,FALSE))</x:f>
      </x:c>
      <x:c r="AA169" s="13">
        <x:f>IF($C169="","",VLOOKUP($C169,Config!$A$2:$Y$4,5,FALSE))</x:f>
      </x:c>
      <x:c r="AB169" s="14">
        <x:f>IF($C169="","",VLOOKUP($C169,Config!$A$2:$Y$4,7,FALSE))</x:f>
      </x:c>
      <x:c r="AC169" s="14">
        <x:f>IF($C169="","",VLOOKUP($C169,Config!$A$2:$Y$4,8,FALSE))</x:f>
      </x:c>
      <x:c r="AD169" s="14">
        <x:f>IF($C169="","",VLOOKUP($C169,Config!$A$2:$Y$4,9,FALSE))</x:f>
      </x:c>
      <x:c r="AE169" s="14">
        <x:f>IF($C169="","",VLOOKUP($C169,Config!$A$2:$Y$4,10,FALSE))</x:f>
      </x:c>
      <x:c r="AF169" s="14">
        <x:f>IF($C169="","",VLOOKUP($C169,Config!$A$2:$Y$4,11,FALSE))</x:f>
      </x:c>
      <x:c r="AG169" s="14">
        <x:f>IF($C169="","",VLOOKUP($C169,Config!$A$2:$Y$4,12,FALSE))</x:f>
      </x:c>
      <x:c r="AH169" s="14">
        <x:f>IF($C169="","",VLOOKUP($C169,Config!$A$2:$Y$4,13,FALSE))</x:f>
      </x:c>
      <x:c r="AI169" s="14">
        <x:f>IF($C169="","",VLOOKUP($C169,Config!$A$2:$Y$4,14,FALSE))</x:f>
      </x:c>
      <x:c r="AJ169" s="14">
        <x:f>IF($C169="","",VLOOKUP($C169,Config!$A$2:$Y$4,15,FALSE))</x:f>
      </x:c>
      <x:c r="AK169" s="14">
        <x:f>IF($C169="","",VLOOKUP($C169,Config!$A$2:$Y$4,16,FALSE))</x:f>
      </x:c>
      <x:c r="AL169" s="14">
        <x:f>IF($C169="","",VLOOKUP($C169,Config!$A$2:$Y$4,17,FALSE))</x:f>
      </x:c>
      <x:c r="AM169" s="14">
        <x:f>IF($C169="","",VLOOKUP($C169,Config!$A$2:$Y$4,18,FALSE))</x:f>
      </x:c>
      <x:c r="AN169" s="14">
        <x:f>IF($C169="","",VLOOKUP($C169,Config!$A$2:$Y$4,19,FALSE))</x:f>
      </x:c>
      <x:c r="AO169" s="14">
        <x:f>IF($C169="","",VLOOKUP($C169,Config!$A$2:$Y$4,20,FALSE))</x:f>
      </x:c>
      <x:c r="AP169" s="14">
        <x:f>IF($C169="","",VLOOKUP($C169,Config!$A$2:$Y$4,21,FALSE))</x:f>
      </x:c>
      <x:c r="AQ169" s="14">
        <x:f>IF($C169="","",VLOOKUP($C169,Config!$A$2:$Y$4,22,FALSE))</x:f>
      </x:c>
      <x:c r="AR169" s="14">
        <x:f>IF($C169="","",VLOOKUP($C169,Config!$A$2:$Y$4,23,FALSE))</x:f>
      </x:c>
      <x:c r="AS169" s="13">
        <x:f>IF($C169="","",IF($H169="Extra",3,IF($H169="I",2,IF($H169="II",1,0)))&gt;=IF($AA169="Extra",3,IF($AA169="I",2,IF($AA169="II",1,0))))</x:f>
      </x:c>
      <x:c r="AT169" s="13">
        <x:f>IF($C169="","",IF($I169="",FALSE,$I169&gt;=$AB169))</x:f>
      </x:c>
      <x:c r="AU169" s="13">
        <x:f>IF($C169="","",IF($AC169="",TRUE,IF($J169="",FALSE,$J169&lt;=$AC169)))</x:f>
      </x:c>
      <x:c r="AV169" s="13">
        <x:f>IF($C169="","",IF($AD169="",TRUE,IF($K169="",FALSE,$K169&lt;=$AD169)))</x:f>
      </x:c>
      <x:c r="AW169" s="13">
        <x:f>IF($C169="","",IF($AE169="",TRUE,IF($L169="",FALSE,$L169&lt;=$AE169)))</x:f>
      </x:c>
      <x:c r="AX169" s="13">
        <x:f>IF($C169="","",IF($AF169="",TRUE,IF($M169="",FALSE,$M169&lt;=$AF169)))</x:f>
      </x:c>
      <x:c r="AY169" s="13">
        <x:f>IF($C169="","",IF($AG169="",TRUE,IF($N169="",FALSE,$N169&gt;=$AG169)))</x:f>
      </x:c>
      <x:c r="AZ169" s="13">
        <x:f>IF($C169="","",IF(OR($AH169="",$AI169=""),TRUE,IF($O169="",FALSE,AND($O169&gt;=$AH169,$O169&lt;=$AI169))))</x:f>
      </x:c>
      <x:c r="BA169" s="13">
        <x:f>IF($C169="","",IF($AJ169="Y",$P169="Y",TRUE))</x:f>
      </x:c>
      <x:c r="BB169" s="13">
        <x:f>IF($C169="","",IF($AK169="Y",$Q169="Y",TRUE))</x:f>
      </x:c>
      <x:c r="BC169" s="13">
        <x:f>IF($C169="","",IF($AL169="Y",$R169="Y",TRUE))</x:f>
      </x:c>
      <x:c r="BD169" s="13">
        <x:f>IF($C169="","",IF($AM169="Y",$S169="Y",TRUE))</x:f>
      </x:c>
      <x:c r="BE169" s="13">
        <x:f>IF($C169="","",IF($AN169="Y",$T169="Y",TRUE))</x:f>
      </x:c>
      <x:c r="BF169" s="13">
        <x:f>IF($C169="","",IF($AO169="",TRUE,IF($U169="",FALSE,$U169&lt;=$AO169)))</x:f>
      </x:c>
      <x:c r="BG169" s="13">
        <x:f>IF($C169="","",IF($AP169="",TRUE,IF($V169="",FALSE,$V169&lt;=$AP169)))</x:f>
      </x:c>
      <x:c r="BH169" s="13">
        <x:f>IF($C169="","",IF($AQ169="",TRUE,IF($W169="",FALSE,$W169&lt;=$AQ169)))</x:f>
      </x:c>
      <x:c r="BI169" s="13">
        <x:f>IF($C169="","",IF($AR169="",TRUE,IF($X169="",FALSE,$X169&lt;=$AR169)))</x:f>
      </x:c>
      <x:c r="BJ169" s="15">
        <x:f>IF($C169="","",IF($Y169="",0,$Y169)+IF($AS169,10,0)+IF($AT169,8,0)+IF($AU169,5,0)+IF($AV169,8,0)+IF($AW169,15,0)+IF($AX169,4,0)+IF($AY169,5,0)+IF($AZ169,10,0)+IF($BA169,8,0)+IF($BB169,4,0)+IF($BC169,6,0)+IF($BD169,3,0)+IF($BE169,2,0)+IF($BF169,2,0)+IF($BG169,2,0)+IF($BH169,2,0)+IF($BI169,1,0))</x:f>
      </x:c>
      <x:c r="BK169" s="15">
        <x:f>IF($C169="","",IF(NOT($AS169),1,0)+IF(NOT($AW169),1,0)+IF(NOT($AZ169),1,0)+IF(NOT($BA169),1,0)+IF(NOT($BB169),1,0)+IF(NOT($BC169),1,0))</x:f>
      </x:c>
      <x:c r="BL169" s="13">
        <x:f>IF($C169="","",IF($BK169&gt;0,"REJECT",IF(COUNTIF($AS169:$BI169,FALSE)=0,"ACCEPT",IF($BJ169&gt;=85,"ACCEPT WITH SORTING / DISCOUNT","REJECT"))))</x:f>
      </x:c>
    </x:row>
    <x:row r="170" ht="24" customHeight="1">
      <x:c r="A170" s="10" t="n"/>
      <x:c r="B170" s="11" t="n"/>
      <x:c r="C170" s="11" t="n"/>
      <x:c r="D170" s="11" t="n"/>
      <x:c r="E170" s="11" t="n"/>
      <x:c r="F170" s="11" t="n"/>
      <x:c r="G170" s="11" t="n"/>
      <x:c r="H170" s="11" t="n"/>
      <x:c r="I170" s="12" t="n"/>
      <x:c r="J170" s="12" t="n"/>
      <x:c r="K170" s="12" t="n"/>
      <x:c r="L170" s="12" t="n"/>
      <x:c r="M170" s="12" t="n"/>
      <x:c r="N170" s="12" t="n"/>
      <x:c r="O170" s="12" t="n"/>
      <x:c r="P170" s="11" t="n"/>
      <x:c r="Q170" s="11" t="n"/>
      <x:c r="R170" s="11" t="n"/>
      <x:c r="S170" s="11" t="n"/>
      <x:c r="T170" s="11" t="n"/>
      <x:c r="U170" s="12" t="n"/>
      <x:c r="V170" s="12" t="n"/>
      <x:c r="W170" s="12" t="n"/>
      <x:c r="X170" s="12" t="n"/>
      <x:c r="Y170" s="12" t="n"/>
      <x:c r="Z170" s="13">
        <x:f>IF($C170="","",VLOOKUP($C170,Config!$A$2:$Y$4,2,FALSE))</x:f>
      </x:c>
      <x:c r="AA170" s="13">
        <x:f>IF($C170="","",VLOOKUP($C170,Config!$A$2:$Y$4,5,FALSE))</x:f>
      </x:c>
      <x:c r="AB170" s="14">
        <x:f>IF($C170="","",VLOOKUP($C170,Config!$A$2:$Y$4,7,FALSE))</x:f>
      </x:c>
      <x:c r="AC170" s="14">
        <x:f>IF($C170="","",VLOOKUP($C170,Config!$A$2:$Y$4,8,FALSE))</x:f>
      </x:c>
      <x:c r="AD170" s="14">
        <x:f>IF($C170="","",VLOOKUP($C170,Config!$A$2:$Y$4,9,FALSE))</x:f>
      </x:c>
      <x:c r="AE170" s="14">
        <x:f>IF($C170="","",VLOOKUP($C170,Config!$A$2:$Y$4,10,FALSE))</x:f>
      </x:c>
      <x:c r="AF170" s="14">
        <x:f>IF($C170="","",VLOOKUP($C170,Config!$A$2:$Y$4,11,FALSE))</x:f>
      </x:c>
      <x:c r="AG170" s="14">
        <x:f>IF($C170="","",VLOOKUP($C170,Config!$A$2:$Y$4,12,FALSE))</x:f>
      </x:c>
      <x:c r="AH170" s="14">
        <x:f>IF($C170="","",VLOOKUP($C170,Config!$A$2:$Y$4,13,FALSE))</x:f>
      </x:c>
      <x:c r="AI170" s="14">
        <x:f>IF($C170="","",VLOOKUP($C170,Config!$A$2:$Y$4,14,FALSE))</x:f>
      </x:c>
      <x:c r="AJ170" s="14">
        <x:f>IF($C170="","",VLOOKUP($C170,Config!$A$2:$Y$4,15,FALSE))</x:f>
      </x:c>
      <x:c r="AK170" s="14">
        <x:f>IF($C170="","",VLOOKUP($C170,Config!$A$2:$Y$4,16,FALSE))</x:f>
      </x:c>
      <x:c r="AL170" s="14">
        <x:f>IF($C170="","",VLOOKUP($C170,Config!$A$2:$Y$4,17,FALSE))</x:f>
      </x:c>
      <x:c r="AM170" s="14">
        <x:f>IF($C170="","",VLOOKUP($C170,Config!$A$2:$Y$4,18,FALSE))</x:f>
      </x:c>
      <x:c r="AN170" s="14">
        <x:f>IF($C170="","",VLOOKUP($C170,Config!$A$2:$Y$4,19,FALSE))</x:f>
      </x:c>
      <x:c r="AO170" s="14">
        <x:f>IF($C170="","",VLOOKUP($C170,Config!$A$2:$Y$4,20,FALSE))</x:f>
      </x:c>
      <x:c r="AP170" s="14">
        <x:f>IF($C170="","",VLOOKUP($C170,Config!$A$2:$Y$4,21,FALSE))</x:f>
      </x:c>
      <x:c r="AQ170" s="14">
        <x:f>IF($C170="","",VLOOKUP($C170,Config!$A$2:$Y$4,22,FALSE))</x:f>
      </x:c>
      <x:c r="AR170" s="14">
        <x:f>IF($C170="","",VLOOKUP($C170,Config!$A$2:$Y$4,23,FALSE))</x:f>
      </x:c>
      <x:c r="AS170" s="13">
        <x:f>IF($C170="","",IF($H170="Extra",3,IF($H170="I",2,IF($H170="II",1,0)))&gt;=IF($AA170="Extra",3,IF($AA170="I",2,IF($AA170="II",1,0))))</x:f>
      </x:c>
      <x:c r="AT170" s="13">
        <x:f>IF($C170="","",IF($I170="",FALSE,$I170&gt;=$AB170))</x:f>
      </x:c>
      <x:c r="AU170" s="13">
        <x:f>IF($C170="","",IF($AC170="",TRUE,IF($J170="",FALSE,$J170&lt;=$AC170)))</x:f>
      </x:c>
      <x:c r="AV170" s="13">
        <x:f>IF($C170="","",IF($AD170="",TRUE,IF($K170="",FALSE,$K170&lt;=$AD170)))</x:f>
      </x:c>
      <x:c r="AW170" s="13">
        <x:f>IF($C170="","",IF($AE170="",TRUE,IF($L170="",FALSE,$L170&lt;=$AE170)))</x:f>
      </x:c>
      <x:c r="AX170" s="13">
        <x:f>IF($C170="","",IF($AF170="",TRUE,IF($M170="",FALSE,$M170&lt;=$AF170)))</x:f>
      </x:c>
      <x:c r="AY170" s="13">
        <x:f>IF($C170="","",IF($AG170="",TRUE,IF($N170="",FALSE,$N170&gt;=$AG170)))</x:f>
      </x:c>
      <x:c r="AZ170" s="13">
        <x:f>IF($C170="","",IF(OR($AH170="",$AI170=""),TRUE,IF($O170="",FALSE,AND($O170&gt;=$AH170,$O170&lt;=$AI170))))</x:f>
      </x:c>
      <x:c r="BA170" s="13">
        <x:f>IF($C170="","",IF($AJ170="Y",$P170="Y",TRUE))</x:f>
      </x:c>
      <x:c r="BB170" s="13">
        <x:f>IF($C170="","",IF($AK170="Y",$Q170="Y",TRUE))</x:f>
      </x:c>
      <x:c r="BC170" s="13">
        <x:f>IF($C170="","",IF($AL170="Y",$R170="Y",TRUE))</x:f>
      </x:c>
      <x:c r="BD170" s="13">
        <x:f>IF($C170="","",IF($AM170="Y",$S170="Y",TRUE))</x:f>
      </x:c>
      <x:c r="BE170" s="13">
        <x:f>IF($C170="","",IF($AN170="Y",$T170="Y",TRUE))</x:f>
      </x:c>
      <x:c r="BF170" s="13">
        <x:f>IF($C170="","",IF($AO170="",TRUE,IF($U170="",FALSE,$U170&lt;=$AO170)))</x:f>
      </x:c>
      <x:c r="BG170" s="13">
        <x:f>IF($C170="","",IF($AP170="",TRUE,IF($V170="",FALSE,$V170&lt;=$AP170)))</x:f>
      </x:c>
      <x:c r="BH170" s="13">
        <x:f>IF($C170="","",IF($AQ170="",TRUE,IF($W170="",FALSE,$W170&lt;=$AQ170)))</x:f>
      </x:c>
      <x:c r="BI170" s="13">
        <x:f>IF($C170="","",IF($AR170="",TRUE,IF($X170="",FALSE,$X170&lt;=$AR170)))</x:f>
      </x:c>
      <x:c r="BJ170" s="15">
        <x:f>IF($C170="","",IF($Y170="",0,$Y170)+IF($AS170,10,0)+IF($AT170,8,0)+IF($AU170,5,0)+IF($AV170,8,0)+IF($AW170,15,0)+IF($AX170,4,0)+IF($AY170,5,0)+IF($AZ170,10,0)+IF($BA170,8,0)+IF($BB170,4,0)+IF($BC170,6,0)+IF($BD170,3,0)+IF($BE170,2,0)+IF($BF170,2,0)+IF($BG170,2,0)+IF($BH170,2,0)+IF($BI170,1,0))</x:f>
      </x:c>
      <x:c r="BK170" s="15">
        <x:f>IF($C170="","",IF(NOT($AS170),1,0)+IF(NOT($AW170),1,0)+IF(NOT($AZ170),1,0)+IF(NOT($BA170),1,0)+IF(NOT($BB170),1,0)+IF(NOT($BC170),1,0))</x:f>
      </x:c>
      <x:c r="BL170" s="13">
        <x:f>IF($C170="","",IF($BK170&gt;0,"REJECT",IF(COUNTIF($AS170:$BI170,FALSE)=0,"ACCEPT",IF($BJ170&gt;=85,"ACCEPT WITH SORTING / DISCOUNT","REJECT"))))</x:f>
      </x:c>
    </x:row>
    <x:row r="171" ht="24" customHeight="1">
      <x:c r="A171" s="10" t="n"/>
      <x:c r="B171" s="11" t="n"/>
      <x:c r="C171" s="11" t="n"/>
      <x:c r="D171" s="11" t="n"/>
      <x:c r="E171" s="11" t="n"/>
      <x:c r="F171" s="11" t="n"/>
      <x:c r="G171" s="11" t="n"/>
      <x:c r="H171" s="11" t="n"/>
      <x:c r="I171" s="12" t="n"/>
      <x:c r="J171" s="12" t="n"/>
      <x:c r="K171" s="12" t="n"/>
      <x:c r="L171" s="12" t="n"/>
      <x:c r="M171" s="12" t="n"/>
      <x:c r="N171" s="12" t="n"/>
      <x:c r="O171" s="12" t="n"/>
      <x:c r="P171" s="11" t="n"/>
      <x:c r="Q171" s="11" t="n"/>
      <x:c r="R171" s="11" t="n"/>
      <x:c r="S171" s="11" t="n"/>
      <x:c r="T171" s="11" t="n"/>
      <x:c r="U171" s="12" t="n"/>
      <x:c r="V171" s="12" t="n"/>
      <x:c r="W171" s="12" t="n"/>
      <x:c r="X171" s="12" t="n"/>
      <x:c r="Y171" s="12" t="n"/>
      <x:c r="Z171" s="13">
        <x:f>IF($C171="","",VLOOKUP($C171,Config!$A$2:$Y$4,2,FALSE))</x:f>
      </x:c>
      <x:c r="AA171" s="13">
        <x:f>IF($C171="","",VLOOKUP($C171,Config!$A$2:$Y$4,5,FALSE))</x:f>
      </x:c>
      <x:c r="AB171" s="14">
        <x:f>IF($C171="","",VLOOKUP($C171,Config!$A$2:$Y$4,7,FALSE))</x:f>
      </x:c>
      <x:c r="AC171" s="14">
        <x:f>IF($C171="","",VLOOKUP($C171,Config!$A$2:$Y$4,8,FALSE))</x:f>
      </x:c>
      <x:c r="AD171" s="14">
        <x:f>IF($C171="","",VLOOKUP($C171,Config!$A$2:$Y$4,9,FALSE))</x:f>
      </x:c>
      <x:c r="AE171" s="14">
        <x:f>IF($C171="","",VLOOKUP($C171,Config!$A$2:$Y$4,10,FALSE))</x:f>
      </x:c>
      <x:c r="AF171" s="14">
        <x:f>IF($C171="","",VLOOKUP($C171,Config!$A$2:$Y$4,11,FALSE))</x:f>
      </x:c>
      <x:c r="AG171" s="14">
        <x:f>IF($C171="","",VLOOKUP($C171,Config!$A$2:$Y$4,12,FALSE))</x:f>
      </x:c>
      <x:c r="AH171" s="14">
        <x:f>IF($C171="","",VLOOKUP($C171,Config!$A$2:$Y$4,13,FALSE))</x:f>
      </x:c>
      <x:c r="AI171" s="14">
        <x:f>IF($C171="","",VLOOKUP($C171,Config!$A$2:$Y$4,14,FALSE))</x:f>
      </x:c>
      <x:c r="AJ171" s="14">
        <x:f>IF($C171="","",VLOOKUP($C171,Config!$A$2:$Y$4,15,FALSE))</x:f>
      </x:c>
      <x:c r="AK171" s="14">
        <x:f>IF($C171="","",VLOOKUP($C171,Config!$A$2:$Y$4,16,FALSE))</x:f>
      </x:c>
      <x:c r="AL171" s="14">
        <x:f>IF($C171="","",VLOOKUP($C171,Config!$A$2:$Y$4,17,FALSE))</x:f>
      </x:c>
      <x:c r="AM171" s="14">
        <x:f>IF($C171="","",VLOOKUP($C171,Config!$A$2:$Y$4,18,FALSE))</x:f>
      </x:c>
      <x:c r="AN171" s="14">
        <x:f>IF($C171="","",VLOOKUP($C171,Config!$A$2:$Y$4,19,FALSE))</x:f>
      </x:c>
      <x:c r="AO171" s="14">
        <x:f>IF($C171="","",VLOOKUP($C171,Config!$A$2:$Y$4,20,FALSE))</x:f>
      </x:c>
      <x:c r="AP171" s="14">
        <x:f>IF($C171="","",VLOOKUP($C171,Config!$A$2:$Y$4,21,FALSE))</x:f>
      </x:c>
      <x:c r="AQ171" s="14">
        <x:f>IF($C171="","",VLOOKUP($C171,Config!$A$2:$Y$4,22,FALSE))</x:f>
      </x:c>
      <x:c r="AR171" s="14">
        <x:f>IF($C171="","",VLOOKUP($C171,Config!$A$2:$Y$4,23,FALSE))</x:f>
      </x:c>
      <x:c r="AS171" s="13">
        <x:f>IF($C171="","",IF($H171="Extra",3,IF($H171="I",2,IF($H171="II",1,0)))&gt;=IF($AA171="Extra",3,IF($AA171="I",2,IF($AA171="II",1,0))))</x:f>
      </x:c>
      <x:c r="AT171" s="13">
        <x:f>IF($C171="","",IF($I171="",FALSE,$I171&gt;=$AB171))</x:f>
      </x:c>
      <x:c r="AU171" s="13">
        <x:f>IF($C171="","",IF($AC171="",TRUE,IF($J171="",FALSE,$J171&lt;=$AC171)))</x:f>
      </x:c>
      <x:c r="AV171" s="13">
        <x:f>IF($C171="","",IF($AD171="",TRUE,IF($K171="",FALSE,$K171&lt;=$AD171)))</x:f>
      </x:c>
      <x:c r="AW171" s="13">
        <x:f>IF($C171="","",IF($AE171="",TRUE,IF($L171="",FALSE,$L171&lt;=$AE171)))</x:f>
      </x:c>
      <x:c r="AX171" s="13">
        <x:f>IF($C171="","",IF($AF171="",TRUE,IF($M171="",FALSE,$M171&lt;=$AF171)))</x:f>
      </x:c>
      <x:c r="AY171" s="13">
        <x:f>IF($C171="","",IF($AG171="",TRUE,IF($N171="",FALSE,$N171&gt;=$AG171)))</x:f>
      </x:c>
      <x:c r="AZ171" s="13">
        <x:f>IF($C171="","",IF(OR($AH171="",$AI171=""),TRUE,IF($O171="",FALSE,AND($O171&gt;=$AH171,$O171&lt;=$AI171))))</x:f>
      </x:c>
      <x:c r="BA171" s="13">
        <x:f>IF($C171="","",IF($AJ171="Y",$P171="Y",TRUE))</x:f>
      </x:c>
      <x:c r="BB171" s="13">
        <x:f>IF($C171="","",IF($AK171="Y",$Q171="Y",TRUE))</x:f>
      </x:c>
      <x:c r="BC171" s="13">
        <x:f>IF($C171="","",IF($AL171="Y",$R171="Y",TRUE))</x:f>
      </x:c>
      <x:c r="BD171" s="13">
        <x:f>IF($C171="","",IF($AM171="Y",$S171="Y",TRUE))</x:f>
      </x:c>
      <x:c r="BE171" s="13">
        <x:f>IF($C171="","",IF($AN171="Y",$T171="Y",TRUE))</x:f>
      </x:c>
      <x:c r="BF171" s="13">
        <x:f>IF($C171="","",IF($AO171="",TRUE,IF($U171="",FALSE,$U171&lt;=$AO171)))</x:f>
      </x:c>
      <x:c r="BG171" s="13">
        <x:f>IF($C171="","",IF($AP171="",TRUE,IF($V171="",FALSE,$V171&lt;=$AP171)))</x:f>
      </x:c>
      <x:c r="BH171" s="13">
        <x:f>IF($C171="","",IF($AQ171="",TRUE,IF($W171="",FALSE,$W171&lt;=$AQ171)))</x:f>
      </x:c>
      <x:c r="BI171" s="13">
        <x:f>IF($C171="","",IF($AR171="",TRUE,IF($X171="",FALSE,$X171&lt;=$AR171)))</x:f>
      </x:c>
      <x:c r="BJ171" s="15">
        <x:f>IF($C171="","",IF($Y171="",0,$Y171)+IF($AS171,10,0)+IF($AT171,8,0)+IF($AU171,5,0)+IF($AV171,8,0)+IF($AW171,15,0)+IF($AX171,4,0)+IF($AY171,5,0)+IF($AZ171,10,0)+IF($BA171,8,0)+IF($BB171,4,0)+IF($BC171,6,0)+IF($BD171,3,0)+IF($BE171,2,0)+IF($BF171,2,0)+IF($BG171,2,0)+IF($BH171,2,0)+IF($BI171,1,0))</x:f>
      </x:c>
      <x:c r="BK171" s="15">
        <x:f>IF($C171="","",IF(NOT($AS171),1,0)+IF(NOT($AW171),1,0)+IF(NOT($AZ171),1,0)+IF(NOT($BA171),1,0)+IF(NOT($BB171),1,0)+IF(NOT($BC171),1,0))</x:f>
      </x:c>
      <x:c r="BL171" s="13">
        <x:f>IF($C171="","",IF($BK171&gt;0,"REJECT",IF(COUNTIF($AS171:$BI171,FALSE)=0,"ACCEPT",IF($BJ171&gt;=85,"ACCEPT WITH SORTING / DISCOUNT","REJECT"))))</x:f>
      </x:c>
    </x:row>
    <x:row r="172" ht="24" customHeight="1">
      <x:c r="A172" s="10" t="n"/>
      <x:c r="B172" s="11" t="n"/>
      <x:c r="C172" s="11" t="n"/>
      <x:c r="D172" s="11" t="n"/>
      <x:c r="E172" s="11" t="n"/>
      <x:c r="F172" s="11" t="n"/>
      <x:c r="G172" s="11" t="n"/>
      <x:c r="H172" s="11" t="n"/>
      <x:c r="I172" s="12" t="n"/>
      <x:c r="J172" s="12" t="n"/>
      <x:c r="K172" s="12" t="n"/>
      <x:c r="L172" s="12" t="n"/>
      <x:c r="M172" s="12" t="n"/>
      <x:c r="N172" s="12" t="n"/>
      <x:c r="O172" s="12" t="n"/>
      <x:c r="P172" s="11" t="n"/>
      <x:c r="Q172" s="11" t="n"/>
      <x:c r="R172" s="11" t="n"/>
      <x:c r="S172" s="11" t="n"/>
      <x:c r="T172" s="11" t="n"/>
      <x:c r="U172" s="12" t="n"/>
      <x:c r="V172" s="12" t="n"/>
      <x:c r="W172" s="12" t="n"/>
      <x:c r="X172" s="12" t="n"/>
      <x:c r="Y172" s="12" t="n"/>
      <x:c r="Z172" s="13">
        <x:f>IF($C172="","",VLOOKUP($C172,Config!$A$2:$Y$4,2,FALSE))</x:f>
      </x:c>
      <x:c r="AA172" s="13">
        <x:f>IF($C172="","",VLOOKUP($C172,Config!$A$2:$Y$4,5,FALSE))</x:f>
      </x:c>
      <x:c r="AB172" s="14">
        <x:f>IF($C172="","",VLOOKUP($C172,Config!$A$2:$Y$4,7,FALSE))</x:f>
      </x:c>
      <x:c r="AC172" s="14">
        <x:f>IF($C172="","",VLOOKUP($C172,Config!$A$2:$Y$4,8,FALSE))</x:f>
      </x:c>
      <x:c r="AD172" s="14">
        <x:f>IF($C172="","",VLOOKUP($C172,Config!$A$2:$Y$4,9,FALSE))</x:f>
      </x:c>
      <x:c r="AE172" s="14">
        <x:f>IF($C172="","",VLOOKUP($C172,Config!$A$2:$Y$4,10,FALSE))</x:f>
      </x:c>
      <x:c r="AF172" s="14">
        <x:f>IF($C172="","",VLOOKUP($C172,Config!$A$2:$Y$4,11,FALSE))</x:f>
      </x:c>
      <x:c r="AG172" s="14">
        <x:f>IF($C172="","",VLOOKUP($C172,Config!$A$2:$Y$4,12,FALSE))</x:f>
      </x:c>
      <x:c r="AH172" s="14">
        <x:f>IF($C172="","",VLOOKUP($C172,Config!$A$2:$Y$4,13,FALSE))</x:f>
      </x:c>
      <x:c r="AI172" s="14">
        <x:f>IF($C172="","",VLOOKUP($C172,Config!$A$2:$Y$4,14,FALSE))</x:f>
      </x:c>
      <x:c r="AJ172" s="14">
        <x:f>IF($C172="","",VLOOKUP($C172,Config!$A$2:$Y$4,15,FALSE))</x:f>
      </x:c>
      <x:c r="AK172" s="14">
        <x:f>IF($C172="","",VLOOKUP($C172,Config!$A$2:$Y$4,16,FALSE))</x:f>
      </x:c>
      <x:c r="AL172" s="14">
        <x:f>IF($C172="","",VLOOKUP($C172,Config!$A$2:$Y$4,17,FALSE))</x:f>
      </x:c>
      <x:c r="AM172" s="14">
        <x:f>IF($C172="","",VLOOKUP($C172,Config!$A$2:$Y$4,18,FALSE))</x:f>
      </x:c>
      <x:c r="AN172" s="14">
        <x:f>IF($C172="","",VLOOKUP($C172,Config!$A$2:$Y$4,19,FALSE))</x:f>
      </x:c>
      <x:c r="AO172" s="14">
        <x:f>IF($C172="","",VLOOKUP($C172,Config!$A$2:$Y$4,20,FALSE))</x:f>
      </x:c>
      <x:c r="AP172" s="14">
        <x:f>IF($C172="","",VLOOKUP($C172,Config!$A$2:$Y$4,21,FALSE))</x:f>
      </x:c>
      <x:c r="AQ172" s="14">
        <x:f>IF($C172="","",VLOOKUP($C172,Config!$A$2:$Y$4,22,FALSE))</x:f>
      </x:c>
      <x:c r="AR172" s="14">
        <x:f>IF($C172="","",VLOOKUP($C172,Config!$A$2:$Y$4,23,FALSE))</x:f>
      </x:c>
      <x:c r="AS172" s="13">
        <x:f>IF($C172="","",IF($H172="Extra",3,IF($H172="I",2,IF($H172="II",1,0)))&gt;=IF($AA172="Extra",3,IF($AA172="I",2,IF($AA172="II",1,0))))</x:f>
      </x:c>
      <x:c r="AT172" s="13">
        <x:f>IF($C172="","",IF($I172="",FALSE,$I172&gt;=$AB172))</x:f>
      </x:c>
      <x:c r="AU172" s="13">
        <x:f>IF($C172="","",IF($AC172="",TRUE,IF($J172="",FALSE,$J172&lt;=$AC172)))</x:f>
      </x:c>
      <x:c r="AV172" s="13">
        <x:f>IF($C172="","",IF($AD172="",TRUE,IF($K172="",FALSE,$K172&lt;=$AD172)))</x:f>
      </x:c>
      <x:c r="AW172" s="13">
        <x:f>IF($C172="","",IF($AE172="",TRUE,IF($L172="",FALSE,$L172&lt;=$AE172)))</x:f>
      </x:c>
      <x:c r="AX172" s="13">
        <x:f>IF($C172="","",IF($AF172="",TRUE,IF($M172="",FALSE,$M172&lt;=$AF172)))</x:f>
      </x:c>
      <x:c r="AY172" s="13">
        <x:f>IF($C172="","",IF($AG172="",TRUE,IF($N172="",FALSE,$N172&gt;=$AG172)))</x:f>
      </x:c>
      <x:c r="AZ172" s="13">
        <x:f>IF($C172="","",IF(OR($AH172="",$AI172=""),TRUE,IF($O172="",FALSE,AND($O172&gt;=$AH172,$O172&lt;=$AI172))))</x:f>
      </x:c>
      <x:c r="BA172" s="13">
        <x:f>IF($C172="","",IF($AJ172="Y",$P172="Y",TRUE))</x:f>
      </x:c>
      <x:c r="BB172" s="13">
        <x:f>IF($C172="","",IF($AK172="Y",$Q172="Y",TRUE))</x:f>
      </x:c>
      <x:c r="BC172" s="13">
        <x:f>IF($C172="","",IF($AL172="Y",$R172="Y",TRUE))</x:f>
      </x:c>
      <x:c r="BD172" s="13">
        <x:f>IF($C172="","",IF($AM172="Y",$S172="Y",TRUE))</x:f>
      </x:c>
      <x:c r="BE172" s="13">
        <x:f>IF($C172="","",IF($AN172="Y",$T172="Y",TRUE))</x:f>
      </x:c>
      <x:c r="BF172" s="13">
        <x:f>IF($C172="","",IF($AO172="",TRUE,IF($U172="",FALSE,$U172&lt;=$AO172)))</x:f>
      </x:c>
      <x:c r="BG172" s="13">
        <x:f>IF($C172="","",IF($AP172="",TRUE,IF($V172="",FALSE,$V172&lt;=$AP172)))</x:f>
      </x:c>
      <x:c r="BH172" s="13">
        <x:f>IF($C172="","",IF($AQ172="",TRUE,IF($W172="",FALSE,$W172&lt;=$AQ172)))</x:f>
      </x:c>
      <x:c r="BI172" s="13">
        <x:f>IF($C172="","",IF($AR172="",TRUE,IF($X172="",FALSE,$X172&lt;=$AR172)))</x:f>
      </x:c>
      <x:c r="BJ172" s="15">
        <x:f>IF($C172="","",IF($Y172="",0,$Y172)+IF($AS172,10,0)+IF($AT172,8,0)+IF($AU172,5,0)+IF($AV172,8,0)+IF($AW172,15,0)+IF($AX172,4,0)+IF($AY172,5,0)+IF($AZ172,10,0)+IF($BA172,8,0)+IF($BB172,4,0)+IF($BC172,6,0)+IF($BD172,3,0)+IF($BE172,2,0)+IF($BF172,2,0)+IF($BG172,2,0)+IF($BH172,2,0)+IF($BI172,1,0))</x:f>
      </x:c>
      <x:c r="BK172" s="15">
        <x:f>IF($C172="","",IF(NOT($AS172),1,0)+IF(NOT($AW172),1,0)+IF(NOT($AZ172),1,0)+IF(NOT($BA172),1,0)+IF(NOT($BB172),1,0)+IF(NOT($BC172),1,0))</x:f>
      </x:c>
      <x:c r="BL172" s="13">
        <x:f>IF($C172="","",IF($BK172&gt;0,"REJECT",IF(COUNTIF($AS172:$BI172,FALSE)=0,"ACCEPT",IF($BJ172&gt;=85,"ACCEPT WITH SORTING / DISCOUNT","REJECT"))))</x:f>
      </x:c>
    </x:row>
    <x:row r="173" ht="24" customHeight="1">
      <x:c r="A173" s="10" t="n"/>
      <x:c r="B173" s="11" t="n"/>
      <x:c r="C173" s="11" t="n"/>
      <x:c r="D173" s="11" t="n"/>
      <x:c r="E173" s="11" t="n"/>
      <x:c r="F173" s="11" t="n"/>
      <x:c r="G173" s="11" t="n"/>
      <x:c r="H173" s="11" t="n"/>
      <x:c r="I173" s="12" t="n"/>
      <x:c r="J173" s="12" t="n"/>
      <x:c r="K173" s="12" t="n"/>
      <x:c r="L173" s="12" t="n"/>
      <x:c r="M173" s="12" t="n"/>
      <x:c r="N173" s="12" t="n"/>
      <x:c r="O173" s="12" t="n"/>
      <x:c r="P173" s="11" t="n"/>
      <x:c r="Q173" s="11" t="n"/>
      <x:c r="R173" s="11" t="n"/>
      <x:c r="S173" s="11" t="n"/>
      <x:c r="T173" s="11" t="n"/>
      <x:c r="U173" s="12" t="n"/>
      <x:c r="V173" s="12" t="n"/>
      <x:c r="W173" s="12" t="n"/>
      <x:c r="X173" s="12" t="n"/>
      <x:c r="Y173" s="12" t="n"/>
      <x:c r="Z173" s="13">
        <x:f>IF($C173="","",VLOOKUP($C173,Config!$A$2:$Y$4,2,FALSE))</x:f>
      </x:c>
      <x:c r="AA173" s="13">
        <x:f>IF($C173="","",VLOOKUP($C173,Config!$A$2:$Y$4,5,FALSE))</x:f>
      </x:c>
      <x:c r="AB173" s="14">
        <x:f>IF($C173="","",VLOOKUP($C173,Config!$A$2:$Y$4,7,FALSE))</x:f>
      </x:c>
      <x:c r="AC173" s="14">
        <x:f>IF($C173="","",VLOOKUP($C173,Config!$A$2:$Y$4,8,FALSE))</x:f>
      </x:c>
      <x:c r="AD173" s="14">
        <x:f>IF($C173="","",VLOOKUP($C173,Config!$A$2:$Y$4,9,FALSE))</x:f>
      </x:c>
      <x:c r="AE173" s="14">
        <x:f>IF($C173="","",VLOOKUP($C173,Config!$A$2:$Y$4,10,FALSE))</x:f>
      </x:c>
      <x:c r="AF173" s="14">
        <x:f>IF($C173="","",VLOOKUP($C173,Config!$A$2:$Y$4,11,FALSE))</x:f>
      </x:c>
      <x:c r="AG173" s="14">
        <x:f>IF($C173="","",VLOOKUP($C173,Config!$A$2:$Y$4,12,FALSE))</x:f>
      </x:c>
      <x:c r="AH173" s="14">
        <x:f>IF($C173="","",VLOOKUP($C173,Config!$A$2:$Y$4,13,FALSE))</x:f>
      </x:c>
      <x:c r="AI173" s="14">
        <x:f>IF($C173="","",VLOOKUP($C173,Config!$A$2:$Y$4,14,FALSE))</x:f>
      </x:c>
      <x:c r="AJ173" s="14">
        <x:f>IF($C173="","",VLOOKUP($C173,Config!$A$2:$Y$4,15,FALSE))</x:f>
      </x:c>
      <x:c r="AK173" s="14">
        <x:f>IF($C173="","",VLOOKUP($C173,Config!$A$2:$Y$4,16,FALSE))</x:f>
      </x:c>
      <x:c r="AL173" s="14">
        <x:f>IF($C173="","",VLOOKUP($C173,Config!$A$2:$Y$4,17,FALSE))</x:f>
      </x:c>
      <x:c r="AM173" s="14">
        <x:f>IF($C173="","",VLOOKUP($C173,Config!$A$2:$Y$4,18,FALSE))</x:f>
      </x:c>
      <x:c r="AN173" s="14">
        <x:f>IF($C173="","",VLOOKUP($C173,Config!$A$2:$Y$4,19,FALSE))</x:f>
      </x:c>
      <x:c r="AO173" s="14">
        <x:f>IF($C173="","",VLOOKUP($C173,Config!$A$2:$Y$4,20,FALSE))</x:f>
      </x:c>
      <x:c r="AP173" s="14">
        <x:f>IF($C173="","",VLOOKUP($C173,Config!$A$2:$Y$4,21,FALSE))</x:f>
      </x:c>
      <x:c r="AQ173" s="14">
        <x:f>IF($C173="","",VLOOKUP($C173,Config!$A$2:$Y$4,22,FALSE))</x:f>
      </x:c>
      <x:c r="AR173" s="14">
        <x:f>IF($C173="","",VLOOKUP($C173,Config!$A$2:$Y$4,23,FALSE))</x:f>
      </x:c>
      <x:c r="AS173" s="13">
        <x:f>IF($C173="","",IF($H173="Extra",3,IF($H173="I",2,IF($H173="II",1,0)))&gt;=IF($AA173="Extra",3,IF($AA173="I",2,IF($AA173="II",1,0))))</x:f>
      </x:c>
      <x:c r="AT173" s="13">
        <x:f>IF($C173="","",IF($I173="",FALSE,$I173&gt;=$AB173))</x:f>
      </x:c>
      <x:c r="AU173" s="13">
        <x:f>IF($C173="","",IF($AC173="",TRUE,IF($J173="",FALSE,$J173&lt;=$AC173)))</x:f>
      </x:c>
      <x:c r="AV173" s="13">
        <x:f>IF($C173="","",IF($AD173="",TRUE,IF($K173="",FALSE,$K173&lt;=$AD173)))</x:f>
      </x:c>
      <x:c r="AW173" s="13">
        <x:f>IF($C173="","",IF($AE173="",TRUE,IF($L173="",FALSE,$L173&lt;=$AE173)))</x:f>
      </x:c>
      <x:c r="AX173" s="13">
        <x:f>IF($C173="","",IF($AF173="",TRUE,IF($M173="",FALSE,$M173&lt;=$AF173)))</x:f>
      </x:c>
      <x:c r="AY173" s="13">
        <x:f>IF($C173="","",IF($AG173="",TRUE,IF($N173="",FALSE,$N173&gt;=$AG173)))</x:f>
      </x:c>
      <x:c r="AZ173" s="13">
        <x:f>IF($C173="","",IF(OR($AH173="",$AI173=""),TRUE,IF($O173="",FALSE,AND($O173&gt;=$AH173,$O173&lt;=$AI173))))</x:f>
      </x:c>
      <x:c r="BA173" s="13">
        <x:f>IF($C173="","",IF($AJ173="Y",$P173="Y",TRUE))</x:f>
      </x:c>
      <x:c r="BB173" s="13">
        <x:f>IF($C173="","",IF($AK173="Y",$Q173="Y",TRUE))</x:f>
      </x:c>
      <x:c r="BC173" s="13">
        <x:f>IF($C173="","",IF($AL173="Y",$R173="Y",TRUE))</x:f>
      </x:c>
      <x:c r="BD173" s="13">
        <x:f>IF($C173="","",IF($AM173="Y",$S173="Y",TRUE))</x:f>
      </x:c>
      <x:c r="BE173" s="13">
        <x:f>IF($C173="","",IF($AN173="Y",$T173="Y",TRUE))</x:f>
      </x:c>
      <x:c r="BF173" s="13">
        <x:f>IF($C173="","",IF($AO173="",TRUE,IF($U173="",FALSE,$U173&lt;=$AO173)))</x:f>
      </x:c>
      <x:c r="BG173" s="13">
        <x:f>IF($C173="","",IF($AP173="",TRUE,IF($V173="",FALSE,$V173&lt;=$AP173)))</x:f>
      </x:c>
      <x:c r="BH173" s="13">
        <x:f>IF($C173="","",IF($AQ173="",TRUE,IF($W173="",FALSE,$W173&lt;=$AQ173)))</x:f>
      </x:c>
      <x:c r="BI173" s="13">
        <x:f>IF($C173="","",IF($AR173="",TRUE,IF($X173="",FALSE,$X173&lt;=$AR173)))</x:f>
      </x:c>
      <x:c r="BJ173" s="15">
        <x:f>IF($C173="","",IF($Y173="",0,$Y173)+IF($AS173,10,0)+IF($AT173,8,0)+IF($AU173,5,0)+IF($AV173,8,0)+IF($AW173,15,0)+IF($AX173,4,0)+IF($AY173,5,0)+IF($AZ173,10,0)+IF($BA173,8,0)+IF($BB173,4,0)+IF($BC173,6,0)+IF($BD173,3,0)+IF($BE173,2,0)+IF($BF173,2,0)+IF($BG173,2,0)+IF($BH173,2,0)+IF($BI173,1,0))</x:f>
      </x:c>
      <x:c r="BK173" s="15">
        <x:f>IF($C173="","",IF(NOT($AS173),1,0)+IF(NOT($AW173),1,0)+IF(NOT($AZ173),1,0)+IF(NOT($BA173),1,0)+IF(NOT($BB173),1,0)+IF(NOT($BC173),1,0))</x:f>
      </x:c>
      <x:c r="BL173" s="13">
        <x:f>IF($C173="","",IF($BK173&gt;0,"REJECT",IF(COUNTIF($AS173:$BI173,FALSE)=0,"ACCEPT",IF($BJ173&gt;=85,"ACCEPT WITH SORTING / DISCOUNT","REJECT"))))</x:f>
      </x:c>
    </x:row>
    <x:row r="174" ht="24" customHeight="1">
      <x:c r="A174" s="10" t="n"/>
      <x:c r="B174" s="11" t="n"/>
      <x:c r="C174" s="11" t="n"/>
      <x:c r="D174" s="11" t="n"/>
      <x:c r="E174" s="11" t="n"/>
      <x:c r="F174" s="11" t="n"/>
      <x:c r="G174" s="11" t="n"/>
      <x:c r="H174" s="11" t="n"/>
      <x:c r="I174" s="12" t="n"/>
      <x:c r="J174" s="12" t="n"/>
      <x:c r="K174" s="12" t="n"/>
      <x:c r="L174" s="12" t="n"/>
      <x:c r="M174" s="12" t="n"/>
      <x:c r="N174" s="12" t="n"/>
      <x:c r="O174" s="12" t="n"/>
      <x:c r="P174" s="11" t="n"/>
      <x:c r="Q174" s="11" t="n"/>
      <x:c r="R174" s="11" t="n"/>
      <x:c r="S174" s="11" t="n"/>
      <x:c r="T174" s="11" t="n"/>
      <x:c r="U174" s="12" t="n"/>
      <x:c r="V174" s="12" t="n"/>
      <x:c r="W174" s="12" t="n"/>
      <x:c r="X174" s="12" t="n"/>
      <x:c r="Y174" s="12" t="n"/>
      <x:c r="Z174" s="13">
        <x:f>IF($C174="","",VLOOKUP($C174,Config!$A$2:$Y$4,2,FALSE))</x:f>
      </x:c>
      <x:c r="AA174" s="13">
        <x:f>IF($C174="","",VLOOKUP($C174,Config!$A$2:$Y$4,5,FALSE))</x:f>
      </x:c>
      <x:c r="AB174" s="14">
        <x:f>IF($C174="","",VLOOKUP($C174,Config!$A$2:$Y$4,7,FALSE))</x:f>
      </x:c>
      <x:c r="AC174" s="14">
        <x:f>IF($C174="","",VLOOKUP($C174,Config!$A$2:$Y$4,8,FALSE))</x:f>
      </x:c>
      <x:c r="AD174" s="14">
        <x:f>IF($C174="","",VLOOKUP($C174,Config!$A$2:$Y$4,9,FALSE))</x:f>
      </x:c>
      <x:c r="AE174" s="14">
        <x:f>IF($C174="","",VLOOKUP($C174,Config!$A$2:$Y$4,10,FALSE))</x:f>
      </x:c>
      <x:c r="AF174" s="14">
        <x:f>IF($C174="","",VLOOKUP($C174,Config!$A$2:$Y$4,11,FALSE))</x:f>
      </x:c>
      <x:c r="AG174" s="14">
        <x:f>IF($C174="","",VLOOKUP($C174,Config!$A$2:$Y$4,12,FALSE))</x:f>
      </x:c>
      <x:c r="AH174" s="14">
        <x:f>IF($C174="","",VLOOKUP($C174,Config!$A$2:$Y$4,13,FALSE))</x:f>
      </x:c>
      <x:c r="AI174" s="14">
        <x:f>IF($C174="","",VLOOKUP($C174,Config!$A$2:$Y$4,14,FALSE))</x:f>
      </x:c>
      <x:c r="AJ174" s="14">
        <x:f>IF($C174="","",VLOOKUP($C174,Config!$A$2:$Y$4,15,FALSE))</x:f>
      </x:c>
      <x:c r="AK174" s="14">
        <x:f>IF($C174="","",VLOOKUP($C174,Config!$A$2:$Y$4,16,FALSE))</x:f>
      </x:c>
      <x:c r="AL174" s="14">
        <x:f>IF($C174="","",VLOOKUP($C174,Config!$A$2:$Y$4,17,FALSE))</x:f>
      </x:c>
      <x:c r="AM174" s="14">
        <x:f>IF($C174="","",VLOOKUP($C174,Config!$A$2:$Y$4,18,FALSE))</x:f>
      </x:c>
      <x:c r="AN174" s="14">
        <x:f>IF($C174="","",VLOOKUP($C174,Config!$A$2:$Y$4,19,FALSE))</x:f>
      </x:c>
      <x:c r="AO174" s="14">
        <x:f>IF($C174="","",VLOOKUP($C174,Config!$A$2:$Y$4,20,FALSE))</x:f>
      </x:c>
      <x:c r="AP174" s="14">
        <x:f>IF($C174="","",VLOOKUP($C174,Config!$A$2:$Y$4,21,FALSE))</x:f>
      </x:c>
      <x:c r="AQ174" s="14">
        <x:f>IF($C174="","",VLOOKUP($C174,Config!$A$2:$Y$4,22,FALSE))</x:f>
      </x:c>
      <x:c r="AR174" s="14">
        <x:f>IF($C174="","",VLOOKUP($C174,Config!$A$2:$Y$4,23,FALSE))</x:f>
      </x:c>
      <x:c r="AS174" s="13">
        <x:f>IF($C174="","",IF($H174="Extra",3,IF($H174="I",2,IF($H174="II",1,0)))&gt;=IF($AA174="Extra",3,IF($AA174="I",2,IF($AA174="II",1,0))))</x:f>
      </x:c>
      <x:c r="AT174" s="13">
        <x:f>IF($C174="","",IF($I174="",FALSE,$I174&gt;=$AB174))</x:f>
      </x:c>
      <x:c r="AU174" s="13">
        <x:f>IF($C174="","",IF($AC174="",TRUE,IF($J174="",FALSE,$J174&lt;=$AC174)))</x:f>
      </x:c>
      <x:c r="AV174" s="13">
        <x:f>IF($C174="","",IF($AD174="",TRUE,IF($K174="",FALSE,$K174&lt;=$AD174)))</x:f>
      </x:c>
      <x:c r="AW174" s="13">
        <x:f>IF($C174="","",IF($AE174="",TRUE,IF($L174="",FALSE,$L174&lt;=$AE174)))</x:f>
      </x:c>
      <x:c r="AX174" s="13">
        <x:f>IF($C174="","",IF($AF174="",TRUE,IF($M174="",FALSE,$M174&lt;=$AF174)))</x:f>
      </x:c>
      <x:c r="AY174" s="13">
        <x:f>IF($C174="","",IF($AG174="",TRUE,IF($N174="",FALSE,$N174&gt;=$AG174)))</x:f>
      </x:c>
      <x:c r="AZ174" s="13">
        <x:f>IF($C174="","",IF(OR($AH174="",$AI174=""),TRUE,IF($O174="",FALSE,AND($O174&gt;=$AH174,$O174&lt;=$AI174))))</x:f>
      </x:c>
      <x:c r="BA174" s="13">
        <x:f>IF($C174="","",IF($AJ174="Y",$P174="Y",TRUE))</x:f>
      </x:c>
      <x:c r="BB174" s="13">
        <x:f>IF($C174="","",IF($AK174="Y",$Q174="Y",TRUE))</x:f>
      </x:c>
      <x:c r="BC174" s="13">
        <x:f>IF($C174="","",IF($AL174="Y",$R174="Y",TRUE))</x:f>
      </x:c>
      <x:c r="BD174" s="13">
        <x:f>IF($C174="","",IF($AM174="Y",$S174="Y",TRUE))</x:f>
      </x:c>
      <x:c r="BE174" s="13">
        <x:f>IF($C174="","",IF($AN174="Y",$T174="Y",TRUE))</x:f>
      </x:c>
      <x:c r="BF174" s="13">
        <x:f>IF($C174="","",IF($AO174="",TRUE,IF($U174="",FALSE,$U174&lt;=$AO174)))</x:f>
      </x:c>
      <x:c r="BG174" s="13">
        <x:f>IF($C174="","",IF($AP174="",TRUE,IF($V174="",FALSE,$V174&lt;=$AP174)))</x:f>
      </x:c>
      <x:c r="BH174" s="13">
        <x:f>IF($C174="","",IF($AQ174="",TRUE,IF($W174="",FALSE,$W174&lt;=$AQ174)))</x:f>
      </x:c>
      <x:c r="BI174" s="13">
        <x:f>IF($C174="","",IF($AR174="",TRUE,IF($X174="",FALSE,$X174&lt;=$AR174)))</x:f>
      </x:c>
      <x:c r="BJ174" s="15">
        <x:f>IF($C174="","",IF($Y174="",0,$Y174)+IF($AS174,10,0)+IF($AT174,8,0)+IF($AU174,5,0)+IF($AV174,8,0)+IF($AW174,15,0)+IF($AX174,4,0)+IF($AY174,5,0)+IF($AZ174,10,0)+IF($BA174,8,0)+IF($BB174,4,0)+IF($BC174,6,0)+IF($BD174,3,0)+IF($BE174,2,0)+IF($BF174,2,0)+IF($BG174,2,0)+IF($BH174,2,0)+IF($BI174,1,0))</x:f>
      </x:c>
      <x:c r="BK174" s="15">
        <x:f>IF($C174="","",IF(NOT($AS174),1,0)+IF(NOT($AW174),1,0)+IF(NOT($AZ174),1,0)+IF(NOT($BA174),1,0)+IF(NOT($BB174),1,0)+IF(NOT($BC174),1,0))</x:f>
      </x:c>
      <x:c r="BL174" s="13">
        <x:f>IF($C174="","",IF($BK174&gt;0,"REJECT",IF(COUNTIF($AS174:$BI174,FALSE)=0,"ACCEPT",IF($BJ174&gt;=85,"ACCEPT WITH SORTING / DISCOUNT","REJECT"))))</x:f>
      </x:c>
    </x:row>
    <x:row r="175" ht="24" customHeight="1">
      <x:c r="A175" s="10" t="n"/>
      <x:c r="B175" s="11" t="n"/>
      <x:c r="C175" s="11" t="n"/>
      <x:c r="D175" s="11" t="n"/>
      <x:c r="E175" s="11" t="n"/>
      <x:c r="F175" s="11" t="n"/>
      <x:c r="G175" s="11" t="n"/>
      <x:c r="H175" s="11" t="n"/>
      <x:c r="I175" s="12" t="n"/>
      <x:c r="J175" s="12" t="n"/>
      <x:c r="K175" s="12" t="n"/>
      <x:c r="L175" s="12" t="n"/>
      <x:c r="M175" s="12" t="n"/>
      <x:c r="N175" s="12" t="n"/>
      <x:c r="O175" s="12" t="n"/>
      <x:c r="P175" s="11" t="n"/>
      <x:c r="Q175" s="11" t="n"/>
      <x:c r="R175" s="11" t="n"/>
      <x:c r="S175" s="11" t="n"/>
      <x:c r="T175" s="11" t="n"/>
      <x:c r="U175" s="12" t="n"/>
      <x:c r="V175" s="12" t="n"/>
      <x:c r="W175" s="12" t="n"/>
      <x:c r="X175" s="12" t="n"/>
      <x:c r="Y175" s="12" t="n"/>
      <x:c r="Z175" s="13">
        <x:f>IF($C175="","",VLOOKUP($C175,Config!$A$2:$Y$4,2,FALSE))</x:f>
      </x:c>
      <x:c r="AA175" s="13">
        <x:f>IF($C175="","",VLOOKUP($C175,Config!$A$2:$Y$4,5,FALSE))</x:f>
      </x:c>
      <x:c r="AB175" s="14">
        <x:f>IF($C175="","",VLOOKUP($C175,Config!$A$2:$Y$4,7,FALSE))</x:f>
      </x:c>
      <x:c r="AC175" s="14">
        <x:f>IF($C175="","",VLOOKUP($C175,Config!$A$2:$Y$4,8,FALSE))</x:f>
      </x:c>
      <x:c r="AD175" s="14">
        <x:f>IF($C175="","",VLOOKUP($C175,Config!$A$2:$Y$4,9,FALSE))</x:f>
      </x:c>
      <x:c r="AE175" s="14">
        <x:f>IF($C175="","",VLOOKUP($C175,Config!$A$2:$Y$4,10,FALSE))</x:f>
      </x:c>
      <x:c r="AF175" s="14">
        <x:f>IF($C175="","",VLOOKUP($C175,Config!$A$2:$Y$4,11,FALSE))</x:f>
      </x:c>
      <x:c r="AG175" s="14">
        <x:f>IF($C175="","",VLOOKUP($C175,Config!$A$2:$Y$4,12,FALSE))</x:f>
      </x:c>
      <x:c r="AH175" s="14">
        <x:f>IF($C175="","",VLOOKUP($C175,Config!$A$2:$Y$4,13,FALSE))</x:f>
      </x:c>
      <x:c r="AI175" s="14">
        <x:f>IF($C175="","",VLOOKUP($C175,Config!$A$2:$Y$4,14,FALSE))</x:f>
      </x:c>
      <x:c r="AJ175" s="14">
        <x:f>IF($C175="","",VLOOKUP($C175,Config!$A$2:$Y$4,15,FALSE))</x:f>
      </x:c>
      <x:c r="AK175" s="14">
        <x:f>IF($C175="","",VLOOKUP($C175,Config!$A$2:$Y$4,16,FALSE))</x:f>
      </x:c>
      <x:c r="AL175" s="14">
        <x:f>IF($C175="","",VLOOKUP($C175,Config!$A$2:$Y$4,17,FALSE))</x:f>
      </x:c>
      <x:c r="AM175" s="14">
        <x:f>IF($C175="","",VLOOKUP($C175,Config!$A$2:$Y$4,18,FALSE))</x:f>
      </x:c>
      <x:c r="AN175" s="14">
        <x:f>IF($C175="","",VLOOKUP($C175,Config!$A$2:$Y$4,19,FALSE))</x:f>
      </x:c>
      <x:c r="AO175" s="14">
        <x:f>IF($C175="","",VLOOKUP($C175,Config!$A$2:$Y$4,20,FALSE))</x:f>
      </x:c>
      <x:c r="AP175" s="14">
        <x:f>IF($C175="","",VLOOKUP($C175,Config!$A$2:$Y$4,21,FALSE))</x:f>
      </x:c>
      <x:c r="AQ175" s="14">
        <x:f>IF($C175="","",VLOOKUP($C175,Config!$A$2:$Y$4,22,FALSE))</x:f>
      </x:c>
      <x:c r="AR175" s="14">
        <x:f>IF($C175="","",VLOOKUP($C175,Config!$A$2:$Y$4,23,FALSE))</x:f>
      </x:c>
      <x:c r="AS175" s="13">
        <x:f>IF($C175="","",IF($H175="Extra",3,IF($H175="I",2,IF($H175="II",1,0)))&gt;=IF($AA175="Extra",3,IF($AA175="I",2,IF($AA175="II",1,0))))</x:f>
      </x:c>
      <x:c r="AT175" s="13">
        <x:f>IF($C175="","",IF($I175="",FALSE,$I175&gt;=$AB175))</x:f>
      </x:c>
      <x:c r="AU175" s="13">
        <x:f>IF($C175="","",IF($AC175="",TRUE,IF($J175="",FALSE,$J175&lt;=$AC175)))</x:f>
      </x:c>
      <x:c r="AV175" s="13">
        <x:f>IF($C175="","",IF($AD175="",TRUE,IF($K175="",FALSE,$K175&lt;=$AD175)))</x:f>
      </x:c>
      <x:c r="AW175" s="13">
        <x:f>IF($C175="","",IF($AE175="",TRUE,IF($L175="",FALSE,$L175&lt;=$AE175)))</x:f>
      </x:c>
      <x:c r="AX175" s="13">
        <x:f>IF($C175="","",IF($AF175="",TRUE,IF($M175="",FALSE,$M175&lt;=$AF175)))</x:f>
      </x:c>
      <x:c r="AY175" s="13">
        <x:f>IF($C175="","",IF($AG175="",TRUE,IF($N175="",FALSE,$N175&gt;=$AG175)))</x:f>
      </x:c>
      <x:c r="AZ175" s="13">
        <x:f>IF($C175="","",IF(OR($AH175="",$AI175=""),TRUE,IF($O175="",FALSE,AND($O175&gt;=$AH175,$O175&lt;=$AI175))))</x:f>
      </x:c>
      <x:c r="BA175" s="13">
        <x:f>IF($C175="","",IF($AJ175="Y",$P175="Y",TRUE))</x:f>
      </x:c>
      <x:c r="BB175" s="13">
        <x:f>IF($C175="","",IF($AK175="Y",$Q175="Y",TRUE))</x:f>
      </x:c>
      <x:c r="BC175" s="13">
        <x:f>IF($C175="","",IF($AL175="Y",$R175="Y",TRUE))</x:f>
      </x:c>
      <x:c r="BD175" s="13">
        <x:f>IF($C175="","",IF($AM175="Y",$S175="Y",TRUE))</x:f>
      </x:c>
      <x:c r="BE175" s="13">
        <x:f>IF($C175="","",IF($AN175="Y",$T175="Y",TRUE))</x:f>
      </x:c>
      <x:c r="BF175" s="13">
        <x:f>IF($C175="","",IF($AO175="",TRUE,IF($U175="",FALSE,$U175&lt;=$AO175)))</x:f>
      </x:c>
      <x:c r="BG175" s="13">
        <x:f>IF($C175="","",IF($AP175="",TRUE,IF($V175="",FALSE,$V175&lt;=$AP175)))</x:f>
      </x:c>
      <x:c r="BH175" s="13">
        <x:f>IF($C175="","",IF($AQ175="",TRUE,IF($W175="",FALSE,$W175&lt;=$AQ175)))</x:f>
      </x:c>
      <x:c r="BI175" s="13">
        <x:f>IF($C175="","",IF($AR175="",TRUE,IF($X175="",FALSE,$X175&lt;=$AR175)))</x:f>
      </x:c>
      <x:c r="BJ175" s="15">
        <x:f>IF($C175="","",IF($Y175="",0,$Y175)+IF($AS175,10,0)+IF($AT175,8,0)+IF($AU175,5,0)+IF($AV175,8,0)+IF($AW175,15,0)+IF($AX175,4,0)+IF($AY175,5,0)+IF($AZ175,10,0)+IF($BA175,8,0)+IF($BB175,4,0)+IF($BC175,6,0)+IF($BD175,3,0)+IF($BE175,2,0)+IF($BF175,2,0)+IF($BG175,2,0)+IF($BH175,2,0)+IF($BI175,1,0))</x:f>
      </x:c>
      <x:c r="BK175" s="15">
        <x:f>IF($C175="","",IF(NOT($AS175),1,0)+IF(NOT($AW175),1,0)+IF(NOT($AZ175),1,0)+IF(NOT($BA175),1,0)+IF(NOT($BB175),1,0)+IF(NOT($BC175),1,0))</x:f>
      </x:c>
      <x:c r="BL175" s="13">
        <x:f>IF($C175="","",IF($BK175&gt;0,"REJECT",IF(COUNTIF($AS175:$BI175,FALSE)=0,"ACCEPT",IF($BJ175&gt;=85,"ACCEPT WITH SORTING / DISCOUNT","REJECT"))))</x:f>
      </x:c>
    </x:row>
    <x:row r="176" ht="24" customHeight="1">
      <x:c r="A176" s="10" t="n"/>
      <x:c r="B176" s="11" t="n"/>
      <x:c r="C176" s="11" t="n"/>
      <x:c r="D176" s="11" t="n"/>
      <x:c r="E176" s="11" t="n"/>
      <x:c r="F176" s="11" t="n"/>
      <x:c r="G176" s="11" t="n"/>
      <x:c r="H176" s="11" t="n"/>
      <x:c r="I176" s="12" t="n"/>
      <x:c r="J176" s="12" t="n"/>
      <x:c r="K176" s="12" t="n"/>
      <x:c r="L176" s="12" t="n"/>
      <x:c r="M176" s="12" t="n"/>
      <x:c r="N176" s="12" t="n"/>
      <x:c r="O176" s="12" t="n"/>
      <x:c r="P176" s="11" t="n"/>
      <x:c r="Q176" s="11" t="n"/>
      <x:c r="R176" s="11" t="n"/>
      <x:c r="S176" s="11" t="n"/>
      <x:c r="T176" s="11" t="n"/>
      <x:c r="U176" s="12" t="n"/>
      <x:c r="V176" s="12" t="n"/>
      <x:c r="W176" s="12" t="n"/>
      <x:c r="X176" s="12" t="n"/>
      <x:c r="Y176" s="12" t="n"/>
      <x:c r="Z176" s="13">
        <x:f>IF($C176="","",VLOOKUP($C176,Config!$A$2:$Y$4,2,FALSE))</x:f>
      </x:c>
      <x:c r="AA176" s="13">
        <x:f>IF($C176="","",VLOOKUP($C176,Config!$A$2:$Y$4,5,FALSE))</x:f>
      </x:c>
      <x:c r="AB176" s="14">
        <x:f>IF($C176="","",VLOOKUP($C176,Config!$A$2:$Y$4,7,FALSE))</x:f>
      </x:c>
      <x:c r="AC176" s="14">
        <x:f>IF($C176="","",VLOOKUP($C176,Config!$A$2:$Y$4,8,FALSE))</x:f>
      </x:c>
      <x:c r="AD176" s="14">
        <x:f>IF($C176="","",VLOOKUP($C176,Config!$A$2:$Y$4,9,FALSE))</x:f>
      </x:c>
      <x:c r="AE176" s="14">
        <x:f>IF($C176="","",VLOOKUP($C176,Config!$A$2:$Y$4,10,FALSE))</x:f>
      </x:c>
      <x:c r="AF176" s="14">
        <x:f>IF($C176="","",VLOOKUP($C176,Config!$A$2:$Y$4,11,FALSE))</x:f>
      </x:c>
      <x:c r="AG176" s="14">
        <x:f>IF($C176="","",VLOOKUP($C176,Config!$A$2:$Y$4,12,FALSE))</x:f>
      </x:c>
      <x:c r="AH176" s="14">
        <x:f>IF($C176="","",VLOOKUP($C176,Config!$A$2:$Y$4,13,FALSE))</x:f>
      </x:c>
      <x:c r="AI176" s="14">
        <x:f>IF($C176="","",VLOOKUP($C176,Config!$A$2:$Y$4,14,FALSE))</x:f>
      </x:c>
      <x:c r="AJ176" s="14">
        <x:f>IF($C176="","",VLOOKUP($C176,Config!$A$2:$Y$4,15,FALSE))</x:f>
      </x:c>
      <x:c r="AK176" s="14">
        <x:f>IF($C176="","",VLOOKUP($C176,Config!$A$2:$Y$4,16,FALSE))</x:f>
      </x:c>
      <x:c r="AL176" s="14">
        <x:f>IF($C176="","",VLOOKUP($C176,Config!$A$2:$Y$4,17,FALSE))</x:f>
      </x:c>
      <x:c r="AM176" s="14">
        <x:f>IF($C176="","",VLOOKUP($C176,Config!$A$2:$Y$4,18,FALSE))</x:f>
      </x:c>
      <x:c r="AN176" s="14">
        <x:f>IF($C176="","",VLOOKUP($C176,Config!$A$2:$Y$4,19,FALSE))</x:f>
      </x:c>
      <x:c r="AO176" s="14">
        <x:f>IF($C176="","",VLOOKUP($C176,Config!$A$2:$Y$4,20,FALSE))</x:f>
      </x:c>
      <x:c r="AP176" s="14">
        <x:f>IF($C176="","",VLOOKUP($C176,Config!$A$2:$Y$4,21,FALSE))</x:f>
      </x:c>
      <x:c r="AQ176" s="14">
        <x:f>IF($C176="","",VLOOKUP($C176,Config!$A$2:$Y$4,22,FALSE))</x:f>
      </x:c>
      <x:c r="AR176" s="14">
        <x:f>IF($C176="","",VLOOKUP($C176,Config!$A$2:$Y$4,23,FALSE))</x:f>
      </x:c>
      <x:c r="AS176" s="13">
        <x:f>IF($C176="","",IF($H176="Extra",3,IF($H176="I",2,IF($H176="II",1,0)))&gt;=IF($AA176="Extra",3,IF($AA176="I",2,IF($AA176="II",1,0))))</x:f>
      </x:c>
      <x:c r="AT176" s="13">
        <x:f>IF($C176="","",IF($I176="",FALSE,$I176&gt;=$AB176))</x:f>
      </x:c>
      <x:c r="AU176" s="13">
        <x:f>IF($C176="","",IF($AC176="",TRUE,IF($J176="",FALSE,$J176&lt;=$AC176)))</x:f>
      </x:c>
      <x:c r="AV176" s="13">
        <x:f>IF($C176="","",IF($AD176="",TRUE,IF($K176="",FALSE,$K176&lt;=$AD176)))</x:f>
      </x:c>
      <x:c r="AW176" s="13">
        <x:f>IF($C176="","",IF($AE176="",TRUE,IF($L176="",FALSE,$L176&lt;=$AE176)))</x:f>
      </x:c>
      <x:c r="AX176" s="13">
        <x:f>IF($C176="","",IF($AF176="",TRUE,IF($M176="",FALSE,$M176&lt;=$AF176)))</x:f>
      </x:c>
      <x:c r="AY176" s="13">
        <x:f>IF($C176="","",IF($AG176="",TRUE,IF($N176="",FALSE,$N176&gt;=$AG176)))</x:f>
      </x:c>
      <x:c r="AZ176" s="13">
        <x:f>IF($C176="","",IF(OR($AH176="",$AI176=""),TRUE,IF($O176="",FALSE,AND($O176&gt;=$AH176,$O176&lt;=$AI176))))</x:f>
      </x:c>
      <x:c r="BA176" s="13">
        <x:f>IF($C176="","",IF($AJ176="Y",$P176="Y",TRUE))</x:f>
      </x:c>
      <x:c r="BB176" s="13">
        <x:f>IF($C176="","",IF($AK176="Y",$Q176="Y",TRUE))</x:f>
      </x:c>
      <x:c r="BC176" s="13">
        <x:f>IF($C176="","",IF($AL176="Y",$R176="Y",TRUE))</x:f>
      </x:c>
      <x:c r="BD176" s="13">
        <x:f>IF($C176="","",IF($AM176="Y",$S176="Y",TRUE))</x:f>
      </x:c>
      <x:c r="BE176" s="13">
        <x:f>IF($C176="","",IF($AN176="Y",$T176="Y",TRUE))</x:f>
      </x:c>
      <x:c r="BF176" s="13">
        <x:f>IF($C176="","",IF($AO176="",TRUE,IF($U176="",FALSE,$U176&lt;=$AO176)))</x:f>
      </x:c>
      <x:c r="BG176" s="13">
        <x:f>IF($C176="","",IF($AP176="",TRUE,IF($V176="",FALSE,$V176&lt;=$AP176)))</x:f>
      </x:c>
      <x:c r="BH176" s="13">
        <x:f>IF($C176="","",IF($AQ176="",TRUE,IF($W176="",FALSE,$W176&lt;=$AQ176)))</x:f>
      </x:c>
      <x:c r="BI176" s="13">
        <x:f>IF($C176="","",IF($AR176="",TRUE,IF($X176="",FALSE,$X176&lt;=$AR176)))</x:f>
      </x:c>
      <x:c r="BJ176" s="15">
        <x:f>IF($C176="","",IF($Y176="",0,$Y176)+IF($AS176,10,0)+IF($AT176,8,0)+IF($AU176,5,0)+IF($AV176,8,0)+IF($AW176,15,0)+IF($AX176,4,0)+IF($AY176,5,0)+IF($AZ176,10,0)+IF($BA176,8,0)+IF($BB176,4,0)+IF($BC176,6,0)+IF($BD176,3,0)+IF($BE176,2,0)+IF($BF176,2,0)+IF($BG176,2,0)+IF($BH176,2,0)+IF($BI176,1,0))</x:f>
      </x:c>
      <x:c r="BK176" s="15">
        <x:f>IF($C176="","",IF(NOT($AS176),1,0)+IF(NOT($AW176),1,0)+IF(NOT($AZ176),1,0)+IF(NOT($BA176),1,0)+IF(NOT($BB176),1,0)+IF(NOT($BC176),1,0))</x:f>
      </x:c>
      <x:c r="BL176" s="13">
        <x:f>IF($C176="","",IF($BK176&gt;0,"REJECT",IF(COUNTIF($AS176:$BI176,FALSE)=0,"ACCEPT",IF($BJ176&gt;=85,"ACCEPT WITH SORTING / DISCOUNT","REJECT"))))</x:f>
      </x:c>
    </x:row>
    <x:row r="177" ht="24" customHeight="1">
      <x:c r="A177" s="10" t="n"/>
      <x:c r="B177" s="11" t="n"/>
      <x:c r="C177" s="11" t="n"/>
      <x:c r="D177" s="11" t="n"/>
      <x:c r="E177" s="11" t="n"/>
      <x:c r="F177" s="11" t="n"/>
      <x:c r="G177" s="11" t="n"/>
      <x:c r="H177" s="11" t="n"/>
      <x:c r="I177" s="12" t="n"/>
      <x:c r="J177" s="12" t="n"/>
      <x:c r="K177" s="12" t="n"/>
      <x:c r="L177" s="12" t="n"/>
      <x:c r="M177" s="12" t="n"/>
      <x:c r="N177" s="12" t="n"/>
      <x:c r="O177" s="12" t="n"/>
      <x:c r="P177" s="11" t="n"/>
      <x:c r="Q177" s="11" t="n"/>
      <x:c r="R177" s="11" t="n"/>
      <x:c r="S177" s="11" t="n"/>
      <x:c r="T177" s="11" t="n"/>
      <x:c r="U177" s="12" t="n"/>
      <x:c r="V177" s="12" t="n"/>
      <x:c r="W177" s="12" t="n"/>
      <x:c r="X177" s="12" t="n"/>
      <x:c r="Y177" s="12" t="n"/>
      <x:c r="Z177" s="13">
        <x:f>IF($C177="","",VLOOKUP($C177,Config!$A$2:$Y$4,2,FALSE))</x:f>
      </x:c>
      <x:c r="AA177" s="13">
        <x:f>IF($C177="","",VLOOKUP($C177,Config!$A$2:$Y$4,5,FALSE))</x:f>
      </x:c>
      <x:c r="AB177" s="14">
        <x:f>IF($C177="","",VLOOKUP($C177,Config!$A$2:$Y$4,7,FALSE))</x:f>
      </x:c>
      <x:c r="AC177" s="14">
        <x:f>IF($C177="","",VLOOKUP($C177,Config!$A$2:$Y$4,8,FALSE))</x:f>
      </x:c>
      <x:c r="AD177" s="14">
        <x:f>IF($C177="","",VLOOKUP($C177,Config!$A$2:$Y$4,9,FALSE))</x:f>
      </x:c>
      <x:c r="AE177" s="14">
        <x:f>IF($C177="","",VLOOKUP($C177,Config!$A$2:$Y$4,10,FALSE))</x:f>
      </x:c>
      <x:c r="AF177" s="14">
        <x:f>IF($C177="","",VLOOKUP($C177,Config!$A$2:$Y$4,11,FALSE))</x:f>
      </x:c>
      <x:c r="AG177" s="14">
        <x:f>IF($C177="","",VLOOKUP($C177,Config!$A$2:$Y$4,12,FALSE))</x:f>
      </x:c>
      <x:c r="AH177" s="14">
        <x:f>IF($C177="","",VLOOKUP($C177,Config!$A$2:$Y$4,13,FALSE))</x:f>
      </x:c>
      <x:c r="AI177" s="14">
        <x:f>IF($C177="","",VLOOKUP($C177,Config!$A$2:$Y$4,14,FALSE))</x:f>
      </x:c>
      <x:c r="AJ177" s="14">
        <x:f>IF($C177="","",VLOOKUP($C177,Config!$A$2:$Y$4,15,FALSE))</x:f>
      </x:c>
      <x:c r="AK177" s="14">
        <x:f>IF($C177="","",VLOOKUP($C177,Config!$A$2:$Y$4,16,FALSE))</x:f>
      </x:c>
      <x:c r="AL177" s="14">
        <x:f>IF($C177="","",VLOOKUP($C177,Config!$A$2:$Y$4,17,FALSE))</x:f>
      </x:c>
      <x:c r="AM177" s="14">
        <x:f>IF($C177="","",VLOOKUP($C177,Config!$A$2:$Y$4,18,FALSE))</x:f>
      </x:c>
      <x:c r="AN177" s="14">
        <x:f>IF($C177="","",VLOOKUP($C177,Config!$A$2:$Y$4,19,FALSE))</x:f>
      </x:c>
      <x:c r="AO177" s="14">
        <x:f>IF($C177="","",VLOOKUP($C177,Config!$A$2:$Y$4,20,FALSE))</x:f>
      </x:c>
      <x:c r="AP177" s="14">
        <x:f>IF($C177="","",VLOOKUP($C177,Config!$A$2:$Y$4,21,FALSE))</x:f>
      </x:c>
      <x:c r="AQ177" s="14">
        <x:f>IF($C177="","",VLOOKUP($C177,Config!$A$2:$Y$4,22,FALSE))</x:f>
      </x:c>
      <x:c r="AR177" s="14">
        <x:f>IF($C177="","",VLOOKUP($C177,Config!$A$2:$Y$4,23,FALSE))</x:f>
      </x:c>
      <x:c r="AS177" s="13">
        <x:f>IF($C177="","",IF($H177="Extra",3,IF($H177="I",2,IF($H177="II",1,0)))&gt;=IF($AA177="Extra",3,IF($AA177="I",2,IF($AA177="II",1,0))))</x:f>
      </x:c>
      <x:c r="AT177" s="13">
        <x:f>IF($C177="","",IF($I177="",FALSE,$I177&gt;=$AB177))</x:f>
      </x:c>
      <x:c r="AU177" s="13">
        <x:f>IF($C177="","",IF($AC177="",TRUE,IF($J177="",FALSE,$J177&lt;=$AC177)))</x:f>
      </x:c>
      <x:c r="AV177" s="13">
        <x:f>IF($C177="","",IF($AD177="",TRUE,IF($K177="",FALSE,$K177&lt;=$AD177)))</x:f>
      </x:c>
      <x:c r="AW177" s="13">
        <x:f>IF($C177="","",IF($AE177="",TRUE,IF($L177="",FALSE,$L177&lt;=$AE177)))</x:f>
      </x:c>
      <x:c r="AX177" s="13">
        <x:f>IF($C177="","",IF($AF177="",TRUE,IF($M177="",FALSE,$M177&lt;=$AF177)))</x:f>
      </x:c>
      <x:c r="AY177" s="13">
        <x:f>IF($C177="","",IF($AG177="",TRUE,IF($N177="",FALSE,$N177&gt;=$AG177)))</x:f>
      </x:c>
      <x:c r="AZ177" s="13">
        <x:f>IF($C177="","",IF(OR($AH177="",$AI177=""),TRUE,IF($O177="",FALSE,AND($O177&gt;=$AH177,$O177&lt;=$AI177))))</x:f>
      </x:c>
      <x:c r="BA177" s="13">
        <x:f>IF($C177="","",IF($AJ177="Y",$P177="Y",TRUE))</x:f>
      </x:c>
      <x:c r="BB177" s="13">
        <x:f>IF($C177="","",IF($AK177="Y",$Q177="Y",TRUE))</x:f>
      </x:c>
      <x:c r="BC177" s="13">
        <x:f>IF($C177="","",IF($AL177="Y",$R177="Y",TRUE))</x:f>
      </x:c>
      <x:c r="BD177" s="13">
        <x:f>IF($C177="","",IF($AM177="Y",$S177="Y",TRUE))</x:f>
      </x:c>
      <x:c r="BE177" s="13">
        <x:f>IF($C177="","",IF($AN177="Y",$T177="Y",TRUE))</x:f>
      </x:c>
      <x:c r="BF177" s="13">
        <x:f>IF($C177="","",IF($AO177="",TRUE,IF($U177="",FALSE,$U177&lt;=$AO177)))</x:f>
      </x:c>
      <x:c r="BG177" s="13">
        <x:f>IF($C177="","",IF($AP177="",TRUE,IF($V177="",FALSE,$V177&lt;=$AP177)))</x:f>
      </x:c>
      <x:c r="BH177" s="13">
        <x:f>IF($C177="","",IF($AQ177="",TRUE,IF($W177="",FALSE,$W177&lt;=$AQ177)))</x:f>
      </x:c>
      <x:c r="BI177" s="13">
        <x:f>IF($C177="","",IF($AR177="",TRUE,IF($X177="",FALSE,$X177&lt;=$AR177)))</x:f>
      </x:c>
      <x:c r="BJ177" s="15">
        <x:f>IF($C177="","",IF($Y177="",0,$Y177)+IF($AS177,10,0)+IF($AT177,8,0)+IF($AU177,5,0)+IF($AV177,8,0)+IF($AW177,15,0)+IF($AX177,4,0)+IF($AY177,5,0)+IF($AZ177,10,0)+IF($BA177,8,0)+IF($BB177,4,0)+IF($BC177,6,0)+IF($BD177,3,0)+IF($BE177,2,0)+IF($BF177,2,0)+IF($BG177,2,0)+IF($BH177,2,0)+IF($BI177,1,0))</x:f>
      </x:c>
      <x:c r="BK177" s="15">
        <x:f>IF($C177="","",IF(NOT($AS177),1,0)+IF(NOT($AW177),1,0)+IF(NOT($AZ177),1,0)+IF(NOT($BA177),1,0)+IF(NOT($BB177),1,0)+IF(NOT($BC177),1,0))</x:f>
      </x:c>
      <x:c r="BL177" s="13">
        <x:f>IF($C177="","",IF($BK177&gt;0,"REJECT",IF(COUNTIF($AS177:$BI177,FALSE)=0,"ACCEPT",IF($BJ177&gt;=85,"ACCEPT WITH SORTING / DISCOUNT","REJECT"))))</x:f>
      </x:c>
    </x:row>
    <x:row r="178" ht="24" customHeight="1">
      <x:c r="A178" s="10" t="n"/>
      <x:c r="B178" s="11" t="n"/>
      <x:c r="C178" s="11" t="n"/>
      <x:c r="D178" s="11" t="n"/>
      <x:c r="E178" s="11" t="n"/>
      <x:c r="F178" s="11" t="n"/>
      <x:c r="G178" s="11" t="n"/>
      <x:c r="H178" s="11" t="n"/>
      <x:c r="I178" s="12" t="n"/>
      <x:c r="J178" s="12" t="n"/>
      <x:c r="K178" s="12" t="n"/>
      <x:c r="L178" s="12" t="n"/>
      <x:c r="M178" s="12" t="n"/>
      <x:c r="N178" s="12" t="n"/>
      <x:c r="O178" s="12" t="n"/>
      <x:c r="P178" s="11" t="n"/>
      <x:c r="Q178" s="11" t="n"/>
      <x:c r="R178" s="11" t="n"/>
      <x:c r="S178" s="11" t="n"/>
      <x:c r="T178" s="11" t="n"/>
      <x:c r="U178" s="12" t="n"/>
      <x:c r="V178" s="12" t="n"/>
      <x:c r="W178" s="12" t="n"/>
      <x:c r="X178" s="12" t="n"/>
      <x:c r="Y178" s="12" t="n"/>
      <x:c r="Z178" s="13">
        <x:f>IF($C178="","",VLOOKUP($C178,Config!$A$2:$Y$4,2,FALSE))</x:f>
      </x:c>
      <x:c r="AA178" s="13">
        <x:f>IF($C178="","",VLOOKUP($C178,Config!$A$2:$Y$4,5,FALSE))</x:f>
      </x:c>
      <x:c r="AB178" s="14">
        <x:f>IF($C178="","",VLOOKUP($C178,Config!$A$2:$Y$4,7,FALSE))</x:f>
      </x:c>
      <x:c r="AC178" s="14">
        <x:f>IF($C178="","",VLOOKUP($C178,Config!$A$2:$Y$4,8,FALSE))</x:f>
      </x:c>
      <x:c r="AD178" s="14">
        <x:f>IF($C178="","",VLOOKUP($C178,Config!$A$2:$Y$4,9,FALSE))</x:f>
      </x:c>
      <x:c r="AE178" s="14">
        <x:f>IF($C178="","",VLOOKUP($C178,Config!$A$2:$Y$4,10,FALSE))</x:f>
      </x:c>
      <x:c r="AF178" s="14">
        <x:f>IF($C178="","",VLOOKUP($C178,Config!$A$2:$Y$4,11,FALSE))</x:f>
      </x:c>
      <x:c r="AG178" s="14">
        <x:f>IF($C178="","",VLOOKUP($C178,Config!$A$2:$Y$4,12,FALSE))</x:f>
      </x:c>
      <x:c r="AH178" s="14">
        <x:f>IF($C178="","",VLOOKUP($C178,Config!$A$2:$Y$4,13,FALSE))</x:f>
      </x:c>
      <x:c r="AI178" s="14">
        <x:f>IF($C178="","",VLOOKUP($C178,Config!$A$2:$Y$4,14,FALSE))</x:f>
      </x:c>
      <x:c r="AJ178" s="14">
        <x:f>IF($C178="","",VLOOKUP($C178,Config!$A$2:$Y$4,15,FALSE))</x:f>
      </x:c>
      <x:c r="AK178" s="14">
        <x:f>IF($C178="","",VLOOKUP($C178,Config!$A$2:$Y$4,16,FALSE))</x:f>
      </x:c>
      <x:c r="AL178" s="14">
        <x:f>IF($C178="","",VLOOKUP($C178,Config!$A$2:$Y$4,17,FALSE))</x:f>
      </x:c>
      <x:c r="AM178" s="14">
        <x:f>IF($C178="","",VLOOKUP($C178,Config!$A$2:$Y$4,18,FALSE))</x:f>
      </x:c>
      <x:c r="AN178" s="14">
        <x:f>IF($C178="","",VLOOKUP($C178,Config!$A$2:$Y$4,19,FALSE))</x:f>
      </x:c>
      <x:c r="AO178" s="14">
        <x:f>IF($C178="","",VLOOKUP($C178,Config!$A$2:$Y$4,20,FALSE))</x:f>
      </x:c>
      <x:c r="AP178" s="14">
        <x:f>IF($C178="","",VLOOKUP($C178,Config!$A$2:$Y$4,21,FALSE))</x:f>
      </x:c>
      <x:c r="AQ178" s="14">
        <x:f>IF($C178="","",VLOOKUP($C178,Config!$A$2:$Y$4,22,FALSE))</x:f>
      </x:c>
      <x:c r="AR178" s="14">
        <x:f>IF($C178="","",VLOOKUP($C178,Config!$A$2:$Y$4,23,FALSE))</x:f>
      </x:c>
      <x:c r="AS178" s="13">
        <x:f>IF($C178="","",IF($H178="Extra",3,IF($H178="I",2,IF($H178="II",1,0)))&gt;=IF($AA178="Extra",3,IF($AA178="I",2,IF($AA178="II",1,0))))</x:f>
      </x:c>
      <x:c r="AT178" s="13">
        <x:f>IF($C178="","",IF($I178="",FALSE,$I178&gt;=$AB178))</x:f>
      </x:c>
      <x:c r="AU178" s="13">
        <x:f>IF($C178="","",IF($AC178="",TRUE,IF($J178="",FALSE,$J178&lt;=$AC178)))</x:f>
      </x:c>
      <x:c r="AV178" s="13">
        <x:f>IF($C178="","",IF($AD178="",TRUE,IF($K178="",FALSE,$K178&lt;=$AD178)))</x:f>
      </x:c>
      <x:c r="AW178" s="13">
        <x:f>IF($C178="","",IF($AE178="",TRUE,IF($L178="",FALSE,$L178&lt;=$AE178)))</x:f>
      </x:c>
      <x:c r="AX178" s="13">
        <x:f>IF($C178="","",IF($AF178="",TRUE,IF($M178="",FALSE,$M178&lt;=$AF178)))</x:f>
      </x:c>
      <x:c r="AY178" s="13">
        <x:f>IF($C178="","",IF($AG178="",TRUE,IF($N178="",FALSE,$N178&gt;=$AG178)))</x:f>
      </x:c>
      <x:c r="AZ178" s="13">
        <x:f>IF($C178="","",IF(OR($AH178="",$AI178=""),TRUE,IF($O178="",FALSE,AND($O178&gt;=$AH178,$O178&lt;=$AI178))))</x:f>
      </x:c>
      <x:c r="BA178" s="13">
        <x:f>IF($C178="","",IF($AJ178="Y",$P178="Y",TRUE))</x:f>
      </x:c>
      <x:c r="BB178" s="13">
        <x:f>IF($C178="","",IF($AK178="Y",$Q178="Y",TRUE))</x:f>
      </x:c>
      <x:c r="BC178" s="13">
        <x:f>IF($C178="","",IF($AL178="Y",$R178="Y",TRUE))</x:f>
      </x:c>
      <x:c r="BD178" s="13">
        <x:f>IF($C178="","",IF($AM178="Y",$S178="Y",TRUE))</x:f>
      </x:c>
      <x:c r="BE178" s="13">
        <x:f>IF($C178="","",IF($AN178="Y",$T178="Y",TRUE))</x:f>
      </x:c>
      <x:c r="BF178" s="13">
        <x:f>IF($C178="","",IF($AO178="",TRUE,IF($U178="",FALSE,$U178&lt;=$AO178)))</x:f>
      </x:c>
      <x:c r="BG178" s="13">
        <x:f>IF($C178="","",IF($AP178="",TRUE,IF($V178="",FALSE,$V178&lt;=$AP178)))</x:f>
      </x:c>
      <x:c r="BH178" s="13">
        <x:f>IF($C178="","",IF($AQ178="",TRUE,IF($W178="",FALSE,$W178&lt;=$AQ178)))</x:f>
      </x:c>
      <x:c r="BI178" s="13">
        <x:f>IF($C178="","",IF($AR178="",TRUE,IF($X178="",FALSE,$X178&lt;=$AR178)))</x:f>
      </x:c>
      <x:c r="BJ178" s="15">
        <x:f>IF($C178="","",IF($Y178="",0,$Y178)+IF($AS178,10,0)+IF($AT178,8,0)+IF($AU178,5,0)+IF($AV178,8,0)+IF($AW178,15,0)+IF($AX178,4,0)+IF($AY178,5,0)+IF($AZ178,10,0)+IF($BA178,8,0)+IF($BB178,4,0)+IF($BC178,6,0)+IF($BD178,3,0)+IF($BE178,2,0)+IF($BF178,2,0)+IF($BG178,2,0)+IF($BH178,2,0)+IF($BI178,1,0))</x:f>
      </x:c>
      <x:c r="BK178" s="15">
        <x:f>IF($C178="","",IF(NOT($AS178),1,0)+IF(NOT($AW178),1,0)+IF(NOT($AZ178),1,0)+IF(NOT($BA178),1,0)+IF(NOT($BB178),1,0)+IF(NOT($BC178),1,0))</x:f>
      </x:c>
      <x:c r="BL178" s="13">
        <x:f>IF($C178="","",IF($BK178&gt;0,"REJECT",IF(COUNTIF($AS178:$BI178,FALSE)=0,"ACCEPT",IF($BJ178&gt;=85,"ACCEPT WITH SORTING / DISCOUNT","REJECT"))))</x:f>
      </x:c>
    </x:row>
    <x:row r="179" ht="24" customHeight="1">
      <x:c r="A179" s="10" t="n"/>
      <x:c r="B179" s="11" t="n"/>
      <x:c r="C179" s="11" t="n"/>
      <x:c r="D179" s="11" t="n"/>
      <x:c r="E179" s="11" t="n"/>
      <x:c r="F179" s="11" t="n"/>
      <x:c r="G179" s="11" t="n"/>
      <x:c r="H179" s="11" t="n"/>
      <x:c r="I179" s="12" t="n"/>
      <x:c r="J179" s="12" t="n"/>
      <x:c r="K179" s="12" t="n"/>
      <x:c r="L179" s="12" t="n"/>
      <x:c r="M179" s="12" t="n"/>
      <x:c r="N179" s="12" t="n"/>
      <x:c r="O179" s="12" t="n"/>
      <x:c r="P179" s="11" t="n"/>
      <x:c r="Q179" s="11" t="n"/>
      <x:c r="R179" s="11" t="n"/>
      <x:c r="S179" s="11" t="n"/>
      <x:c r="T179" s="11" t="n"/>
      <x:c r="U179" s="12" t="n"/>
      <x:c r="V179" s="12" t="n"/>
      <x:c r="W179" s="12" t="n"/>
      <x:c r="X179" s="12" t="n"/>
      <x:c r="Y179" s="12" t="n"/>
      <x:c r="Z179" s="13">
        <x:f>IF($C179="","",VLOOKUP($C179,Config!$A$2:$Y$4,2,FALSE))</x:f>
      </x:c>
      <x:c r="AA179" s="13">
        <x:f>IF($C179="","",VLOOKUP($C179,Config!$A$2:$Y$4,5,FALSE))</x:f>
      </x:c>
      <x:c r="AB179" s="14">
        <x:f>IF($C179="","",VLOOKUP($C179,Config!$A$2:$Y$4,7,FALSE))</x:f>
      </x:c>
      <x:c r="AC179" s="14">
        <x:f>IF($C179="","",VLOOKUP($C179,Config!$A$2:$Y$4,8,FALSE))</x:f>
      </x:c>
      <x:c r="AD179" s="14">
        <x:f>IF($C179="","",VLOOKUP($C179,Config!$A$2:$Y$4,9,FALSE))</x:f>
      </x:c>
      <x:c r="AE179" s="14">
        <x:f>IF($C179="","",VLOOKUP($C179,Config!$A$2:$Y$4,10,FALSE))</x:f>
      </x:c>
      <x:c r="AF179" s="14">
        <x:f>IF($C179="","",VLOOKUP($C179,Config!$A$2:$Y$4,11,FALSE))</x:f>
      </x:c>
      <x:c r="AG179" s="14">
        <x:f>IF($C179="","",VLOOKUP($C179,Config!$A$2:$Y$4,12,FALSE))</x:f>
      </x:c>
      <x:c r="AH179" s="14">
        <x:f>IF($C179="","",VLOOKUP($C179,Config!$A$2:$Y$4,13,FALSE))</x:f>
      </x:c>
      <x:c r="AI179" s="14">
        <x:f>IF($C179="","",VLOOKUP($C179,Config!$A$2:$Y$4,14,FALSE))</x:f>
      </x:c>
      <x:c r="AJ179" s="14">
        <x:f>IF($C179="","",VLOOKUP($C179,Config!$A$2:$Y$4,15,FALSE))</x:f>
      </x:c>
      <x:c r="AK179" s="14">
        <x:f>IF($C179="","",VLOOKUP($C179,Config!$A$2:$Y$4,16,FALSE))</x:f>
      </x:c>
      <x:c r="AL179" s="14">
        <x:f>IF($C179="","",VLOOKUP($C179,Config!$A$2:$Y$4,17,FALSE))</x:f>
      </x:c>
      <x:c r="AM179" s="14">
        <x:f>IF($C179="","",VLOOKUP($C179,Config!$A$2:$Y$4,18,FALSE))</x:f>
      </x:c>
      <x:c r="AN179" s="14">
        <x:f>IF($C179="","",VLOOKUP($C179,Config!$A$2:$Y$4,19,FALSE))</x:f>
      </x:c>
      <x:c r="AO179" s="14">
        <x:f>IF($C179="","",VLOOKUP($C179,Config!$A$2:$Y$4,20,FALSE))</x:f>
      </x:c>
      <x:c r="AP179" s="14">
        <x:f>IF($C179="","",VLOOKUP($C179,Config!$A$2:$Y$4,21,FALSE))</x:f>
      </x:c>
      <x:c r="AQ179" s="14">
        <x:f>IF($C179="","",VLOOKUP($C179,Config!$A$2:$Y$4,22,FALSE))</x:f>
      </x:c>
      <x:c r="AR179" s="14">
        <x:f>IF($C179="","",VLOOKUP($C179,Config!$A$2:$Y$4,23,FALSE))</x:f>
      </x:c>
      <x:c r="AS179" s="13">
        <x:f>IF($C179="","",IF($H179="Extra",3,IF($H179="I",2,IF($H179="II",1,0)))&gt;=IF($AA179="Extra",3,IF($AA179="I",2,IF($AA179="II",1,0))))</x:f>
      </x:c>
      <x:c r="AT179" s="13">
        <x:f>IF($C179="","",IF($I179="",FALSE,$I179&gt;=$AB179))</x:f>
      </x:c>
      <x:c r="AU179" s="13">
        <x:f>IF($C179="","",IF($AC179="",TRUE,IF($J179="",FALSE,$J179&lt;=$AC179)))</x:f>
      </x:c>
      <x:c r="AV179" s="13">
        <x:f>IF($C179="","",IF($AD179="",TRUE,IF($K179="",FALSE,$K179&lt;=$AD179)))</x:f>
      </x:c>
      <x:c r="AW179" s="13">
        <x:f>IF($C179="","",IF($AE179="",TRUE,IF($L179="",FALSE,$L179&lt;=$AE179)))</x:f>
      </x:c>
      <x:c r="AX179" s="13">
        <x:f>IF($C179="","",IF($AF179="",TRUE,IF($M179="",FALSE,$M179&lt;=$AF179)))</x:f>
      </x:c>
      <x:c r="AY179" s="13">
        <x:f>IF($C179="","",IF($AG179="",TRUE,IF($N179="",FALSE,$N179&gt;=$AG179)))</x:f>
      </x:c>
      <x:c r="AZ179" s="13">
        <x:f>IF($C179="","",IF(OR($AH179="",$AI179=""),TRUE,IF($O179="",FALSE,AND($O179&gt;=$AH179,$O179&lt;=$AI179))))</x:f>
      </x:c>
      <x:c r="BA179" s="13">
        <x:f>IF($C179="","",IF($AJ179="Y",$P179="Y",TRUE))</x:f>
      </x:c>
      <x:c r="BB179" s="13">
        <x:f>IF($C179="","",IF($AK179="Y",$Q179="Y",TRUE))</x:f>
      </x:c>
      <x:c r="BC179" s="13">
        <x:f>IF($C179="","",IF($AL179="Y",$R179="Y",TRUE))</x:f>
      </x:c>
      <x:c r="BD179" s="13">
        <x:f>IF($C179="","",IF($AM179="Y",$S179="Y",TRUE))</x:f>
      </x:c>
      <x:c r="BE179" s="13">
        <x:f>IF($C179="","",IF($AN179="Y",$T179="Y",TRUE))</x:f>
      </x:c>
      <x:c r="BF179" s="13">
        <x:f>IF($C179="","",IF($AO179="",TRUE,IF($U179="",FALSE,$U179&lt;=$AO179)))</x:f>
      </x:c>
      <x:c r="BG179" s="13">
        <x:f>IF($C179="","",IF($AP179="",TRUE,IF($V179="",FALSE,$V179&lt;=$AP179)))</x:f>
      </x:c>
      <x:c r="BH179" s="13">
        <x:f>IF($C179="","",IF($AQ179="",TRUE,IF($W179="",FALSE,$W179&lt;=$AQ179)))</x:f>
      </x:c>
      <x:c r="BI179" s="13">
        <x:f>IF($C179="","",IF($AR179="",TRUE,IF($X179="",FALSE,$X179&lt;=$AR179)))</x:f>
      </x:c>
      <x:c r="BJ179" s="15">
        <x:f>IF($C179="","",IF($Y179="",0,$Y179)+IF($AS179,10,0)+IF($AT179,8,0)+IF($AU179,5,0)+IF($AV179,8,0)+IF($AW179,15,0)+IF($AX179,4,0)+IF($AY179,5,0)+IF($AZ179,10,0)+IF($BA179,8,0)+IF($BB179,4,0)+IF($BC179,6,0)+IF($BD179,3,0)+IF($BE179,2,0)+IF($BF179,2,0)+IF($BG179,2,0)+IF($BH179,2,0)+IF($BI179,1,0))</x:f>
      </x:c>
      <x:c r="BK179" s="15">
        <x:f>IF($C179="","",IF(NOT($AS179),1,0)+IF(NOT($AW179),1,0)+IF(NOT($AZ179),1,0)+IF(NOT($BA179),1,0)+IF(NOT($BB179),1,0)+IF(NOT($BC179),1,0))</x:f>
      </x:c>
      <x:c r="BL179" s="13">
        <x:f>IF($C179="","",IF($BK179&gt;0,"REJECT",IF(COUNTIF($AS179:$BI179,FALSE)=0,"ACCEPT",IF($BJ179&gt;=85,"ACCEPT WITH SORTING / DISCOUNT","REJECT"))))</x:f>
      </x:c>
    </x:row>
    <x:row r="180" ht="24" customHeight="1">
      <x:c r="A180" s="10" t="n"/>
      <x:c r="B180" s="11" t="n"/>
      <x:c r="C180" s="11" t="n"/>
      <x:c r="D180" s="11" t="n"/>
      <x:c r="E180" s="11" t="n"/>
      <x:c r="F180" s="11" t="n"/>
      <x:c r="G180" s="11" t="n"/>
      <x:c r="H180" s="11" t="n"/>
      <x:c r="I180" s="12" t="n"/>
      <x:c r="J180" s="12" t="n"/>
      <x:c r="K180" s="12" t="n"/>
      <x:c r="L180" s="12" t="n"/>
      <x:c r="M180" s="12" t="n"/>
      <x:c r="N180" s="12" t="n"/>
      <x:c r="O180" s="12" t="n"/>
      <x:c r="P180" s="11" t="n"/>
      <x:c r="Q180" s="11" t="n"/>
      <x:c r="R180" s="11" t="n"/>
      <x:c r="S180" s="11" t="n"/>
      <x:c r="T180" s="11" t="n"/>
      <x:c r="U180" s="12" t="n"/>
      <x:c r="V180" s="12" t="n"/>
      <x:c r="W180" s="12" t="n"/>
      <x:c r="X180" s="12" t="n"/>
      <x:c r="Y180" s="12" t="n"/>
      <x:c r="Z180" s="13">
        <x:f>IF($C180="","",VLOOKUP($C180,Config!$A$2:$Y$4,2,FALSE))</x:f>
      </x:c>
      <x:c r="AA180" s="13">
        <x:f>IF($C180="","",VLOOKUP($C180,Config!$A$2:$Y$4,5,FALSE))</x:f>
      </x:c>
      <x:c r="AB180" s="14">
        <x:f>IF($C180="","",VLOOKUP($C180,Config!$A$2:$Y$4,7,FALSE))</x:f>
      </x:c>
      <x:c r="AC180" s="14">
        <x:f>IF($C180="","",VLOOKUP($C180,Config!$A$2:$Y$4,8,FALSE))</x:f>
      </x:c>
      <x:c r="AD180" s="14">
        <x:f>IF($C180="","",VLOOKUP($C180,Config!$A$2:$Y$4,9,FALSE))</x:f>
      </x:c>
      <x:c r="AE180" s="14">
        <x:f>IF($C180="","",VLOOKUP($C180,Config!$A$2:$Y$4,10,FALSE))</x:f>
      </x:c>
      <x:c r="AF180" s="14">
        <x:f>IF($C180="","",VLOOKUP($C180,Config!$A$2:$Y$4,11,FALSE))</x:f>
      </x:c>
      <x:c r="AG180" s="14">
        <x:f>IF($C180="","",VLOOKUP($C180,Config!$A$2:$Y$4,12,FALSE))</x:f>
      </x:c>
      <x:c r="AH180" s="14">
        <x:f>IF($C180="","",VLOOKUP($C180,Config!$A$2:$Y$4,13,FALSE))</x:f>
      </x:c>
      <x:c r="AI180" s="14">
        <x:f>IF($C180="","",VLOOKUP($C180,Config!$A$2:$Y$4,14,FALSE))</x:f>
      </x:c>
      <x:c r="AJ180" s="14">
        <x:f>IF($C180="","",VLOOKUP($C180,Config!$A$2:$Y$4,15,FALSE))</x:f>
      </x:c>
      <x:c r="AK180" s="14">
        <x:f>IF($C180="","",VLOOKUP($C180,Config!$A$2:$Y$4,16,FALSE))</x:f>
      </x:c>
      <x:c r="AL180" s="14">
        <x:f>IF($C180="","",VLOOKUP($C180,Config!$A$2:$Y$4,17,FALSE))</x:f>
      </x:c>
      <x:c r="AM180" s="14">
        <x:f>IF($C180="","",VLOOKUP($C180,Config!$A$2:$Y$4,18,FALSE))</x:f>
      </x:c>
      <x:c r="AN180" s="14">
        <x:f>IF($C180="","",VLOOKUP($C180,Config!$A$2:$Y$4,19,FALSE))</x:f>
      </x:c>
      <x:c r="AO180" s="14">
        <x:f>IF($C180="","",VLOOKUP($C180,Config!$A$2:$Y$4,20,FALSE))</x:f>
      </x:c>
      <x:c r="AP180" s="14">
        <x:f>IF($C180="","",VLOOKUP($C180,Config!$A$2:$Y$4,21,FALSE))</x:f>
      </x:c>
      <x:c r="AQ180" s="14">
        <x:f>IF($C180="","",VLOOKUP($C180,Config!$A$2:$Y$4,22,FALSE))</x:f>
      </x:c>
      <x:c r="AR180" s="14">
        <x:f>IF($C180="","",VLOOKUP($C180,Config!$A$2:$Y$4,23,FALSE))</x:f>
      </x:c>
      <x:c r="AS180" s="13">
        <x:f>IF($C180="","",IF($H180="Extra",3,IF($H180="I",2,IF($H180="II",1,0)))&gt;=IF($AA180="Extra",3,IF($AA180="I",2,IF($AA180="II",1,0))))</x:f>
      </x:c>
      <x:c r="AT180" s="13">
        <x:f>IF($C180="","",IF($I180="",FALSE,$I180&gt;=$AB180))</x:f>
      </x:c>
      <x:c r="AU180" s="13">
        <x:f>IF($C180="","",IF($AC180="",TRUE,IF($J180="",FALSE,$J180&lt;=$AC180)))</x:f>
      </x:c>
      <x:c r="AV180" s="13">
        <x:f>IF($C180="","",IF($AD180="",TRUE,IF($K180="",FALSE,$K180&lt;=$AD180)))</x:f>
      </x:c>
      <x:c r="AW180" s="13">
        <x:f>IF($C180="","",IF($AE180="",TRUE,IF($L180="",FALSE,$L180&lt;=$AE180)))</x:f>
      </x:c>
      <x:c r="AX180" s="13">
        <x:f>IF($C180="","",IF($AF180="",TRUE,IF($M180="",FALSE,$M180&lt;=$AF180)))</x:f>
      </x:c>
      <x:c r="AY180" s="13">
        <x:f>IF($C180="","",IF($AG180="",TRUE,IF($N180="",FALSE,$N180&gt;=$AG180)))</x:f>
      </x:c>
      <x:c r="AZ180" s="13">
        <x:f>IF($C180="","",IF(OR($AH180="",$AI180=""),TRUE,IF($O180="",FALSE,AND($O180&gt;=$AH180,$O180&lt;=$AI180))))</x:f>
      </x:c>
      <x:c r="BA180" s="13">
        <x:f>IF($C180="","",IF($AJ180="Y",$P180="Y",TRUE))</x:f>
      </x:c>
      <x:c r="BB180" s="13">
        <x:f>IF($C180="","",IF($AK180="Y",$Q180="Y",TRUE))</x:f>
      </x:c>
      <x:c r="BC180" s="13">
        <x:f>IF($C180="","",IF($AL180="Y",$R180="Y",TRUE))</x:f>
      </x:c>
      <x:c r="BD180" s="13">
        <x:f>IF($C180="","",IF($AM180="Y",$S180="Y",TRUE))</x:f>
      </x:c>
      <x:c r="BE180" s="13">
        <x:f>IF($C180="","",IF($AN180="Y",$T180="Y",TRUE))</x:f>
      </x:c>
      <x:c r="BF180" s="13">
        <x:f>IF($C180="","",IF($AO180="",TRUE,IF($U180="",FALSE,$U180&lt;=$AO180)))</x:f>
      </x:c>
      <x:c r="BG180" s="13">
        <x:f>IF($C180="","",IF($AP180="",TRUE,IF($V180="",FALSE,$V180&lt;=$AP180)))</x:f>
      </x:c>
      <x:c r="BH180" s="13">
        <x:f>IF($C180="","",IF($AQ180="",TRUE,IF($W180="",FALSE,$W180&lt;=$AQ180)))</x:f>
      </x:c>
      <x:c r="BI180" s="13">
        <x:f>IF($C180="","",IF($AR180="",TRUE,IF($X180="",FALSE,$X180&lt;=$AR180)))</x:f>
      </x:c>
      <x:c r="BJ180" s="15">
        <x:f>IF($C180="","",IF($Y180="",0,$Y180)+IF($AS180,10,0)+IF($AT180,8,0)+IF($AU180,5,0)+IF($AV180,8,0)+IF($AW180,15,0)+IF($AX180,4,0)+IF($AY180,5,0)+IF($AZ180,10,0)+IF($BA180,8,0)+IF($BB180,4,0)+IF($BC180,6,0)+IF($BD180,3,0)+IF($BE180,2,0)+IF($BF180,2,0)+IF($BG180,2,0)+IF($BH180,2,0)+IF($BI180,1,0))</x:f>
      </x:c>
      <x:c r="BK180" s="15">
        <x:f>IF($C180="","",IF(NOT($AS180),1,0)+IF(NOT($AW180),1,0)+IF(NOT($AZ180),1,0)+IF(NOT($BA180),1,0)+IF(NOT($BB180),1,0)+IF(NOT($BC180),1,0))</x:f>
      </x:c>
      <x:c r="BL180" s="13">
        <x:f>IF($C180="","",IF($BK180&gt;0,"REJECT",IF(COUNTIF($AS180:$BI180,FALSE)=0,"ACCEPT",IF($BJ180&gt;=85,"ACCEPT WITH SORTING / DISCOUNT","REJECT"))))</x:f>
      </x:c>
    </x:row>
    <x:row r="181" ht="24" customHeight="1">
      <x:c r="A181" s="10" t="n"/>
      <x:c r="B181" s="11" t="n"/>
      <x:c r="C181" s="11" t="n"/>
      <x:c r="D181" s="11" t="n"/>
      <x:c r="E181" s="11" t="n"/>
      <x:c r="F181" s="11" t="n"/>
      <x:c r="G181" s="11" t="n"/>
      <x:c r="H181" s="11" t="n"/>
      <x:c r="I181" s="12" t="n"/>
      <x:c r="J181" s="12" t="n"/>
      <x:c r="K181" s="12" t="n"/>
      <x:c r="L181" s="12" t="n"/>
      <x:c r="M181" s="12" t="n"/>
      <x:c r="N181" s="12" t="n"/>
      <x:c r="O181" s="12" t="n"/>
      <x:c r="P181" s="11" t="n"/>
      <x:c r="Q181" s="11" t="n"/>
      <x:c r="R181" s="11" t="n"/>
      <x:c r="S181" s="11" t="n"/>
      <x:c r="T181" s="11" t="n"/>
      <x:c r="U181" s="12" t="n"/>
      <x:c r="V181" s="12" t="n"/>
      <x:c r="W181" s="12" t="n"/>
      <x:c r="X181" s="12" t="n"/>
      <x:c r="Y181" s="12" t="n"/>
      <x:c r="Z181" s="13">
        <x:f>IF($C181="","",VLOOKUP($C181,Config!$A$2:$Y$4,2,FALSE))</x:f>
      </x:c>
      <x:c r="AA181" s="13">
        <x:f>IF($C181="","",VLOOKUP($C181,Config!$A$2:$Y$4,5,FALSE))</x:f>
      </x:c>
      <x:c r="AB181" s="14">
        <x:f>IF($C181="","",VLOOKUP($C181,Config!$A$2:$Y$4,7,FALSE))</x:f>
      </x:c>
      <x:c r="AC181" s="14">
        <x:f>IF($C181="","",VLOOKUP($C181,Config!$A$2:$Y$4,8,FALSE))</x:f>
      </x:c>
      <x:c r="AD181" s="14">
        <x:f>IF($C181="","",VLOOKUP($C181,Config!$A$2:$Y$4,9,FALSE))</x:f>
      </x:c>
      <x:c r="AE181" s="14">
        <x:f>IF($C181="","",VLOOKUP($C181,Config!$A$2:$Y$4,10,FALSE))</x:f>
      </x:c>
      <x:c r="AF181" s="14">
        <x:f>IF($C181="","",VLOOKUP($C181,Config!$A$2:$Y$4,11,FALSE))</x:f>
      </x:c>
      <x:c r="AG181" s="14">
        <x:f>IF($C181="","",VLOOKUP($C181,Config!$A$2:$Y$4,12,FALSE))</x:f>
      </x:c>
      <x:c r="AH181" s="14">
        <x:f>IF($C181="","",VLOOKUP($C181,Config!$A$2:$Y$4,13,FALSE))</x:f>
      </x:c>
      <x:c r="AI181" s="14">
        <x:f>IF($C181="","",VLOOKUP($C181,Config!$A$2:$Y$4,14,FALSE))</x:f>
      </x:c>
      <x:c r="AJ181" s="14">
        <x:f>IF($C181="","",VLOOKUP($C181,Config!$A$2:$Y$4,15,FALSE))</x:f>
      </x:c>
      <x:c r="AK181" s="14">
        <x:f>IF($C181="","",VLOOKUP($C181,Config!$A$2:$Y$4,16,FALSE))</x:f>
      </x:c>
      <x:c r="AL181" s="14">
        <x:f>IF($C181="","",VLOOKUP($C181,Config!$A$2:$Y$4,17,FALSE))</x:f>
      </x:c>
      <x:c r="AM181" s="14">
        <x:f>IF($C181="","",VLOOKUP($C181,Config!$A$2:$Y$4,18,FALSE))</x:f>
      </x:c>
      <x:c r="AN181" s="14">
        <x:f>IF($C181="","",VLOOKUP($C181,Config!$A$2:$Y$4,19,FALSE))</x:f>
      </x:c>
      <x:c r="AO181" s="14">
        <x:f>IF($C181="","",VLOOKUP($C181,Config!$A$2:$Y$4,20,FALSE))</x:f>
      </x:c>
      <x:c r="AP181" s="14">
        <x:f>IF($C181="","",VLOOKUP($C181,Config!$A$2:$Y$4,21,FALSE))</x:f>
      </x:c>
      <x:c r="AQ181" s="14">
        <x:f>IF($C181="","",VLOOKUP($C181,Config!$A$2:$Y$4,22,FALSE))</x:f>
      </x:c>
      <x:c r="AR181" s="14">
        <x:f>IF($C181="","",VLOOKUP($C181,Config!$A$2:$Y$4,23,FALSE))</x:f>
      </x:c>
      <x:c r="AS181" s="13">
        <x:f>IF($C181="","",IF($H181="Extra",3,IF($H181="I",2,IF($H181="II",1,0)))&gt;=IF($AA181="Extra",3,IF($AA181="I",2,IF($AA181="II",1,0))))</x:f>
      </x:c>
      <x:c r="AT181" s="13">
        <x:f>IF($C181="","",IF($I181="",FALSE,$I181&gt;=$AB181))</x:f>
      </x:c>
      <x:c r="AU181" s="13">
        <x:f>IF($C181="","",IF($AC181="",TRUE,IF($J181="",FALSE,$J181&lt;=$AC181)))</x:f>
      </x:c>
      <x:c r="AV181" s="13">
        <x:f>IF($C181="","",IF($AD181="",TRUE,IF($K181="",FALSE,$K181&lt;=$AD181)))</x:f>
      </x:c>
      <x:c r="AW181" s="13">
        <x:f>IF($C181="","",IF($AE181="",TRUE,IF($L181="",FALSE,$L181&lt;=$AE181)))</x:f>
      </x:c>
      <x:c r="AX181" s="13">
        <x:f>IF($C181="","",IF($AF181="",TRUE,IF($M181="",FALSE,$M181&lt;=$AF181)))</x:f>
      </x:c>
      <x:c r="AY181" s="13">
        <x:f>IF($C181="","",IF($AG181="",TRUE,IF($N181="",FALSE,$N181&gt;=$AG181)))</x:f>
      </x:c>
      <x:c r="AZ181" s="13">
        <x:f>IF($C181="","",IF(OR($AH181="",$AI181=""),TRUE,IF($O181="",FALSE,AND($O181&gt;=$AH181,$O181&lt;=$AI181))))</x:f>
      </x:c>
      <x:c r="BA181" s="13">
        <x:f>IF($C181="","",IF($AJ181="Y",$P181="Y",TRUE))</x:f>
      </x:c>
      <x:c r="BB181" s="13">
        <x:f>IF($C181="","",IF($AK181="Y",$Q181="Y",TRUE))</x:f>
      </x:c>
      <x:c r="BC181" s="13">
        <x:f>IF($C181="","",IF($AL181="Y",$R181="Y",TRUE))</x:f>
      </x:c>
      <x:c r="BD181" s="13">
        <x:f>IF($C181="","",IF($AM181="Y",$S181="Y",TRUE))</x:f>
      </x:c>
      <x:c r="BE181" s="13">
        <x:f>IF($C181="","",IF($AN181="Y",$T181="Y",TRUE))</x:f>
      </x:c>
      <x:c r="BF181" s="13">
        <x:f>IF($C181="","",IF($AO181="",TRUE,IF($U181="",FALSE,$U181&lt;=$AO181)))</x:f>
      </x:c>
      <x:c r="BG181" s="13">
        <x:f>IF($C181="","",IF($AP181="",TRUE,IF($V181="",FALSE,$V181&lt;=$AP181)))</x:f>
      </x:c>
      <x:c r="BH181" s="13">
        <x:f>IF($C181="","",IF($AQ181="",TRUE,IF($W181="",FALSE,$W181&lt;=$AQ181)))</x:f>
      </x:c>
      <x:c r="BI181" s="13">
        <x:f>IF($C181="","",IF($AR181="",TRUE,IF($X181="",FALSE,$X181&lt;=$AR181)))</x:f>
      </x:c>
      <x:c r="BJ181" s="15">
        <x:f>IF($C181="","",IF($Y181="",0,$Y181)+IF($AS181,10,0)+IF($AT181,8,0)+IF($AU181,5,0)+IF($AV181,8,0)+IF($AW181,15,0)+IF($AX181,4,0)+IF($AY181,5,0)+IF($AZ181,10,0)+IF($BA181,8,0)+IF($BB181,4,0)+IF($BC181,6,0)+IF($BD181,3,0)+IF($BE181,2,0)+IF($BF181,2,0)+IF($BG181,2,0)+IF($BH181,2,0)+IF($BI181,1,0))</x:f>
      </x:c>
      <x:c r="BK181" s="15">
        <x:f>IF($C181="","",IF(NOT($AS181),1,0)+IF(NOT($AW181),1,0)+IF(NOT($AZ181),1,0)+IF(NOT($BA181),1,0)+IF(NOT($BB181),1,0)+IF(NOT($BC181),1,0))</x:f>
      </x:c>
      <x:c r="BL181" s="13">
        <x:f>IF($C181="","",IF($BK181&gt;0,"REJECT",IF(COUNTIF($AS181:$BI181,FALSE)=0,"ACCEPT",IF($BJ181&gt;=85,"ACCEPT WITH SORTING / DISCOUNT","REJECT"))))</x:f>
      </x:c>
    </x:row>
    <x:row r="182" ht="24" customHeight="1">
      <x:c r="A182" s="10" t="n"/>
      <x:c r="B182" s="11" t="n"/>
      <x:c r="C182" s="11" t="n"/>
      <x:c r="D182" s="11" t="n"/>
      <x:c r="E182" s="11" t="n"/>
      <x:c r="F182" s="11" t="n"/>
      <x:c r="G182" s="11" t="n"/>
      <x:c r="H182" s="11" t="n"/>
      <x:c r="I182" s="12" t="n"/>
      <x:c r="J182" s="12" t="n"/>
      <x:c r="K182" s="12" t="n"/>
      <x:c r="L182" s="12" t="n"/>
      <x:c r="M182" s="12" t="n"/>
      <x:c r="N182" s="12" t="n"/>
      <x:c r="O182" s="12" t="n"/>
      <x:c r="P182" s="11" t="n"/>
      <x:c r="Q182" s="11" t="n"/>
      <x:c r="R182" s="11" t="n"/>
      <x:c r="S182" s="11" t="n"/>
      <x:c r="T182" s="11" t="n"/>
      <x:c r="U182" s="12" t="n"/>
      <x:c r="V182" s="12" t="n"/>
      <x:c r="W182" s="12" t="n"/>
      <x:c r="X182" s="12" t="n"/>
      <x:c r="Y182" s="12" t="n"/>
      <x:c r="Z182" s="13">
        <x:f>IF($C182="","",VLOOKUP($C182,Config!$A$2:$Y$4,2,FALSE))</x:f>
      </x:c>
      <x:c r="AA182" s="13">
        <x:f>IF($C182="","",VLOOKUP($C182,Config!$A$2:$Y$4,5,FALSE))</x:f>
      </x:c>
      <x:c r="AB182" s="14">
        <x:f>IF($C182="","",VLOOKUP($C182,Config!$A$2:$Y$4,7,FALSE))</x:f>
      </x:c>
      <x:c r="AC182" s="14">
        <x:f>IF($C182="","",VLOOKUP($C182,Config!$A$2:$Y$4,8,FALSE))</x:f>
      </x:c>
      <x:c r="AD182" s="14">
        <x:f>IF($C182="","",VLOOKUP($C182,Config!$A$2:$Y$4,9,FALSE))</x:f>
      </x:c>
      <x:c r="AE182" s="14">
        <x:f>IF($C182="","",VLOOKUP($C182,Config!$A$2:$Y$4,10,FALSE))</x:f>
      </x:c>
      <x:c r="AF182" s="14">
        <x:f>IF($C182="","",VLOOKUP($C182,Config!$A$2:$Y$4,11,FALSE))</x:f>
      </x:c>
      <x:c r="AG182" s="14">
        <x:f>IF($C182="","",VLOOKUP($C182,Config!$A$2:$Y$4,12,FALSE))</x:f>
      </x:c>
      <x:c r="AH182" s="14">
        <x:f>IF($C182="","",VLOOKUP($C182,Config!$A$2:$Y$4,13,FALSE))</x:f>
      </x:c>
      <x:c r="AI182" s="14">
        <x:f>IF($C182="","",VLOOKUP($C182,Config!$A$2:$Y$4,14,FALSE))</x:f>
      </x:c>
      <x:c r="AJ182" s="14">
        <x:f>IF($C182="","",VLOOKUP($C182,Config!$A$2:$Y$4,15,FALSE))</x:f>
      </x:c>
      <x:c r="AK182" s="14">
        <x:f>IF($C182="","",VLOOKUP($C182,Config!$A$2:$Y$4,16,FALSE))</x:f>
      </x:c>
      <x:c r="AL182" s="14">
        <x:f>IF($C182="","",VLOOKUP($C182,Config!$A$2:$Y$4,17,FALSE))</x:f>
      </x:c>
      <x:c r="AM182" s="14">
        <x:f>IF($C182="","",VLOOKUP($C182,Config!$A$2:$Y$4,18,FALSE))</x:f>
      </x:c>
      <x:c r="AN182" s="14">
        <x:f>IF($C182="","",VLOOKUP($C182,Config!$A$2:$Y$4,19,FALSE))</x:f>
      </x:c>
      <x:c r="AO182" s="14">
        <x:f>IF($C182="","",VLOOKUP($C182,Config!$A$2:$Y$4,20,FALSE))</x:f>
      </x:c>
      <x:c r="AP182" s="14">
        <x:f>IF($C182="","",VLOOKUP($C182,Config!$A$2:$Y$4,21,FALSE))</x:f>
      </x:c>
      <x:c r="AQ182" s="14">
        <x:f>IF($C182="","",VLOOKUP($C182,Config!$A$2:$Y$4,22,FALSE))</x:f>
      </x:c>
      <x:c r="AR182" s="14">
        <x:f>IF($C182="","",VLOOKUP($C182,Config!$A$2:$Y$4,23,FALSE))</x:f>
      </x:c>
      <x:c r="AS182" s="13">
        <x:f>IF($C182="","",IF($H182="Extra",3,IF($H182="I",2,IF($H182="II",1,0)))&gt;=IF($AA182="Extra",3,IF($AA182="I",2,IF($AA182="II",1,0))))</x:f>
      </x:c>
      <x:c r="AT182" s="13">
        <x:f>IF($C182="","",IF($I182="",FALSE,$I182&gt;=$AB182))</x:f>
      </x:c>
      <x:c r="AU182" s="13">
        <x:f>IF($C182="","",IF($AC182="",TRUE,IF($J182="",FALSE,$J182&lt;=$AC182)))</x:f>
      </x:c>
      <x:c r="AV182" s="13">
        <x:f>IF($C182="","",IF($AD182="",TRUE,IF($K182="",FALSE,$K182&lt;=$AD182)))</x:f>
      </x:c>
      <x:c r="AW182" s="13">
        <x:f>IF($C182="","",IF($AE182="",TRUE,IF($L182="",FALSE,$L182&lt;=$AE182)))</x:f>
      </x:c>
      <x:c r="AX182" s="13">
        <x:f>IF($C182="","",IF($AF182="",TRUE,IF($M182="",FALSE,$M182&lt;=$AF182)))</x:f>
      </x:c>
      <x:c r="AY182" s="13">
        <x:f>IF($C182="","",IF($AG182="",TRUE,IF($N182="",FALSE,$N182&gt;=$AG182)))</x:f>
      </x:c>
      <x:c r="AZ182" s="13">
        <x:f>IF($C182="","",IF(OR($AH182="",$AI182=""),TRUE,IF($O182="",FALSE,AND($O182&gt;=$AH182,$O182&lt;=$AI182))))</x:f>
      </x:c>
      <x:c r="BA182" s="13">
        <x:f>IF($C182="","",IF($AJ182="Y",$P182="Y",TRUE))</x:f>
      </x:c>
      <x:c r="BB182" s="13">
        <x:f>IF($C182="","",IF($AK182="Y",$Q182="Y",TRUE))</x:f>
      </x:c>
      <x:c r="BC182" s="13">
        <x:f>IF($C182="","",IF($AL182="Y",$R182="Y",TRUE))</x:f>
      </x:c>
      <x:c r="BD182" s="13">
        <x:f>IF($C182="","",IF($AM182="Y",$S182="Y",TRUE))</x:f>
      </x:c>
      <x:c r="BE182" s="13">
        <x:f>IF($C182="","",IF($AN182="Y",$T182="Y",TRUE))</x:f>
      </x:c>
      <x:c r="BF182" s="13">
        <x:f>IF($C182="","",IF($AO182="",TRUE,IF($U182="",FALSE,$U182&lt;=$AO182)))</x:f>
      </x:c>
      <x:c r="BG182" s="13">
        <x:f>IF($C182="","",IF($AP182="",TRUE,IF($V182="",FALSE,$V182&lt;=$AP182)))</x:f>
      </x:c>
      <x:c r="BH182" s="13">
        <x:f>IF($C182="","",IF($AQ182="",TRUE,IF($W182="",FALSE,$W182&lt;=$AQ182)))</x:f>
      </x:c>
      <x:c r="BI182" s="13">
        <x:f>IF($C182="","",IF($AR182="",TRUE,IF($X182="",FALSE,$X182&lt;=$AR182)))</x:f>
      </x:c>
      <x:c r="BJ182" s="15">
        <x:f>IF($C182="","",IF($Y182="",0,$Y182)+IF($AS182,10,0)+IF($AT182,8,0)+IF($AU182,5,0)+IF($AV182,8,0)+IF($AW182,15,0)+IF($AX182,4,0)+IF($AY182,5,0)+IF($AZ182,10,0)+IF($BA182,8,0)+IF($BB182,4,0)+IF($BC182,6,0)+IF($BD182,3,0)+IF($BE182,2,0)+IF($BF182,2,0)+IF($BG182,2,0)+IF($BH182,2,0)+IF($BI182,1,0))</x:f>
      </x:c>
      <x:c r="BK182" s="15">
        <x:f>IF($C182="","",IF(NOT($AS182),1,0)+IF(NOT($AW182),1,0)+IF(NOT($AZ182),1,0)+IF(NOT($BA182),1,0)+IF(NOT($BB182),1,0)+IF(NOT($BC182),1,0))</x:f>
      </x:c>
      <x:c r="BL182" s="13">
        <x:f>IF($C182="","",IF($BK182&gt;0,"REJECT",IF(COUNTIF($AS182:$BI182,FALSE)=0,"ACCEPT",IF($BJ182&gt;=85,"ACCEPT WITH SORTING / DISCOUNT","REJECT"))))</x:f>
      </x:c>
    </x:row>
    <x:row r="183" ht="24" customHeight="1">
      <x:c r="A183" s="10" t="n"/>
      <x:c r="B183" s="11" t="n"/>
      <x:c r="C183" s="11" t="n"/>
      <x:c r="D183" s="11" t="n"/>
      <x:c r="E183" s="11" t="n"/>
      <x:c r="F183" s="11" t="n"/>
      <x:c r="G183" s="11" t="n"/>
      <x:c r="H183" s="11" t="n"/>
      <x:c r="I183" s="12" t="n"/>
      <x:c r="J183" s="12" t="n"/>
      <x:c r="K183" s="12" t="n"/>
      <x:c r="L183" s="12" t="n"/>
      <x:c r="M183" s="12" t="n"/>
      <x:c r="N183" s="12" t="n"/>
      <x:c r="O183" s="12" t="n"/>
      <x:c r="P183" s="11" t="n"/>
      <x:c r="Q183" s="11" t="n"/>
      <x:c r="R183" s="11" t="n"/>
      <x:c r="S183" s="11" t="n"/>
      <x:c r="T183" s="11" t="n"/>
      <x:c r="U183" s="12" t="n"/>
      <x:c r="V183" s="12" t="n"/>
      <x:c r="W183" s="12" t="n"/>
      <x:c r="X183" s="12" t="n"/>
      <x:c r="Y183" s="12" t="n"/>
      <x:c r="Z183" s="13">
        <x:f>IF($C183="","",VLOOKUP($C183,Config!$A$2:$Y$4,2,FALSE))</x:f>
      </x:c>
      <x:c r="AA183" s="13">
        <x:f>IF($C183="","",VLOOKUP($C183,Config!$A$2:$Y$4,5,FALSE))</x:f>
      </x:c>
      <x:c r="AB183" s="14">
        <x:f>IF($C183="","",VLOOKUP($C183,Config!$A$2:$Y$4,7,FALSE))</x:f>
      </x:c>
      <x:c r="AC183" s="14">
        <x:f>IF($C183="","",VLOOKUP($C183,Config!$A$2:$Y$4,8,FALSE))</x:f>
      </x:c>
      <x:c r="AD183" s="14">
        <x:f>IF($C183="","",VLOOKUP($C183,Config!$A$2:$Y$4,9,FALSE))</x:f>
      </x:c>
      <x:c r="AE183" s="14">
        <x:f>IF($C183="","",VLOOKUP($C183,Config!$A$2:$Y$4,10,FALSE))</x:f>
      </x:c>
      <x:c r="AF183" s="14">
        <x:f>IF($C183="","",VLOOKUP($C183,Config!$A$2:$Y$4,11,FALSE))</x:f>
      </x:c>
      <x:c r="AG183" s="14">
        <x:f>IF($C183="","",VLOOKUP($C183,Config!$A$2:$Y$4,12,FALSE))</x:f>
      </x:c>
      <x:c r="AH183" s="14">
        <x:f>IF($C183="","",VLOOKUP($C183,Config!$A$2:$Y$4,13,FALSE))</x:f>
      </x:c>
      <x:c r="AI183" s="14">
        <x:f>IF($C183="","",VLOOKUP($C183,Config!$A$2:$Y$4,14,FALSE))</x:f>
      </x:c>
      <x:c r="AJ183" s="14">
        <x:f>IF($C183="","",VLOOKUP($C183,Config!$A$2:$Y$4,15,FALSE))</x:f>
      </x:c>
      <x:c r="AK183" s="14">
        <x:f>IF($C183="","",VLOOKUP($C183,Config!$A$2:$Y$4,16,FALSE))</x:f>
      </x:c>
      <x:c r="AL183" s="14">
        <x:f>IF($C183="","",VLOOKUP($C183,Config!$A$2:$Y$4,17,FALSE))</x:f>
      </x:c>
      <x:c r="AM183" s="14">
        <x:f>IF($C183="","",VLOOKUP($C183,Config!$A$2:$Y$4,18,FALSE))</x:f>
      </x:c>
      <x:c r="AN183" s="14">
        <x:f>IF($C183="","",VLOOKUP($C183,Config!$A$2:$Y$4,19,FALSE))</x:f>
      </x:c>
      <x:c r="AO183" s="14">
        <x:f>IF($C183="","",VLOOKUP($C183,Config!$A$2:$Y$4,20,FALSE))</x:f>
      </x:c>
      <x:c r="AP183" s="14">
        <x:f>IF($C183="","",VLOOKUP($C183,Config!$A$2:$Y$4,21,FALSE))</x:f>
      </x:c>
      <x:c r="AQ183" s="14">
        <x:f>IF($C183="","",VLOOKUP($C183,Config!$A$2:$Y$4,22,FALSE))</x:f>
      </x:c>
      <x:c r="AR183" s="14">
        <x:f>IF($C183="","",VLOOKUP($C183,Config!$A$2:$Y$4,23,FALSE))</x:f>
      </x:c>
      <x:c r="AS183" s="13">
        <x:f>IF($C183="","",IF($H183="Extra",3,IF($H183="I",2,IF($H183="II",1,0)))&gt;=IF($AA183="Extra",3,IF($AA183="I",2,IF($AA183="II",1,0))))</x:f>
      </x:c>
      <x:c r="AT183" s="13">
        <x:f>IF($C183="","",IF($I183="",FALSE,$I183&gt;=$AB183))</x:f>
      </x:c>
      <x:c r="AU183" s="13">
        <x:f>IF($C183="","",IF($AC183="",TRUE,IF($J183="",FALSE,$J183&lt;=$AC183)))</x:f>
      </x:c>
      <x:c r="AV183" s="13">
        <x:f>IF($C183="","",IF($AD183="",TRUE,IF($K183="",FALSE,$K183&lt;=$AD183)))</x:f>
      </x:c>
      <x:c r="AW183" s="13">
        <x:f>IF($C183="","",IF($AE183="",TRUE,IF($L183="",FALSE,$L183&lt;=$AE183)))</x:f>
      </x:c>
      <x:c r="AX183" s="13">
        <x:f>IF($C183="","",IF($AF183="",TRUE,IF($M183="",FALSE,$M183&lt;=$AF183)))</x:f>
      </x:c>
      <x:c r="AY183" s="13">
        <x:f>IF($C183="","",IF($AG183="",TRUE,IF($N183="",FALSE,$N183&gt;=$AG183)))</x:f>
      </x:c>
      <x:c r="AZ183" s="13">
        <x:f>IF($C183="","",IF(OR($AH183="",$AI183=""),TRUE,IF($O183="",FALSE,AND($O183&gt;=$AH183,$O183&lt;=$AI183))))</x:f>
      </x:c>
      <x:c r="BA183" s="13">
        <x:f>IF($C183="","",IF($AJ183="Y",$P183="Y",TRUE))</x:f>
      </x:c>
      <x:c r="BB183" s="13">
        <x:f>IF($C183="","",IF($AK183="Y",$Q183="Y",TRUE))</x:f>
      </x:c>
      <x:c r="BC183" s="13">
        <x:f>IF($C183="","",IF($AL183="Y",$R183="Y",TRUE))</x:f>
      </x:c>
      <x:c r="BD183" s="13">
        <x:f>IF($C183="","",IF($AM183="Y",$S183="Y",TRUE))</x:f>
      </x:c>
      <x:c r="BE183" s="13">
        <x:f>IF($C183="","",IF($AN183="Y",$T183="Y",TRUE))</x:f>
      </x:c>
      <x:c r="BF183" s="13">
        <x:f>IF($C183="","",IF($AO183="",TRUE,IF($U183="",FALSE,$U183&lt;=$AO183)))</x:f>
      </x:c>
      <x:c r="BG183" s="13">
        <x:f>IF($C183="","",IF($AP183="",TRUE,IF($V183="",FALSE,$V183&lt;=$AP183)))</x:f>
      </x:c>
      <x:c r="BH183" s="13">
        <x:f>IF($C183="","",IF($AQ183="",TRUE,IF($W183="",FALSE,$W183&lt;=$AQ183)))</x:f>
      </x:c>
      <x:c r="BI183" s="13">
        <x:f>IF($C183="","",IF($AR183="",TRUE,IF($X183="",FALSE,$X183&lt;=$AR183)))</x:f>
      </x:c>
      <x:c r="BJ183" s="15">
        <x:f>IF($C183="","",IF($Y183="",0,$Y183)+IF($AS183,10,0)+IF($AT183,8,0)+IF($AU183,5,0)+IF($AV183,8,0)+IF($AW183,15,0)+IF($AX183,4,0)+IF($AY183,5,0)+IF($AZ183,10,0)+IF($BA183,8,0)+IF($BB183,4,0)+IF($BC183,6,0)+IF($BD183,3,0)+IF($BE183,2,0)+IF($BF183,2,0)+IF($BG183,2,0)+IF($BH183,2,0)+IF($BI183,1,0))</x:f>
      </x:c>
      <x:c r="BK183" s="15">
        <x:f>IF($C183="","",IF(NOT($AS183),1,0)+IF(NOT($AW183),1,0)+IF(NOT($AZ183),1,0)+IF(NOT($BA183),1,0)+IF(NOT($BB183),1,0)+IF(NOT($BC183),1,0))</x:f>
      </x:c>
      <x:c r="BL183" s="13">
        <x:f>IF($C183="","",IF($BK183&gt;0,"REJECT",IF(COUNTIF($AS183:$BI183,FALSE)=0,"ACCEPT",IF($BJ183&gt;=85,"ACCEPT WITH SORTING / DISCOUNT","REJECT"))))</x:f>
      </x:c>
    </x:row>
    <x:row r="184" ht="24" customHeight="1">
      <x:c r="A184" s="10" t="n"/>
      <x:c r="B184" s="11" t="n"/>
      <x:c r="C184" s="11" t="n"/>
      <x:c r="D184" s="11" t="n"/>
      <x:c r="E184" s="11" t="n"/>
      <x:c r="F184" s="11" t="n"/>
      <x:c r="G184" s="11" t="n"/>
      <x:c r="H184" s="11" t="n"/>
      <x:c r="I184" s="12" t="n"/>
      <x:c r="J184" s="12" t="n"/>
      <x:c r="K184" s="12" t="n"/>
      <x:c r="L184" s="12" t="n"/>
      <x:c r="M184" s="12" t="n"/>
      <x:c r="N184" s="12" t="n"/>
      <x:c r="O184" s="12" t="n"/>
      <x:c r="P184" s="11" t="n"/>
      <x:c r="Q184" s="11" t="n"/>
      <x:c r="R184" s="11" t="n"/>
      <x:c r="S184" s="11" t="n"/>
      <x:c r="T184" s="11" t="n"/>
      <x:c r="U184" s="12" t="n"/>
      <x:c r="V184" s="12" t="n"/>
      <x:c r="W184" s="12" t="n"/>
      <x:c r="X184" s="12" t="n"/>
      <x:c r="Y184" s="12" t="n"/>
      <x:c r="Z184" s="13">
        <x:f>IF($C184="","",VLOOKUP($C184,Config!$A$2:$Y$4,2,FALSE))</x:f>
      </x:c>
      <x:c r="AA184" s="13">
        <x:f>IF($C184="","",VLOOKUP($C184,Config!$A$2:$Y$4,5,FALSE))</x:f>
      </x:c>
      <x:c r="AB184" s="14">
        <x:f>IF($C184="","",VLOOKUP($C184,Config!$A$2:$Y$4,7,FALSE))</x:f>
      </x:c>
      <x:c r="AC184" s="14">
        <x:f>IF($C184="","",VLOOKUP($C184,Config!$A$2:$Y$4,8,FALSE))</x:f>
      </x:c>
      <x:c r="AD184" s="14">
        <x:f>IF($C184="","",VLOOKUP($C184,Config!$A$2:$Y$4,9,FALSE))</x:f>
      </x:c>
      <x:c r="AE184" s="14">
        <x:f>IF($C184="","",VLOOKUP($C184,Config!$A$2:$Y$4,10,FALSE))</x:f>
      </x:c>
      <x:c r="AF184" s="14">
        <x:f>IF($C184="","",VLOOKUP($C184,Config!$A$2:$Y$4,11,FALSE))</x:f>
      </x:c>
      <x:c r="AG184" s="14">
        <x:f>IF($C184="","",VLOOKUP($C184,Config!$A$2:$Y$4,12,FALSE))</x:f>
      </x:c>
      <x:c r="AH184" s="14">
        <x:f>IF($C184="","",VLOOKUP($C184,Config!$A$2:$Y$4,13,FALSE))</x:f>
      </x:c>
      <x:c r="AI184" s="14">
        <x:f>IF($C184="","",VLOOKUP($C184,Config!$A$2:$Y$4,14,FALSE))</x:f>
      </x:c>
      <x:c r="AJ184" s="14">
        <x:f>IF($C184="","",VLOOKUP($C184,Config!$A$2:$Y$4,15,FALSE))</x:f>
      </x:c>
      <x:c r="AK184" s="14">
        <x:f>IF($C184="","",VLOOKUP($C184,Config!$A$2:$Y$4,16,FALSE))</x:f>
      </x:c>
      <x:c r="AL184" s="14">
        <x:f>IF($C184="","",VLOOKUP($C184,Config!$A$2:$Y$4,17,FALSE))</x:f>
      </x:c>
      <x:c r="AM184" s="14">
        <x:f>IF($C184="","",VLOOKUP($C184,Config!$A$2:$Y$4,18,FALSE))</x:f>
      </x:c>
      <x:c r="AN184" s="14">
        <x:f>IF($C184="","",VLOOKUP($C184,Config!$A$2:$Y$4,19,FALSE))</x:f>
      </x:c>
      <x:c r="AO184" s="14">
        <x:f>IF($C184="","",VLOOKUP($C184,Config!$A$2:$Y$4,20,FALSE))</x:f>
      </x:c>
      <x:c r="AP184" s="14">
        <x:f>IF($C184="","",VLOOKUP($C184,Config!$A$2:$Y$4,21,FALSE))</x:f>
      </x:c>
      <x:c r="AQ184" s="14">
        <x:f>IF($C184="","",VLOOKUP($C184,Config!$A$2:$Y$4,22,FALSE))</x:f>
      </x:c>
      <x:c r="AR184" s="14">
        <x:f>IF($C184="","",VLOOKUP($C184,Config!$A$2:$Y$4,23,FALSE))</x:f>
      </x:c>
      <x:c r="AS184" s="13">
        <x:f>IF($C184="","",IF($H184="Extra",3,IF($H184="I",2,IF($H184="II",1,0)))&gt;=IF($AA184="Extra",3,IF($AA184="I",2,IF($AA184="II",1,0))))</x:f>
      </x:c>
      <x:c r="AT184" s="13">
        <x:f>IF($C184="","",IF($I184="",FALSE,$I184&gt;=$AB184))</x:f>
      </x:c>
      <x:c r="AU184" s="13">
        <x:f>IF($C184="","",IF($AC184="",TRUE,IF($J184="",FALSE,$J184&lt;=$AC184)))</x:f>
      </x:c>
      <x:c r="AV184" s="13">
        <x:f>IF($C184="","",IF($AD184="",TRUE,IF($K184="",FALSE,$K184&lt;=$AD184)))</x:f>
      </x:c>
      <x:c r="AW184" s="13">
        <x:f>IF($C184="","",IF($AE184="",TRUE,IF($L184="",FALSE,$L184&lt;=$AE184)))</x:f>
      </x:c>
      <x:c r="AX184" s="13">
        <x:f>IF($C184="","",IF($AF184="",TRUE,IF($M184="",FALSE,$M184&lt;=$AF184)))</x:f>
      </x:c>
      <x:c r="AY184" s="13">
        <x:f>IF($C184="","",IF($AG184="",TRUE,IF($N184="",FALSE,$N184&gt;=$AG184)))</x:f>
      </x:c>
      <x:c r="AZ184" s="13">
        <x:f>IF($C184="","",IF(OR($AH184="",$AI184=""),TRUE,IF($O184="",FALSE,AND($O184&gt;=$AH184,$O184&lt;=$AI184))))</x:f>
      </x:c>
      <x:c r="BA184" s="13">
        <x:f>IF($C184="","",IF($AJ184="Y",$P184="Y",TRUE))</x:f>
      </x:c>
      <x:c r="BB184" s="13">
        <x:f>IF($C184="","",IF($AK184="Y",$Q184="Y",TRUE))</x:f>
      </x:c>
      <x:c r="BC184" s="13">
        <x:f>IF($C184="","",IF($AL184="Y",$R184="Y",TRUE))</x:f>
      </x:c>
      <x:c r="BD184" s="13">
        <x:f>IF($C184="","",IF($AM184="Y",$S184="Y",TRUE))</x:f>
      </x:c>
      <x:c r="BE184" s="13">
        <x:f>IF($C184="","",IF($AN184="Y",$T184="Y",TRUE))</x:f>
      </x:c>
      <x:c r="BF184" s="13">
        <x:f>IF($C184="","",IF($AO184="",TRUE,IF($U184="",FALSE,$U184&lt;=$AO184)))</x:f>
      </x:c>
      <x:c r="BG184" s="13">
        <x:f>IF($C184="","",IF($AP184="",TRUE,IF($V184="",FALSE,$V184&lt;=$AP184)))</x:f>
      </x:c>
      <x:c r="BH184" s="13">
        <x:f>IF($C184="","",IF($AQ184="",TRUE,IF($W184="",FALSE,$W184&lt;=$AQ184)))</x:f>
      </x:c>
      <x:c r="BI184" s="13">
        <x:f>IF($C184="","",IF($AR184="",TRUE,IF($X184="",FALSE,$X184&lt;=$AR184)))</x:f>
      </x:c>
      <x:c r="BJ184" s="15">
        <x:f>IF($C184="","",IF($Y184="",0,$Y184)+IF($AS184,10,0)+IF($AT184,8,0)+IF($AU184,5,0)+IF($AV184,8,0)+IF($AW184,15,0)+IF($AX184,4,0)+IF($AY184,5,0)+IF($AZ184,10,0)+IF($BA184,8,0)+IF($BB184,4,0)+IF($BC184,6,0)+IF($BD184,3,0)+IF($BE184,2,0)+IF($BF184,2,0)+IF($BG184,2,0)+IF($BH184,2,0)+IF($BI184,1,0))</x:f>
      </x:c>
      <x:c r="BK184" s="15">
        <x:f>IF($C184="","",IF(NOT($AS184),1,0)+IF(NOT($AW184),1,0)+IF(NOT($AZ184),1,0)+IF(NOT($BA184),1,0)+IF(NOT($BB184),1,0)+IF(NOT($BC184),1,0))</x:f>
      </x:c>
      <x:c r="BL184" s="13">
        <x:f>IF($C184="","",IF($BK184&gt;0,"REJECT",IF(COUNTIF($AS184:$BI184,FALSE)=0,"ACCEPT",IF($BJ184&gt;=85,"ACCEPT WITH SORTING / DISCOUNT","REJECT"))))</x:f>
      </x:c>
    </x:row>
    <x:row r="185" ht="24" customHeight="1">
      <x:c r="A185" s="10" t="n"/>
      <x:c r="B185" s="11" t="n"/>
      <x:c r="C185" s="11" t="n"/>
      <x:c r="D185" s="11" t="n"/>
      <x:c r="E185" s="11" t="n"/>
      <x:c r="F185" s="11" t="n"/>
      <x:c r="G185" s="11" t="n"/>
      <x:c r="H185" s="11" t="n"/>
      <x:c r="I185" s="12" t="n"/>
      <x:c r="J185" s="12" t="n"/>
      <x:c r="K185" s="12" t="n"/>
      <x:c r="L185" s="12" t="n"/>
      <x:c r="M185" s="12" t="n"/>
      <x:c r="N185" s="12" t="n"/>
      <x:c r="O185" s="12" t="n"/>
      <x:c r="P185" s="11" t="n"/>
      <x:c r="Q185" s="11" t="n"/>
      <x:c r="R185" s="11" t="n"/>
      <x:c r="S185" s="11" t="n"/>
      <x:c r="T185" s="11" t="n"/>
      <x:c r="U185" s="12" t="n"/>
      <x:c r="V185" s="12" t="n"/>
      <x:c r="W185" s="12" t="n"/>
      <x:c r="X185" s="12" t="n"/>
      <x:c r="Y185" s="12" t="n"/>
      <x:c r="Z185" s="13">
        <x:f>IF($C185="","",VLOOKUP($C185,Config!$A$2:$Y$4,2,FALSE))</x:f>
      </x:c>
      <x:c r="AA185" s="13">
        <x:f>IF($C185="","",VLOOKUP($C185,Config!$A$2:$Y$4,5,FALSE))</x:f>
      </x:c>
      <x:c r="AB185" s="14">
        <x:f>IF($C185="","",VLOOKUP($C185,Config!$A$2:$Y$4,7,FALSE))</x:f>
      </x:c>
      <x:c r="AC185" s="14">
        <x:f>IF($C185="","",VLOOKUP($C185,Config!$A$2:$Y$4,8,FALSE))</x:f>
      </x:c>
      <x:c r="AD185" s="14">
        <x:f>IF($C185="","",VLOOKUP($C185,Config!$A$2:$Y$4,9,FALSE))</x:f>
      </x:c>
      <x:c r="AE185" s="14">
        <x:f>IF($C185="","",VLOOKUP($C185,Config!$A$2:$Y$4,10,FALSE))</x:f>
      </x:c>
      <x:c r="AF185" s="14">
        <x:f>IF($C185="","",VLOOKUP($C185,Config!$A$2:$Y$4,11,FALSE))</x:f>
      </x:c>
      <x:c r="AG185" s="14">
        <x:f>IF($C185="","",VLOOKUP($C185,Config!$A$2:$Y$4,12,FALSE))</x:f>
      </x:c>
      <x:c r="AH185" s="14">
        <x:f>IF($C185="","",VLOOKUP($C185,Config!$A$2:$Y$4,13,FALSE))</x:f>
      </x:c>
      <x:c r="AI185" s="14">
        <x:f>IF($C185="","",VLOOKUP($C185,Config!$A$2:$Y$4,14,FALSE))</x:f>
      </x:c>
      <x:c r="AJ185" s="14">
        <x:f>IF($C185="","",VLOOKUP($C185,Config!$A$2:$Y$4,15,FALSE))</x:f>
      </x:c>
      <x:c r="AK185" s="14">
        <x:f>IF($C185="","",VLOOKUP($C185,Config!$A$2:$Y$4,16,FALSE))</x:f>
      </x:c>
      <x:c r="AL185" s="14">
        <x:f>IF($C185="","",VLOOKUP($C185,Config!$A$2:$Y$4,17,FALSE))</x:f>
      </x:c>
      <x:c r="AM185" s="14">
        <x:f>IF($C185="","",VLOOKUP($C185,Config!$A$2:$Y$4,18,FALSE))</x:f>
      </x:c>
      <x:c r="AN185" s="14">
        <x:f>IF($C185="","",VLOOKUP($C185,Config!$A$2:$Y$4,19,FALSE))</x:f>
      </x:c>
      <x:c r="AO185" s="14">
        <x:f>IF($C185="","",VLOOKUP($C185,Config!$A$2:$Y$4,20,FALSE))</x:f>
      </x:c>
      <x:c r="AP185" s="14">
        <x:f>IF($C185="","",VLOOKUP($C185,Config!$A$2:$Y$4,21,FALSE))</x:f>
      </x:c>
      <x:c r="AQ185" s="14">
        <x:f>IF($C185="","",VLOOKUP($C185,Config!$A$2:$Y$4,22,FALSE))</x:f>
      </x:c>
      <x:c r="AR185" s="14">
        <x:f>IF($C185="","",VLOOKUP($C185,Config!$A$2:$Y$4,23,FALSE))</x:f>
      </x:c>
      <x:c r="AS185" s="13">
        <x:f>IF($C185="","",IF($H185="Extra",3,IF($H185="I",2,IF($H185="II",1,0)))&gt;=IF($AA185="Extra",3,IF($AA185="I",2,IF($AA185="II",1,0))))</x:f>
      </x:c>
      <x:c r="AT185" s="13">
        <x:f>IF($C185="","",IF($I185="",FALSE,$I185&gt;=$AB185))</x:f>
      </x:c>
      <x:c r="AU185" s="13">
        <x:f>IF($C185="","",IF($AC185="",TRUE,IF($J185="",FALSE,$J185&lt;=$AC185)))</x:f>
      </x:c>
      <x:c r="AV185" s="13">
        <x:f>IF($C185="","",IF($AD185="",TRUE,IF($K185="",FALSE,$K185&lt;=$AD185)))</x:f>
      </x:c>
      <x:c r="AW185" s="13">
        <x:f>IF($C185="","",IF($AE185="",TRUE,IF($L185="",FALSE,$L185&lt;=$AE185)))</x:f>
      </x:c>
      <x:c r="AX185" s="13">
        <x:f>IF($C185="","",IF($AF185="",TRUE,IF($M185="",FALSE,$M185&lt;=$AF185)))</x:f>
      </x:c>
      <x:c r="AY185" s="13">
        <x:f>IF($C185="","",IF($AG185="",TRUE,IF($N185="",FALSE,$N185&gt;=$AG185)))</x:f>
      </x:c>
      <x:c r="AZ185" s="13">
        <x:f>IF($C185="","",IF(OR($AH185="",$AI185=""),TRUE,IF($O185="",FALSE,AND($O185&gt;=$AH185,$O185&lt;=$AI185))))</x:f>
      </x:c>
      <x:c r="BA185" s="13">
        <x:f>IF($C185="","",IF($AJ185="Y",$P185="Y",TRUE))</x:f>
      </x:c>
      <x:c r="BB185" s="13">
        <x:f>IF($C185="","",IF($AK185="Y",$Q185="Y",TRUE))</x:f>
      </x:c>
      <x:c r="BC185" s="13">
        <x:f>IF($C185="","",IF($AL185="Y",$R185="Y",TRUE))</x:f>
      </x:c>
      <x:c r="BD185" s="13">
        <x:f>IF($C185="","",IF($AM185="Y",$S185="Y",TRUE))</x:f>
      </x:c>
      <x:c r="BE185" s="13">
        <x:f>IF($C185="","",IF($AN185="Y",$T185="Y",TRUE))</x:f>
      </x:c>
      <x:c r="BF185" s="13">
        <x:f>IF($C185="","",IF($AO185="",TRUE,IF($U185="",FALSE,$U185&lt;=$AO185)))</x:f>
      </x:c>
      <x:c r="BG185" s="13">
        <x:f>IF($C185="","",IF($AP185="",TRUE,IF($V185="",FALSE,$V185&lt;=$AP185)))</x:f>
      </x:c>
      <x:c r="BH185" s="13">
        <x:f>IF($C185="","",IF($AQ185="",TRUE,IF($W185="",FALSE,$W185&lt;=$AQ185)))</x:f>
      </x:c>
      <x:c r="BI185" s="13">
        <x:f>IF($C185="","",IF($AR185="",TRUE,IF($X185="",FALSE,$X185&lt;=$AR185)))</x:f>
      </x:c>
      <x:c r="BJ185" s="15">
        <x:f>IF($C185="","",IF($Y185="",0,$Y185)+IF($AS185,10,0)+IF($AT185,8,0)+IF($AU185,5,0)+IF($AV185,8,0)+IF($AW185,15,0)+IF($AX185,4,0)+IF($AY185,5,0)+IF($AZ185,10,0)+IF($BA185,8,0)+IF($BB185,4,0)+IF($BC185,6,0)+IF($BD185,3,0)+IF($BE185,2,0)+IF($BF185,2,0)+IF($BG185,2,0)+IF($BH185,2,0)+IF($BI185,1,0))</x:f>
      </x:c>
      <x:c r="BK185" s="15">
        <x:f>IF($C185="","",IF(NOT($AS185),1,0)+IF(NOT($AW185),1,0)+IF(NOT($AZ185),1,0)+IF(NOT($BA185),1,0)+IF(NOT($BB185),1,0)+IF(NOT($BC185),1,0))</x:f>
      </x:c>
      <x:c r="BL185" s="13">
        <x:f>IF($C185="","",IF($BK185&gt;0,"REJECT",IF(COUNTIF($AS185:$BI185,FALSE)=0,"ACCEPT",IF($BJ185&gt;=85,"ACCEPT WITH SORTING / DISCOUNT","REJECT"))))</x:f>
      </x:c>
    </x:row>
    <x:row r="186" ht="24" customHeight="1">
      <x:c r="A186" s="10" t="n"/>
      <x:c r="B186" s="11" t="n"/>
      <x:c r="C186" s="11" t="n"/>
      <x:c r="D186" s="11" t="n"/>
      <x:c r="E186" s="11" t="n"/>
      <x:c r="F186" s="11" t="n"/>
      <x:c r="G186" s="11" t="n"/>
      <x:c r="H186" s="11" t="n"/>
      <x:c r="I186" s="12" t="n"/>
      <x:c r="J186" s="12" t="n"/>
      <x:c r="K186" s="12" t="n"/>
      <x:c r="L186" s="12" t="n"/>
      <x:c r="M186" s="12" t="n"/>
      <x:c r="N186" s="12" t="n"/>
      <x:c r="O186" s="12" t="n"/>
      <x:c r="P186" s="11" t="n"/>
      <x:c r="Q186" s="11" t="n"/>
      <x:c r="R186" s="11" t="n"/>
      <x:c r="S186" s="11" t="n"/>
      <x:c r="T186" s="11" t="n"/>
      <x:c r="U186" s="12" t="n"/>
      <x:c r="V186" s="12" t="n"/>
      <x:c r="W186" s="12" t="n"/>
      <x:c r="X186" s="12" t="n"/>
      <x:c r="Y186" s="12" t="n"/>
      <x:c r="Z186" s="13">
        <x:f>IF($C186="","",VLOOKUP($C186,Config!$A$2:$Y$4,2,FALSE))</x:f>
      </x:c>
      <x:c r="AA186" s="13">
        <x:f>IF($C186="","",VLOOKUP($C186,Config!$A$2:$Y$4,5,FALSE))</x:f>
      </x:c>
      <x:c r="AB186" s="14">
        <x:f>IF($C186="","",VLOOKUP($C186,Config!$A$2:$Y$4,7,FALSE))</x:f>
      </x:c>
      <x:c r="AC186" s="14">
        <x:f>IF($C186="","",VLOOKUP($C186,Config!$A$2:$Y$4,8,FALSE))</x:f>
      </x:c>
      <x:c r="AD186" s="14">
        <x:f>IF($C186="","",VLOOKUP($C186,Config!$A$2:$Y$4,9,FALSE))</x:f>
      </x:c>
      <x:c r="AE186" s="14">
        <x:f>IF($C186="","",VLOOKUP($C186,Config!$A$2:$Y$4,10,FALSE))</x:f>
      </x:c>
      <x:c r="AF186" s="14">
        <x:f>IF($C186="","",VLOOKUP($C186,Config!$A$2:$Y$4,11,FALSE))</x:f>
      </x:c>
      <x:c r="AG186" s="14">
        <x:f>IF($C186="","",VLOOKUP($C186,Config!$A$2:$Y$4,12,FALSE))</x:f>
      </x:c>
      <x:c r="AH186" s="14">
        <x:f>IF($C186="","",VLOOKUP($C186,Config!$A$2:$Y$4,13,FALSE))</x:f>
      </x:c>
      <x:c r="AI186" s="14">
        <x:f>IF($C186="","",VLOOKUP($C186,Config!$A$2:$Y$4,14,FALSE))</x:f>
      </x:c>
      <x:c r="AJ186" s="14">
        <x:f>IF($C186="","",VLOOKUP($C186,Config!$A$2:$Y$4,15,FALSE))</x:f>
      </x:c>
      <x:c r="AK186" s="14">
        <x:f>IF($C186="","",VLOOKUP($C186,Config!$A$2:$Y$4,16,FALSE))</x:f>
      </x:c>
      <x:c r="AL186" s="14">
        <x:f>IF($C186="","",VLOOKUP($C186,Config!$A$2:$Y$4,17,FALSE))</x:f>
      </x:c>
      <x:c r="AM186" s="14">
        <x:f>IF($C186="","",VLOOKUP($C186,Config!$A$2:$Y$4,18,FALSE))</x:f>
      </x:c>
      <x:c r="AN186" s="14">
        <x:f>IF($C186="","",VLOOKUP($C186,Config!$A$2:$Y$4,19,FALSE))</x:f>
      </x:c>
      <x:c r="AO186" s="14">
        <x:f>IF($C186="","",VLOOKUP($C186,Config!$A$2:$Y$4,20,FALSE))</x:f>
      </x:c>
      <x:c r="AP186" s="14">
        <x:f>IF($C186="","",VLOOKUP($C186,Config!$A$2:$Y$4,21,FALSE))</x:f>
      </x:c>
      <x:c r="AQ186" s="14">
        <x:f>IF($C186="","",VLOOKUP($C186,Config!$A$2:$Y$4,22,FALSE))</x:f>
      </x:c>
      <x:c r="AR186" s="14">
        <x:f>IF($C186="","",VLOOKUP($C186,Config!$A$2:$Y$4,23,FALSE))</x:f>
      </x:c>
      <x:c r="AS186" s="13">
        <x:f>IF($C186="","",IF($H186="Extra",3,IF($H186="I",2,IF($H186="II",1,0)))&gt;=IF($AA186="Extra",3,IF($AA186="I",2,IF($AA186="II",1,0))))</x:f>
      </x:c>
      <x:c r="AT186" s="13">
        <x:f>IF($C186="","",IF($I186="",FALSE,$I186&gt;=$AB186))</x:f>
      </x:c>
      <x:c r="AU186" s="13">
        <x:f>IF($C186="","",IF($AC186="",TRUE,IF($J186="",FALSE,$J186&lt;=$AC186)))</x:f>
      </x:c>
      <x:c r="AV186" s="13">
        <x:f>IF($C186="","",IF($AD186="",TRUE,IF($K186="",FALSE,$K186&lt;=$AD186)))</x:f>
      </x:c>
      <x:c r="AW186" s="13">
        <x:f>IF($C186="","",IF($AE186="",TRUE,IF($L186="",FALSE,$L186&lt;=$AE186)))</x:f>
      </x:c>
      <x:c r="AX186" s="13">
        <x:f>IF($C186="","",IF($AF186="",TRUE,IF($M186="",FALSE,$M186&lt;=$AF186)))</x:f>
      </x:c>
      <x:c r="AY186" s="13">
        <x:f>IF($C186="","",IF($AG186="",TRUE,IF($N186="",FALSE,$N186&gt;=$AG186)))</x:f>
      </x:c>
      <x:c r="AZ186" s="13">
        <x:f>IF($C186="","",IF(OR($AH186="",$AI186=""),TRUE,IF($O186="",FALSE,AND($O186&gt;=$AH186,$O186&lt;=$AI186))))</x:f>
      </x:c>
      <x:c r="BA186" s="13">
        <x:f>IF($C186="","",IF($AJ186="Y",$P186="Y",TRUE))</x:f>
      </x:c>
      <x:c r="BB186" s="13">
        <x:f>IF($C186="","",IF($AK186="Y",$Q186="Y",TRUE))</x:f>
      </x:c>
      <x:c r="BC186" s="13">
        <x:f>IF($C186="","",IF($AL186="Y",$R186="Y",TRUE))</x:f>
      </x:c>
      <x:c r="BD186" s="13">
        <x:f>IF($C186="","",IF($AM186="Y",$S186="Y",TRUE))</x:f>
      </x:c>
      <x:c r="BE186" s="13">
        <x:f>IF($C186="","",IF($AN186="Y",$T186="Y",TRUE))</x:f>
      </x:c>
      <x:c r="BF186" s="13">
        <x:f>IF($C186="","",IF($AO186="",TRUE,IF($U186="",FALSE,$U186&lt;=$AO186)))</x:f>
      </x:c>
      <x:c r="BG186" s="13">
        <x:f>IF($C186="","",IF($AP186="",TRUE,IF($V186="",FALSE,$V186&lt;=$AP186)))</x:f>
      </x:c>
      <x:c r="BH186" s="13">
        <x:f>IF($C186="","",IF($AQ186="",TRUE,IF($W186="",FALSE,$W186&lt;=$AQ186)))</x:f>
      </x:c>
      <x:c r="BI186" s="13">
        <x:f>IF($C186="","",IF($AR186="",TRUE,IF($X186="",FALSE,$X186&lt;=$AR186)))</x:f>
      </x:c>
      <x:c r="BJ186" s="15">
        <x:f>IF($C186="","",IF($Y186="",0,$Y186)+IF($AS186,10,0)+IF($AT186,8,0)+IF($AU186,5,0)+IF($AV186,8,0)+IF($AW186,15,0)+IF($AX186,4,0)+IF($AY186,5,0)+IF($AZ186,10,0)+IF($BA186,8,0)+IF($BB186,4,0)+IF($BC186,6,0)+IF($BD186,3,0)+IF($BE186,2,0)+IF($BF186,2,0)+IF($BG186,2,0)+IF($BH186,2,0)+IF($BI186,1,0))</x:f>
      </x:c>
      <x:c r="BK186" s="15">
        <x:f>IF($C186="","",IF(NOT($AS186),1,0)+IF(NOT($AW186),1,0)+IF(NOT($AZ186),1,0)+IF(NOT($BA186),1,0)+IF(NOT($BB186),1,0)+IF(NOT($BC186),1,0))</x:f>
      </x:c>
      <x:c r="BL186" s="13">
        <x:f>IF($C186="","",IF($BK186&gt;0,"REJECT",IF(COUNTIF($AS186:$BI186,FALSE)=0,"ACCEPT",IF($BJ186&gt;=85,"ACCEPT WITH SORTING / DISCOUNT","REJECT"))))</x:f>
      </x:c>
    </x:row>
    <x:row r="187" ht="24" customHeight="1">
      <x:c r="A187" s="10" t="n"/>
      <x:c r="B187" s="11" t="n"/>
      <x:c r="C187" s="11" t="n"/>
      <x:c r="D187" s="11" t="n"/>
      <x:c r="E187" s="11" t="n"/>
      <x:c r="F187" s="11" t="n"/>
      <x:c r="G187" s="11" t="n"/>
      <x:c r="H187" s="11" t="n"/>
      <x:c r="I187" s="12" t="n"/>
      <x:c r="J187" s="12" t="n"/>
      <x:c r="K187" s="12" t="n"/>
      <x:c r="L187" s="12" t="n"/>
      <x:c r="M187" s="12" t="n"/>
      <x:c r="N187" s="12" t="n"/>
      <x:c r="O187" s="12" t="n"/>
      <x:c r="P187" s="11" t="n"/>
      <x:c r="Q187" s="11" t="n"/>
      <x:c r="R187" s="11" t="n"/>
      <x:c r="S187" s="11" t="n"/>
      <x:c r="T187" s="11" t="n"/>
      <x:c r="U187" s="12" t="n"/>
      <x:c r="V187" s="12" t="n"/>
      <x:c r="W187" s="12" t="n"/>
      <x:c r="X187" s="12" t="n"/>
      <x:c r="Y187" s="12" t="n"/>
      <x:c r="Z187" s="13">
        <x:f>IF($C187="","",VLOOKUP($C187,Config!$A$2:$Y$4,2,FALSE))</x:f>
      </x:c>
      <x:c r="AA187" s="13">
        <x:f>IF($C187="","",VLOOKUP($C187,Config!$A$2:$Y$4,5,FALSE))</x:f>
      </x:c>
      <x:c r="AB187" s="14">
        <x:f>IF($C187="","",VLOOKUP($C187,Config!$A$2:$Y$4,7,FALSE))</x:f>
      </x:c>
      <x:c r="AC187" s="14">
        <x:f>IF($C187="","",VLOOKUP($C187,Config!$A$2:$Y$4,8,FALSE))</x:f>
      </x:c>
      <x:c r="AD187" s="14">
        <x:f>IF($C187="","",VLOOKUP($C187,Config!$A$2:$Y$4,9,FALSE))</x:f>
      </x:c>
      <x:c r="AE187" s="14">
        <x:f>IF($C187="","",VLOOKUP($C187,Config!$A$2:$Y$4,10,FALSE))</x:f>
      </x:c>
      <x:c r="AF187" s="14">
        <x:f>IF($C187="","",VLOOKUP($C187,Config!$A$2:$Y$4,11,FALSE))</x:f>
      </x:c>
      <x:c r="AG187" s="14">
        <x:f>IF($C187="","",VLOOKUP($C187,Config!$A$2:$Y$4,12,FALSE))</x:f>
      </x:c>
      <x:c r="AH187" s="14">
        <x:f>IF($C187="","",VLOOKUP($C187,Config!$A$2:$Y$4,13,FALSE))</x:f>
      </x:c>
      <x:c r="AI187" s="14">
        <x:f>IF($C187="","",VLOOKUP($C187,Config!$A$2:$Y$4,14,FALSE))</x:f>
      </x:c>
      <x:c r="AJ187" s="14">
        <x:f>IF($C187="","",VLOOKUP($C187,Config!$A$2:$Y$4,15,FALSE))</x:f>
      </x:c>
      <x:c r="AK187" s="14">
        <x:f>IF($C187="","",VLOOKUP($C187,Config!$A$2:$Y$4,16,FALSE))</x:f>
      </x:c>
      <x:c r="AL187" s="14">
        <x:f>IF($C187="","",VLOOKUP($C187,Config!$A$2:$Y$4,17,FALSE))</x:f>
      </x:c>
      <x:c r="AM187" s="14">
        <x:f>IF($C187="","",VLOOKUP($C187,Config!$A$2:$Y$4,18,FALSE))</x:f>
      </x:c>
      <x:c r="AN187" s="14">
        <x:f>IF($C187="","",VLOOKUP($C187,Config!$A$2:$Y$4,19,FALSE))</x:f>
      </x:c>
      <x:c r="AO187" s="14">
        <x:f>IF($C187="","",VLOOKUP($C187,Config!$A$2:$Y$4,20,FALSE))</x:f>
      </x:c>
      <x:c r="AP187" s="14">
        <x:f>IF($C187="","",VLOOKUP($C187,Config!$A$2:$Y$4,21,FALSE))</x:f>
      </x:c>
      <x:c r="AQ187" s="14">
        <x:f>IF($C187="","",VLOOKUP($C187,Config!$A$2:$Y$4,22,FALSE))</x:f>
      </x:c>
      <x:c r="AR187" s="14">
        <x:f>IF($C187="","",VLOOKUP($C187,Config!$A$2:$Y$4,23,FALSE))</x:f>
      </x:c>
      <x:c r="AS187" s="13">
        <x:f>IF($C187="","",IF($H187="Extra",3,IF($H187="I",2,IF($H187="II",1,0)))&gt;=IF($AA187="Extra",3,IF($AA187="I",2,IF($AA187="II",1,0))))</x:f>
      </x:c>
      <x:c r="AT187" s="13">
        <x:f>IF($C187="","",IF($I187="",FALSE,$I187&gt;=$AB187))</x:f>
      </x:c>
      <x:c r="AU187" s="13">
        <x:f>IF($C187="","",IF($AC187="",TRUE,IF($J187="",FALSE,$J187&lt;=$AC187)))</x:f>
      </x:c>
      <x:c r="AV187" s="13">
        <x:f>IF($C187="","",IF($AD187="",TRUE,IF($K187="",FALSE,$K187&lt;=$AD187)))</x:f>
      </x:c>
      <x:c r="AW187" s="13">
        <x:f>IF($C187="","",IF($AE187="",TRUE,IF($L187="",FALSE,$L187&lt;=$AE187)))</x:f>
      </x:c>
      <x:c r="AX187" s="13">
        <x:f>IF($C187="","",IF($AF187="",TRUE,IF($M187="",FALSE,$M187&lt;=$AF187)))</x:f>
      </x:c>
      <x:c r="AY187" s="13">
        <x:f>IF($C187="","",IF($AG187="",TRUE,IF($N187="",FALSE,$N187&gt;=$AG187)))</x:f>
      </x:c>
      <x:c r="AZ187" s="13">
        <x:f>IF($C187="","",IF(OR($AH187="",$AI187=""),TRUE,IF($O187="",FALSE,AND($O187&gt;=$AH187,$O187&lt;=$AI187))))</x:f>
      </x:c>
      <x:c r="BA187" s="13">
        <x:f>IF($C187="","",IF($AJ187="Y",$P187="Y",TRUE))</x:f>
      </x:c>
      <x:c r="BB187" s="13">
        <x:f>IF($C187="","",IF($AK187="Y",$Q187="Y",TRUE))</x:f>
      </x:c>
      <x:c r="BC187" s="13">
        <x:f>IF($C187="","",IF($AL187="Y",$R187="Y",TRUE))</x:f>
      </x:c>
      <x:c r="BD187" s="13">
        <x:f>IF($C187="","",IF($AM187="Y",$S187="Y",TRUE))</x:f>
      </x:c>
      <x:c r="BE187" s="13">
        <x:f>IF($C187="","",IF($AN187="Y",$T187="Y",TRUE))</x:f>
      </x:c>
      <x:c r="BF187" s="13">
        <x:f>IF($C187="","",IF($AO187="",TRUE,IF($U187="",FALSE,$U187&lt;=$AO187)))</x:f>
      </x:c>
      <x:c r="BG187" s="13">
        <x:f>IF($C187="","",IF($AP187="",TRUE,IF($V187="",FALSE,$V187&lt;=$AP187)))</x:f>
      </x:c>
      <x:c r="BH187" s="13">
        <x:f>IF($C187="","",IF($AQ187="",TRUE,IF($W187="",FALSE,$W187&lt;=$AQ187)))</x:f>
      </x:c>
      <x:c r="BI187" s="13">
        <x:f>IF($C187="","",IF($AR187="",TRUE,IF($X187="",FALSE,$X187&lt;=$AR187)))</x:f>
      </x:c>
      <x:c r="BJ187" s="15">
        <x:f>IF($C187="","",IF($Y187="",0,$Y187)+IF($AS187,10,0)+IF($AT187,8,0)+IF($AU187,5,0)+IF($AV187,8,0)+IF($AW187,15,0)+IF($AX187,4,0)+IF($AY187,5,0)+IF($AZ187,10,0)+IF($BA187,8,0)+IF($BB187,4,0)+IF($BC187,6,0)+IF($BD187,3,0)+IF($BE187,2,0)+IF($BF187,2,0)+IF($BG187,2,0)+IF($BH187,2,0)+IF($BI187,1,0))</x:f>
      </x:c>
      <x:c r="BK187" s="15">
        <x:f>IF($C187="","",IF(NOT($AS187),1,0)+IF(NOT($AW187),1,0)+IF(NOT($AZ187),1,0)+IF(NOT($BA187),1,0)+IF(NOT($BB187),1,0)+IF(NOT($BC187),1,0))</x:f>
      </x:c>
      <x:c r="BL187" s="13">
        <x:f>IF($C187="","",IF($BK187&gt;0,"REJECT",IF(COUNTIF($AS187:$BI187,FALSE)=0,"ACCEPT",IF($BJ187&gt;=85,"ACCEPT WITH SORTING / DISCOUNT","REJECT"))))</x:f>
      </x:c>
    </x:row>
    <x:row r="188" ht="24" customHeight="1">
      <x:c r="A188" s="10" t="n"/>
      <x:c r="B188" s="11" t="n"/>
      <x:c r="C188" s="11" t="n"/>
      <x:c r="D188" s="11" t="n"/>
      <x:c r="E188" s="11" t="n"/>
      <x:c r="F188" s="11" t="n"/>
      <x:c r="G188" s="11" t="n"/>
      <x:c r="H188" s="11" t="n"/>
      <x:c r="I188" s="12" t="n"/>
      <x:c r="J188" s="12" t="n"/>
      <x:c r="K188" s="12" t="n"/>
      <x:c r="L188" s="12" t="n"/>
      <x:c r="M188" s="12" t="n"/>
      <x:c r="N188" s="12" t="n"/>
      <x:c r="O188" s="12" t="n"/>
      <x:c r="P188" s="11" t="n"/>
      <x:c r="Q188" s="11" t="n"/>
      <x:c r="R188" s="11" t="n"/>
      <x:c r="S188" s="11" t="n"/>
      <x:c r="T188" s="11" t="n"/>
      <x:c r="U188" s="12" t="n"/>
      <x:c r="V188" s="12" t="n"/>
      <x:c r="W188" s="12" t="n"/>
      <x:c r="X188" s="12" t="n"/>
      <x:c r="Y188" s="12" t="n"/>
      <x:c r="Z188" s="13">
        <x:f>IF($C188="","",VLOOKUP($C188,Config!$A$2:$Y$4,2,FALSE))</x:f>
      </x:c>
      <x:c r="AA188" s="13">
        <x:f>IF($C188="","",VLOOKUP($C188,Config!$A$2:$Y$4,5,FALSE))</x:f>
      </x:c>
      <x:c r="AB188" s="14">
        <x:f>IF($C188="","",VLOOKUP($C188,Config!$A$2:$Y$4,7,FALSE))</x:f>
      </x:c>
      <x:c r="AC188" s="14">
        <x:f>IF($C188="","",VLOOKUP($C188,Config!$A$2:$Y$4,8,FALSE))</x:f>
      </x:c>
      <x:c r="AD188" s="14">
        <x:f>IF($C188="","",VLOOKUP($C188,Config!$A$2:$Y$4,9,FALSE))</x:f>
      </x:c>
      <x:c r="AE188" s="14">
        <x:f>IF($C188="","",VLOOKUP($C188,Config!$A$2:$Y$4,10,FALSE))</x:f>
      </x:c>
      <x:c r="AF188" s="14">
        <x:f>IF($C188="","",VLOOKUP($C188,Config!$A$2:$Y$4,11,FALSE))</x:f>
      </x:c>
      <x:c r="AG188" s="14">
        <x:f>IF($C188="","",VLOOKUP($C188,Config!$A$2:$Y$4,12,FALSE))</x:f>
      </x:c>
      <x:c r="AH188" s="14">
        <x:f>IF($C188="","",VLOOKUP($C188,Config!$A$2:$Y$4,13,FALSE))</x:f>
      </x:c>
      <x:c r="AI188" s="14">
        <x:f>IF($C188="","",VLOOKUP($C188,Config!$A$2:$Y$4,14,FALSE))</x:f>
      </x:c>
      <x:c r="AJ188" s="14">
        <x:f>IF($C188="","",VLOOKUP($C188,Config!$A$2:$Y$4,15,FALSE))</x:f>
      </x:c>
      <x:c r="AK188" s="14">
        <x:f>IF($C188="","",VLOOKUP($C188,Config!$A$2:$Y$4,16,FALSE))</x:f>
      </x:c>
      <x:c r="AL188" s="14">
        <x:f>IF($C188="","",VLOOKUP($C188,Config!$A$2:$Y$4,17,FALSE))</x:f>
      </x:c>
      <x:c r="AM188" s="14">
        <x:f>IF($C188="","",VLOOKUP($C188,Config!$A$2:$Y$4,18,FALSE))</x:f>
      </x:c>
      <x:c r="AN188" s="14">
        <x:f>IF($C188="","",VLOOKUP($C188,Config!$A$2:$Y$4,19,FALSE))</x:f>
      </x:c>
      <x:c r="AO188" s="14">
        <x:f>IF($C188="","",VLOOKUP($C188,Config!$A$2:$Y$4,20,FALSE))</x:f>
      </x:c>
      <x:c r="AP188" s="14">
        <x:f>IF($C188="","",VLOOKUP($C188,Config!$A$2:$Y$4,21,FALSE))</x:f>
      </x:c>
      <x:c r="AQ188" s="14">
        <x:f>IF($C188="","",VLOOKUP($C188,Config!$A$2:$Y$4,22,FALSE))</x:f>
      </x:c>
      <x:c r="AR188" s="14">
        <x:f>IF($C188="","",VLOOKUP($C188,Config!$A$2:$Y$4,23,FALSE))</x:f>
      </x:c>
      <x:c r="AS188" s="13">
        <x:f>IF($C188="","",IF($H188="Extra",3,IF($H188="I",2,IF($H188="II",1,0)))&gt;=IF($AA188="Extra",3,IF($AA188="I",2,IF($AA188="II",1,0))))</x:f>
      </x:c>
      <x:c r="AT188" s="13">
        <x:f>IF($C188="","",IF($I188="",FALSE,$I188&gt;=$AB188))</x:f>
      </x:c>
      <x:c r="AU188" s="13">
        <x:f>IF($C188="","",IF($AC188="",TRUE,IF($J188="",FALSE,$J188&lt;=$AC188)))</x:f>
      </x:c>
      <x:c r="AV188" s="13">
        <x:f>IF($C188="","",IF($AD188="",TRUE,IF($K188="",FALSE,$K188&lt;=$AD188)))</x:f>
      </x:c>
      <x:c r="AW188" s="13">
        <x:f>IF($C188="","",IF($AE188="",TRUE,IF($L188="",FALSE,$L188&lt;=$AE188)))</x:f>
      </x:c>
      <x:c r="AX188" s="13">
        <x:f>IF($C188="","",IF($AF188="",TRUE,IF($M188="",FALSE,$M188&lt;=$AF188)))</x:f>
      </x:c>
      <x:c r="AY188" s="13">
        <x:f>IF($C188="","",IF($AG188="",TRUE,IF($N188="",FALSE,$N188&gt;=$AG188)))</x:f>
      </x:c>
      <x:c r="AZ188" s="13">
        <x:f>IF($C188="","",IF(OR($AH188="",$AI188=""),TRUE,IF($O188="",FALSE,AND($O188&gt;=$AH188,$O188&lt;=$AI188))))</x:f>
      </x:c>
      <x:c r="BA188" s="13">
        <x:f>IF($C188="","",IF($AJ188="Y",$P188="Y",TRUE))</x:f>
      </x:c>
      <x:c r="BB188" s="13">
        <x:f>IF($C188="","",IF($AK188="Y",$Q188="Y",TRUE))</x:f>
      </x:c>
      <x:c r="BC188" s="13">
        <x:f>IF($C188="","",IF($AL188="Y",$R188="Y",TRUE))</x:f>
      </x:c>
      <x:c r="BD188" s="13">
        <x:f>IF($C188="","",IF($AM188="Y",$S188="Y",TRUE))</x:f>
      </x:c>
      <x:c r="BE188" s="13">
        <x:f>IF($C188="","",IF($AN188="Y",$T188="Y",TRUE))</x:f>
      </x:c>
      <x:c r="BF188" s="13">
        <x:f>IF($C188="","",IF($AO188="",TRUE,IF($U188="",FALSE,$U188&lt;=$AO188)))</x:f>
      </x:c>
      <x:c r="BG188" s="13">
        <x:f>IF($C188="","",IF($AP188="",TRUE,IF($V188="",FALSE,$V188&lt;=$AP188)))</x:f>
      </x:c>
      <x:c r="BH188" s="13">
        <x:f>IF($C188="","",IF($AQ188="",TRUE,IF($W188="",FALSE,$W188&lt;=$AQ188)))</x:f>
      </x:c>
      <x:c r="BI188" s="13">
        <x:f>IF($C188="","",IF($AR188="",TRUE,IF($X188="",FALSE,$X188&lt;=$AR188)))</x:f>
      </x:c>
      <x:c r="BJ188" s="15">
        <x:f>IF($C188="","",IF($Y188="",0,$Y188)+IF($AS188,10,0)+IF($AT188,8,0)+IF($AU188,5,0)+IF($AV188,8,0)+IF($AW188,15,0)+IF($AX188,4,0)+IF($AY188,5,0)+IF($AZ188,10,0)+IF($BA188,8,0)+IF($BB188,4,0)+IF($BC188,6,0)+IF($BD188,3,0)+IF($BE188,2,0)+IF($BF188,2,0)+IF($BG188,2,0)+IF($BH188,2,0)+IF($BI188,1,0))</x:f>
      </x:c>
      <x:c r="BK188" s="15">
        <x:f>IF($C188="","",IF(NOT($AS188),1,0)+IF(NOT($AW188),1,0)+IF(NOT($AZ188),1,0)+IF(NOT($BA188),1,0)+IF(NOT($BB188),1,0)+IF(NOT($BC188),1,0))</x:f>
      </x:c>
      <x:c r="BL188" s="13">
        <x:f>IF($C188="","",IF($BK188&gt;0,"REJECT",IF(COUNTIF($AS188:$BI188,FALSE)=0,"ACCEPT",IF($BJ188&gt;=85,"ACCEPT WITH SORTING / DISCOUNT","REJECT"))))</x:f>
      </x:c>
    </x:row>
    <x:row r="189" ht="24" customHeight="1">
      <x:c r="A189" s="10" t="n"/>
      <x:c r="B189" s="11" t="n"/>
      <x:c r="C189" s="11" t="n"/>
      <x:c r="D189" s="11" t="n"/>
      <x:c r="E189" s="11" t="n"/>
      <x:c r="F189" s="11" t="n"/>
      <x:c r="G189" s="11" t="n"/>
      <x:c r="H189" s="11" t="n"/>
      <x:c r="I189" s="12" t="n"/>
      <x:c r="J189" s="12" t="n"/>
      <x:c r="K189" s="12" t="n"/>
      <x:c r="L189" s="12" t="n"/>
      <x:c r="M189" s="12" t="n"/>
      <x:c r="N189" s="12" t="n"/>
      <x:c r="O189" s="12" t="n"/>
      <x:c r="P189" s="11" t="n"/>
      <x:c r="Q189" s="11" t="n"/>
      <x:c r="R189" s="11" t="n"/>
      <x:c r="S189" s="11" t="n"/>
      <x:c r="T189" s="11" t="n"/>
      <x:c r="U189" s="12" t="n"/>
      <x:c r="V189" s="12" t="n"/>
      <x:c r="W189" s="12" t="n"/>
      <x:c r="X189" s="12" t="n"/>
      <x:c r="Y189" s="12" t="n"/>
      <x:c r="Z189" s="13">
        <x:f>IF($C189="","",VLOOKUP($C189,Config!$A$2:$Y$4,2,FALSE))</x:f>
      </x:c>
      <x:c r="AA189" s="13">
        <x:f>IF($C189="","",VLOOKUP($C189,Config!$A$2:$Y$4,5,FALSE))</x:f>
      </x:c>
      <x:c r="AB189" s="14">
        <x:f>IF($C189="","",VLOOKUP($C189,Config!$A$2:$Y$4,7,FALSE))</x:f>
      </x:c>
      <x:c r="AC189" s="14">
        <x:f>IF($C189="","",VLOOKUP($C189,Config!$A$2:$Y$4,8,FALSE))</x:f>
      </x:c>
      <x:c r="AD189" s="14">
        <x:f>IF($C189="","",VLOOKUP($C189,Config!$A$2:$Y$4,9,FALSE))</x:f>
      </x:c>
      <x:c r="AE189" s="14">
        <x:f>IF($C189="","",VLOOKUP($C189,Config!$A$2:$Y$4,10,FALSE))</x:f>
      </x:c>
      <x:c r="AF189" s="14">
        <x:f>IF($C189="","",VLOOKUP($C189,Config!$A$2:$Y$4,11,FALSE))</x:f>
      </x:c>
      <x:c r="AG189" s="14">
        <x:f>IF($C189="","",VLOOKUP($C189,Config!$A$2:$Y$4,12,FALSE))</x:f>
      </x:c>
      <x:c r="AH189" s="14">
        <x:f>IF($C189="","",VLOOKUP($C189,Config!$A$2:$Y$4,13,FALSE))</x:f>
      </x:c>
      <x:c r="AI189" s="14">
        <x:f>IF($C189="","",VLOOKUP($C189,Config!$A$2:$Y$4,14,FALSE))</x:f>
      </x:c>
      <x:c r="AJ189" s="14">
        <x:f>IF($C189="","",VLOOKUP($C189,Config!$A$2:$Y$4,15,FALSE))</x:f>
      </x:c>
      <x:c r="AK189" s="14">
        <x:f>IF($C189="","",VLOOKUP($C189,Config!$A$2:$Y$4,16,FALSE))</x:f>
      </x:c>
      <x:c r="AL189" s="14">
        <x:f>IF($C189="","",VLOOKUP($C189,Config!$A$2:$Y$4,17,FALSE))</x:f>
      </x:c>
      <x:c r="AM189" s="14">
        <x:f>IF($C189="","",VLOOKUP($C189,Config!$A$2:$Y$4,18,FALSE))</x:f>
      </x:c>
      <x:c r="AN189" s="14">
        <x:f>IF($C189="","",VLOOKUP($C189,Config!$A$2:$Y$4,19,FALSE))</x:f>
      </x:c>
      <x:c r="AO189" s="14">
        <x:f>IF($C189="","",VLOOKUP($C189,Config!$A$2:$Y$4,20,FALSE))</x:f>
      </x:c>
      <x:c r="AP189" s="14">
        <x:f>IF($C189="","",VLOOKUP($C189,Config!$A$2:$Y$4,21,FALSE))</x:f>
      </x:c>
      <x:c r="AQ189" s="14">
        <x:f>IF($C189="","",VLOOKUP($C189,Config!$A$2:$Y$4,22,FALSE))</x:f>
      </x:c>
      <x:c r="AR189" s="14">
        <x:f>IF($C189="","",VLOOKUP($C189,Config!$A$2:$Y$4,23,FALSE))</x:f>
      </x:c>
      <x:c r="AS189" s="13">
        <x:f>IF($C189="","",IF($H189="Extra",3,IF($H189="I",2,IF($H189="II",1,0)))&gt;=IF($AA189="Extra",3,IF($AA189="I",2,IF($AA189="II",1,0))))</x:f>
      </x:c>
      <x:c r="AT189" s="13">
        <x:f>IF($C189="","",IF($I189="",FALSE,$I189&gt;=$AB189))</x:f>
      </x:c>
      <x:c r="AU189" s="13">
        <x:f>IF($C189="","",IF($AC189="",TRUE,IF($J189="",FALSE,$J189&lt;=$AC189)))</x:f>
      </x:c>
      <x:c r="AV189" s="13">
        <x:f>IF($C189="","",IF($AD189="",TRUE,IF($K189="",FALSE,$K189&lt;=$AD189)))</x:f>
      </x:c>
      <x:c r="AW189" s="13">
        <x:f>IF($C189="","",IF($AE189="",TRUE,IF($L189="",FALSE,$L189&lt;=$AE189)))</x:f>
      </x:c>
      <x:c r="AX189" s="13">
        <x:f>IF($C189="","",IF($AF189="",TRUE,IF($M189="",FALSE,$M189&lt;=$AF189)))</x:f>
      </x:c>
      <x:c r="AY189" s="13">
        <x:f>IF($C189="","",IF($AG189="",TRUE,IF($N189="",FALSE,$N189&gt;=$AG189)))</x:f>
      </x:c>
      <x:c r="AZ189" s="13">
        <x:f>IF($C189="","",IF(OR($AH189="",$AI189=""),TRUE,IF($O189="",FALSE,AND($O189&gt;=$AH189,$O189&lt;=$AI189))))</x:f>
      </x:c>
      <x:c r="BA189" s="13">
        <x:f>IF($C189="","",IF($AJ189="Y",$P189="Y",TRUE))</x:f>
      </x:c>
      <x:c r="BB189" s="13">
        <x:f>IF($C189="","",IF($AK189="Y",$Q189="Y",TRUE))</x:f>
      </x:c>
      <x:c r="BC189" s="13">
        <x:f>IF($C189="","",IF($AL189="Y",$R189="Y",TRUE))</x:f>
      </x:c>
      <x:c r="BD189" s="13">
        <x:f>IF($C189="","",IF($AM189="Y",$S189="Y",TRUE))</x:f>
      </x:c>
      <x:c r="BE189" s="13">
        <x:f>IF($C189="","",IF($AN189="Y",$T189="Y",TRUE))</x:f>
      </x:c>
      <x:c r="BF189" s="13">
        <x:f>IF($C189="","",IF($AO189="",TRUE,IF($U189="",FALSE,$U189&lt;=$AO189)))</x:f>
      </x:c>
      <x:c r="BG189" s="13">
        <x:f>IF($C189="","",IF($AP189="",TRUE,IF($V189="",FALSE,$V189&lt;=$AP189)))</x:f>
      </x:c>
      <x:c r="BH189" s="13">
        <x:f>IF($C189="","",IF($AQ189="",TRUE,IF($W189="",FALSE,$W189&lt;=$AQ189)))</x:f>
      </x:c>
      <x:c r="BI189" s="13">
        <x:f>IF($C189="","",IF($AR189="",TRUE,IF($X189="",FALSE,$X189&lt;=$AR189)))</x:f>
      </x:c>
      <x:c r="BJ189" s="15">
        <x:f>IF($C189="","",IF($Y189="",0,$Y189)+IF($AS189,10,0)+IF($AT189,8,0)+IF($AU189,5,0)+IF($AV189,8,0)+IF($AW189,15,0)+IF($AX189,4,0)+IF($AY189,5,0)+IF($AZ189,10,0)+IF($BA189,8,0)+IF($BB189,4,0)+IF($BC189,6,0)+IF($BD189,3,0)+IF($BE189,2,0)+IF($BF189,2,0)+IF($BG189,2,0)+IF($BH189,2,0)+IF($BI189,1,0))</x:f>
      </x:c>
      <x:c r="BK189" s="15">
        <x:f>IF($C189="","",IF(NOT($AS189),1,0)+IF(NOT($AW189),1,0)+IF(NOT($AZ189),1,0)+IF(NOT($BA189),1,0)+IF(NOT($BB189),1,0)+IF(NOT($BC189),1,0))</x:f>
      </x:c>
      <x:c r="BL189" s="13">
        <x:f>IF($C189="","",IF($BK189&gt;0,"REJECT",IF(COUNTIF($AS189:$BI189,FALSE)=0,"ACCEPT",IF($BJ189&gt;=85,"ACCEPT WITH SORTING / DISCOUNT","REJECT"))))</x:f>
      </x:c>
    </x:row>
    <x:row r="190" ht="24" customHeight="1">
      <x:c r="A190" s="10" t="n"/>
      <x:c r="B190" s="11" t="n"/>
      <x:c r="C190" s="11" t="n"/>
      <x:c r="D190" s="11" t="n"/>
      <x:c r="E190" s="11" t="n"/>
      <x:c r="F190" s="11" t="n"/>
      <x:c r="G190" s="11" t="n"/>
      <x:c r="H190" s="11" t="n"/>
      <x:c r="I190" s="12" t="n"/>
      <x:c r="J190" s="12" t="n"/>
      <x:c r="K190" s="12" t="n"/>
      <x:c r="L190" s="12" t="n"/>
      <x:c r="M190" s="12" t="n"/>
      <x:c r="N190" s="12" t="n"/>
      <x:c r="O190" s="12" t="n"/>
      <x:c r="P190" s="11" t="n"/>
      <x:c r="Q190" s="11" t="n"/>
      <x:c r="R190" s="11" t="n"/>
      <x:c r="S190" s="11" t="n"/>
      <x:c r="T190" s="11" t="n"/>
      <x:c r="U190" s="12" t="n"/>
      <x:c r="V190" s="12" t="n"/>
      <x:c r="W190" s="12" t="n"/>
      <x:c r="X190" s="12" t="n"/>
      <x:c r="Y190" s="12" t="n"/>
      <x:c r="Z190" s="13">
        <x:f>IF($C190="","",VLOOKUP($C190,Config!$A$2:$Y$4,2,FALSE))</x:f>
      </x:c>
      <x:c r="AA190" s="13">
        <x:f>IF($C190="","",VLOOKUP($C190,Config!$A$2:$Y$4,5,FALSE))</x:f>
      </x:c>
      <x:c r="AB190" s="14">
        <x:f>IF($C190="","",VLOOKUP($C190,Config!$A$2:$Y$4,7,FALSE))</x:f>
      </x:c>
      <x:c r="AC190" s="14">
        <x:f>IF($C190="","",VLOOKUP($C190,Config!$A$2:$Y$4,8,FALSE))</x:f>
      </x:c>
      <x:c r="AD190" s="14">
        <x:f>IF($C190="","",VLOOKUP($C190,Config!$A$2:$Y$4,9,FALSE))</x:f>
      </x:c>
      <x:c r="AE190" s="14">
        <x:f>IF($C190="","",VLOOKUP($C190,Config!$A$2:$Y$4,10,FALSE))</x:f>
      </x:c>
      <x:c r="AF190" s="14">
        <x:f>IF($C190="","",VLOOKUP($C190,Config!$A$2:$Y$4,11,FALSE))</x:f>
      </x:c>
      <x:c r="AG190" s="14">
        <x:f>IF($C190="","",VLOOKUP($C190,Config!$A$2:$Y$4,12,FALSE))</x:f>
      </x:c>
      <x:c r="AH190" s="14">
        <x:f>IF($C190="","",VLOOKUP($C190,Config!$A$2:$Y$4,13,FALSE))</x:f>
      </x:c>
      <x:c r="AI190" s="14">
        <x:f>IF($C190="","",VLOOKUP($C190,Config!$A$2:$Y$4,14,FALSE))</x:f>
      </x:c>
      <x:c r="AJ190" s="14">
        <x:f>IF($C190="","",VLOOKUP($C190,Config!$A$2:$Y$4,15,FALSE))</x:f>
      </x:c>
      <x:c r="AK190" s="14">
        <x:f>IF($C190="","",VLOOKUP($C190,Config!$A$2:$Y$4,16,FALSE))</x:f>
      </x:c>
      <x:c r="AL190" s="14">
        <x:f>IF($C190="","",VLOOKUP($C190,Config!$A$2:$Y$4,17,FALSE))</x:f>
      </x:c>
      <x:c r="AM190" s="14">
        <x:f>IF($C190="","",VLOOKUP($C190,Config!$A$2:$Y$4,18,FALSE))</x:f>
      </x:c>
      <x:c r="AN190" s="14">
        <x:f>IF($C190="","",VLOOKUP($C190,Config!$A$2:$Y$4,19,FALSE))</x:f>
      </x:c>
      <x:c r="AO190" s="14">
        <x:f>IF($C190="","",VLOOKUP($C190,Config!$A$2:$Y$4,20,FALSE))</x:f>
      </x:c>
      <x:c r="AP190" s="14">
        <x:f>IF($C190="","",VLOOKUP($C190,Config!$A$2:$Y$4,21,FALSE))</x:f>
      </x:c>
      <x:c r="AQ190" s="14">
        <x:f>IF($C190="","",VLOOKUP($C190,Config!$A$2:$Y$4,22,FALSE))</x:f>
      </x:c>
      <x:c r="AR190" s="14">
        <x:f>IF($C190="","",VLOOKUP($C190,Config!$A$2:$Y$4,23,FALSE))</x:f>
      </x:c>
      <x:c r="AS190" s="13">
        <x:f>IF($C190="","",IF($H190="Extra",3,IF($H190="I",2,IF($H190="II",1,0)))&gt;=IF($AA190="Extra",3,IF($AA190="I",2,IF($AA190="II",1,0))))</x:f>
      </x:c>
      <x:c r="AT190" s="13">
        <x:f>IF($C190="","",IF($I190="",FALSE,$I190&gt;=$AB190))</x:f>
      </x:c>
      <x:c r="AU190" s="13">
        <x:f>IF($C190="","",IF($AC190="",TRUE,IF($J190="",FALSE,$J190&lt;=$AC190)))</x:f>
      </x:c>
      <x:c r="AV190" s="13">
        <x:f>IF($C190="","",IF($AD190="",TRUE,IF($K190="",FALSE,$K190&lt;=$AD190)))</x:f>
      </x:c>
      <x:c r="AW190" s="13">
        <x:f>IF($C190="","",IF($AE190="",TRUE,IF($L190="",FALSE,$L190&lt;=$AE190)))</x:f>
      </x:c>
      <x:c r="AX190" s="13">
        <x:f>IF($C190="","",IF($AF190="",TRUE,IF($M190="",FALSE,$M190&lt;=$AF190)))</x:f>
      </x:c>
      <x:c r="AY190" s="13">
        <x:f>IF($C190="","",IF($AG190="",TRUE,IF($N190="",FALSE,$N190&gt;=$AG190)))</x:f>
      </x:c>
      <x:c r="AZ190" s="13">
        <x:f>IF($C190="","",IF(OR($AH190="",$AI190=""),TRUE,IF($O190="",FALSE,AND($O190&gt;=$AH190,$O190&lt;=$AI190))))</x:f>
      </x:c>
      <x:c r="BA190" s="13">
        <x:f>IF($C190="","",IF($AJ190="Y",$P190="Y",TRUE))</x:f>
      </x:c>
      <x:c r="BB190" s="13">
        <x:f>IF($C190="","",IF($AK190="Y",$Q190="Y",TRUE))</x:f>
      </x:c>
      <x:c r="BC190" s="13">
        <x:f>IF($C190="","",IF($AL190="Y",$R190="Y",TRUE))</x:f>
      </x:c>
      <x:c r="BD190" s="13">
        <x:f>IF($C190="","",IF($AM190="Y",$S190="Y",TRUE))</x:f>
      </x:c>
      <x:c r="BE190" s="13">
        <x:f>IF($C190="","",IF($AN190="Y",$T190="Y",TRUE))</x:f>
      </x:c>
      <x:c r="BF190" s="13">
        <x:f>IF($C190="","",IF($AO190="",TRUE,IF($U190="",FALSE,$U190&lt;=$AO190)))</x:f>
      </x:c>
      <x:c r="BG190" s="13">
        <x:f>IF($C190="","",IF($AP190="",TRUE,IF($V190="",FALSE,$V190&lt;=$AP190)))</x:f>
      </x:c>
      <x:c r="BH190" s="13">
        <x:f>IF($C190="","",IF($AQ190="",TRUE,IF($W190="",FALSE,$W190&lt;=$AQ190)))</x:f>
      </x:c>
      <x:c r="BI190" s="13">
        <x:f>IF($C190="","",IF($AR190="",TRUE,IF($X190="",FALSE,$X190&lt;=$AR190)))</x:f>
      </x:c>
      <x:c r="BJ190" s="15">
        <x:f>IF($C190="","",IF($Y190="",0,$Y190)+IF($AS190,10,0)+IF($AT190,8,0)+IF($AU190,5,0)+IF($AV190,8,0)+IF($AW190,15,0)+IF($AX190,4,0)+IF($AY190,5,0)+IF($AZ190,10,0)+IF($BA190,8,0)+IF($BB190,4,0)+IF($BC190,6,0)+IF($BD190,3,0)+IF($BE190,2,0)+IF($BF190,2,0)+IF($BG190,2,0)+IF($BH190,2,0)+IF($BI190,1,0))</x:f>
      </x:c>
      <x:c r="BK190" s="15">
        <x:f>IF($C190="","",IF(NOT($AS190),1,0)+IF(NOT($AW190),1,0)+IF(NOT($AZ190),1,0)+IF(NOT($BA190),1,0)+IF(NOT($BB190),1,0)+IF(NOT($BC190),1,0))</x:f>
      </x:c>
      <x:c r="BL190" s="13">
        <x:f>IF($C190="","",IF($BK190&gt;0,"REJECT",IF(COUNTIF($AS190:$BI190,FALSE)=0,"ACCEPT",IF($BJ190&gt;=85,"ACCEPT WITH SORTING / DISCOUNT","REJECT"))))</x:f>
      </x:c>
    </x:row>
    <x:row r="191" ht="24" customHeight="1">
      <x:c r="A191" s="10" t="n"/>
      <x:c r="B191" s="11" t="n"/>
      <x:c r="C191" s="11" t="n"/>
      <x:c r="D191" s="11" t="n"/>
      <x:c r="E191" s="11" t="n"/>
      <x:c r="F191" s="11" t="n"/>
      <x:c r="G191" s="11" t="n"/>
      <x:c r="H191" s="11" t="n"/>
      <x:c r="I191" s="12" t="n"/>
      <x:c r="J191" s="12" t="n"/>
      <x:c r="K191" s="12" t="n"/>
      <x:c r="L191" s="12" t="n"/>
      <x:c r="M191" s="12" t="n"/>
      <x:c r="N191" s="12" t="n"/>
      <x:c r="O191" s="12" t="n"/>
      <x:c r="P191" s="11" t="n"/>
      <x:c r="Q191" s="11" t="n"/>
      <x:c r="R191" s="11" t="n"/>
      <x:c r="S191" s="11" t="n"/>
      <x:c r="T191" s="11" t="n"/>
      <x:c r="U191" s="12" t="n"/>
      <x:c r="V191" s="12" t="n"/>
      <x:c r="W191" s="12" t="n"/>
      <x:c r="X191" s="12" t="n"/>
      <x:c r="Y191" s="12" t="n"/>
      <x:c r="Z191" s="13">
        <x:f>IF($C191="","",VLOOKUP($C191,Config!$A$2:$Y$4,2,FALSE))</x:f>
      </x:c>
      <x:c r="AA191" s="13">
        <x:f>IF($C191="","",VLOOKUP($C191,Config!$A$2:$Y$4,5,FALSE))</x:f>
      </x:c>
      <x:c r="AB191" s="14">
        <x:f>IF($C191="","",VLOOKUP($C191,Config!$A$2:$Y$4,7,FALSE))</x:f>
      </x:c>
      <x:c r="AC191" s="14">
        <x:f>IF($C191="","",VLOOKUP($C191,Config!$A$2:$Y$4,8,FALSE))</x:f>
      </x:c>
      <x:c r="AD191" s="14">
        <x:f>IF($C191="","",VLOOKUP($C191,Config!$A$2:$Y$4,9,FALSE))</x:f>
      </x:c>
      <x:c r="AE191" s="14">
        <x:f>IF($C191="","",VLOOKUP($C191,Config!$A$2:$Y$4,10,FALSE))</x:f>
      </x:c>
      <x:c r="AF191" s="14">
        <x:f>IF($C191="","",VLOOKUP($C191,Config!$A$2:$Y$4,11,FALSE))</x:f>
      </x:c>
      <x:c r="AG191" s="14">
        <x:f>IF($C191="","",VLOOKUP($C191,Config!$A$2:$Y$4,12,FALSE))</x:f>
      </x:c>
      <x:c r="AH191" s="14">
        <x:f>IF($C191="","",VLOOKUP($C191,Config!$A$2:$Y$4,13,FALSE))</x:f>
      </x:c>
      <x:c r="AI191" s="14">
        <x:f>IF($C191="","",VLOOKUP($C191,Config!$A$2:$Y$4,14,FALSE))</x:f>
      </x:c>
      <x:c r="AJ191" s="14">
        <x:f>IF($C191="","",VLOOKUP($C191,Config!$A$2:$Y$4,15,FALSE))</x:f>
      </x:c>
      <x:c r="AK191" s="14">
        <x:f>IF($C191="","",VLOOKUP($C191,Config!$A$2:$Y$4,16,FALSE))</x:f>
      </x:c>
      <x:c r="AL191" s="14">
        <x:f>IF($C191="","",VLOOKUP($C191,Config!$A$2:$Y$4,17,FALSE))</x:f>
      </x:c>
      <x:c r="AM191" s="14">
        <x:f>IF($C191="","",VLOOKUP($C191,Config!$A$2:$Y$4,18,FALSE))</x:f>
      </x:c>
      <x:c r="AN191" s="14">
        <x:f>IF($C191="","",VLOOKUP($C191,Config!$A$2:$Y$4,19,FALSE))</x:f>
      </x:c>
      <x:c r="AO191" s="14">
        <x:f>IF($C191="","",VLOOKUP($C191,Config!$A$2:$Y$4,20,FALSE))</x:f>
      </x:c>
      <x:c r="AP191" s="14">
        <x:f>IF($C191="","",VLOOKUP($C191,Config!$A$2:$Y$4,21,FALSE))</x:f>
      </x:c>
      <x:c r="AQ191" s="14">
        <x:f>IF($C191="","",VLOOKUP($C191,Config!$A$2:$Y$4,22,FALSE))</x:f>
      </x:c>
      <x:c r="AR191" s="14">
        <x:f>IF($C191="","",VLOOKUP($C191,Config!$A$2:$Y$4,23,FALSE))</x:f>
      </x:c>
      <x:c r="AS191" s="13">
        <x:f>IF($C191="","",IF($H191="Extra",3,IF($H191="I",2,IF($H191="II",1,0)))&gt;=IF($AA191="Extra",3,IF($AA191="I",2,IF($AA191="II",1,0))))</x:f>
      </x:c>
      <x:c r="AT191" s="13">
        <x:f>IF($C191="","",IF($I191="",FALSE,$I191&gt;=$AB191))</x:f>
      </x:c>
      <x:c r="AU191" s="13">
        <x:f>IF($C191="","",IF($AC191="",TRUE,IF($J191="",FALSE,$J191&lt;=$AC191)))</x:f>
      </x:c>
      <x:c r="AV191" s="13">
        <x:f>IF($C191="","",IF($AD191="",TRUE,IF($K191="",FALSE,$K191&lt;=$AD191)))</x:f>
      </x:c>
      <x:c r="AW191" s="13">
        <x:f>IF($C191="","",IF($AE191="",TRUE,IF($L191="",FALSE,$L191&lt;=$AE191)))</x:f>
      </x:c>
      <x:c r="AX191" s="13">
        <x:f>IF($C191="","",IF($AF191="",TRUE,IF($M191="",FALSE,$M191&lt;=$AF191)))</x:f>
      </x:c>
      <x:c r="AY191" s="13">
        <x:f>IF($C191="","",IF($AG191="",TRUE,IF($N191="",FALSE,$N191&gt;=$AG191)))</x:f>
      </x:c>
      <x:c r="AZ191" s="13">
        <x:f>IF($C191="","",IF(OR($AH191="",$AI191=""),TRUE,IF($O191="",FALSE,AND($O191&gt;=$AH191,$O191&lt;=$AI191))))</x:f>
      </x:c>
      <x:c r="BA191" s="13">
        <x:f>IF($C191="","",IF($AJ191="Y",$P191="Y",TRUE))</x:f>
      </x:c>
      <x:c r="BB191" s="13">
        <x:f>IF($C191="","",IF($AK191="Y",$Q191="Y",TRUE))</x:f>
      </x:c>
      <x:c r="BC191" s="13">
        <x:f>IF($C191="","",IF($AL191="Y",$R191="Y",TRUE))</x:f>
      </x:c>
      <x:c r="BD191" s="13">
        <x:f>IF($C191="","",IF($AM191="Y",$S191="Y",TRUE))</x:f>
      </x:c>
      <x:c r="BE191" s="13">
        <x:f>IF($C191="","",IF($AN191="Y",$T191="Y",TRUE))</x:f>
      </x:c>
      <x:c r="BF191" s="13">
        <x:f>IF($C191="","",IF($AO191="",TRUE,IF($U191="",FALSE,$U191&lt;=$AO191)))</x:f>
      </x:c>
      <x:c r="BG191" s="13">
        <x:f>IF($C191="","",IF($AP191="",TRUE,IF($V191="",FALSE,$V191&lt;=$AP191)))</x:f>
      </x:c>
      <x:c r="BH191" s="13">
        <x:f>IF($C191="","",IF($AQ191="",TRUE,IF($W191="",FALSE,$W191&lt;=$AQ191)))</x:f>
      </x:c>
      <x:c r="BI191" s="13">
        <x:f>IF($C191="","",IF($AR191="",TRUE,IF($X191="",FALSE,$X191&lt;=$AR191)))</x:f>
      </x:c>
      <x:c r="BJ191" s="15">
        <x:f>IF($C191="","",IF($Y191="",0,$Y191)+IF($AS191,10,0)+IF($AT191,8,0)+IF($AU191,5,0)+IF($AV191,8,0)+IF($AW191,15,0)+IF($AX191,4,0)+IF($AY191,5,0)+IF($AZ191,10,0)+IF($BA191,8,0)+IF($BB191,4,0)+IF($BC191,6,0)+IF($BD191,3,0)+IF($BE191,2,0)+IF($BF191,2,0)+IF($BG191,2,0)+IF($BH191,2,0)+IF($BI191,1,0))</x:f>
      </x:c>
      <x:c r="BK191" s="15">
        <x:f>IF($C191="","",IF(NOT($AS191),1,0)+IF(NOT($AW191),1,0)+IF(NOT($AZ191),1,0)+IF(NOT($BA191),1,0)+IF(NOT($BB191),1,0)+IF(NOT($BC191),1,0))</x:f>
      </x:c>
      <x:c r="BL191" s="13">
        <x:f>IF($C191="","",IF($BK191&gt;0,"REJECT",IF(COUNTIF($AS191:$BI191,FALSE)=0,"ACCEPT",IF($BJ191&gt;=85,"ACCEPT WITH SORTING / DISCOUNT","REJECT"))))</x:f>
      </x:c>
    </x:row>
    <x:row r="192" ht="24" customHeight="1">
      <x:c r="A192" s="10" t="n"/>
      <x:c r="B192" s="11" t="n"/>
      <x:c r="C192" s="11" t="n"/>
      <x:c r="D192" s="11" t="n"/>
      <x:c r="E192" s="11" t="n"/>
      <x:c r="F192" s="11" t="n"/>
      <x:c r="G192" s="11" t="n"/>
      <x:c r="H192" s="11" t="n"/>
      <x:c r="I192" s="12" t="n"/>
      <x:c r="J192" s="12" t="n"/>
      <x:c r="K192" s="12" t="n"/>
      <x:c r="L192" s="12" t="n"/>
      <x:c r="M192" s="12" t="n"/>
      <x:c r="N192" s="12" t="n"/>
      <x:c r="O192" s="12" t="n"/>
      <x:c r="P192" s="11" t="n"/>
      <x:c r="Q192" s="11" t="n"/>
      <x:c r="R192" s="11" t="n"/>
      <x:c r="S192" s="11" t="n"/>
      <x:c r="T192" s="11" t="n"/>
      <x:c r="U192" s="12" t="n"/>
      <x:c r="V192" s="12" t="n"/>
      <x:c r="W192" s="12" t="n"/>
      <x:c r="X192" s="12" t="n"/>
      <x:c r="Y192" s="12" t="n"/>
      <x:c r="Z192" s="13">
        <x:f>IF($C192="","",VLOOKUP($C192,Config!$A$2:$Y$4,2,FALSE))</x:f>
      </x:c>
      <x:c r="AA192" s="13">
        <x:f>IF($C192="","",VLOOKUP($C192,Config!$A$2:$Y$4,5,FALSE))</x:f>
      </x:c>
      <x:c r="AB192" s="14">
        <x:f>IF($C192="","",VLOOKUP($C192,Config!$A$2:$Y$4,7,FALSE))</x:f>
      </x:c>
      <x:c r="AC192" s="14">
        <x:f>IF($C192="","",VLOOKUP($C192,Config!$A$2:$Y$4,8,FALSE))</x:f>
      </x:c>
      <x:c r="AD192" s="14">
        <x:f>IF($C192="","",VLOOKUP($C192,Config!$A$2:$Y$4,9,FALSE))</x:f>
      </x:c>
      <x:c r="AE192" s="14">
        <x:f>IF($C192="","",VLOOKUP($C192,Config!$A$2:$Y$4,10,FALSE))</x:f>
      </x:c>
      <x:c r="AF192" s="14">
        <x:f>IF($C192="","",VLOOKUP($C192,Config!$A$2:$Y$4,11,FALSE))</x:f>
      </x:c>
      <x:c r="AG192" s="14">
        <x:f>IF($C192="","",VLOOKUP($C192,Config!$A$2:$Y$4,12,FALSE))</x:f>
      </x:c>
      <x:c r="AH192" s="14">
        <x:f>IF($C192="","",VLOOKUP($C192,Config!$A$2:$Y$4,13,FALSE))</x:f>
      </x:c>
      <x:c r="AI192" s="14">
        <x:f>IF($C192="","",VLOOKUP($C192,Config!$A$2:$Y$4,14,FALSE))</x:f>
      </x:c>
      <x:c r="AJ192" s="14">
        <x:f>IF($C192="","",VLOOKUP($C192,Config!$A$2:$Y$4,15,FALSE))</x:f>
      </x:c>
      <x:c r="AK192" s="14">
        <x:f>IF($C192="","",VLOOKUP($C192,Config!$A$2:$Y$4,16,FALSE))</x:f>
      </x:c>
      <x:c r="AL192" s="14">
        <x:f>IF($C192="","",VLOOKUP($C192,Config!$A$2:$Y$4,17,FALSE))</x:f>
      </x:c>
      <x:c r="AM192" s="14">
        <x:f>IF($C192="","",VLOOKUP($C192,Config!$A$2:$Y$4,18,FALSE))</x:f>
      </x:c>
      <x:c r="AN192" s="14">
        <x:f>IF($C192="","",VLOOKUP($C192,Config!$A$2:$Y$4,19,FALSE))</x:f>
      </x:c>
      <x:c r="AO192" s="14">
        <x:f>IF($C192="","",VLOOKUP($C192,Config!$A$2:$Y$4,20,FALSE))</x:f>
      </x:c>
      <x:c r="AP192" s="14">
        <x:f>IF($C192="","",VLOOKUP($C192,Config!$A$2:$Y$4,21,FALSE))</x:f>
      </x:c>
      <x:c r="AQ192" s="14">
        <x:f>IF($C192="","",VLOOKUP($C192,Config!$A$2:$Y$4,22,FALSE))</x:f>
      </x:c>
      <x:c r="AR192" s="14">
        <x:f>IF($C192="","",VLOOKUP($C192,Config!$A$2:$Y$4,23,FALSE))</x:f>
      </x:c>
      <x:c r="AS192" s="13">
        <x:f>IF($C192="","",IF($H192="Extra",3,IF($H192="I",2,IF($H192="II",1,0)))&gt;=IF($AA192="Extra",3,IF($AA192="I",2,IF($AA192="II",1,0))))</x:f>
      </x:c>
      <x:c r="AT192" s="13">
        <x:f>IF($C192="","",IF($I192="",FALSE,$I192&gt;=$AB192))</x:f>
      </x:c>
      <x:c r="AU192" s="13">
        <x:f>IF($C192="","",IF($AC192="",TRUE,IF($J192="",FALSE,$J192&lt;=$AC192)))</x:f>
      </x:c>
      <x:c r="AV192" s="13">
        <x:f>IF($C192="","",IF($AD192="",TRUE,IF($K192="",FALSE,$K192&lt;=$AD192)))</x:f>
      </x:c>
      <x:c r="AW192" s="13">
        <x:f>IF($C192="","",IF($AE192="",TRUE,IF($L192="",FALSE,$L192&lt;=$AE192)))</x:f>
      </x:c>
      <x:c r="AX192" s="13">
        <x:f>IF($C192="","",IF($AF192="",TRUE,IF($M192="",FALSE,$M192&lt;=$AF192)))</x:f>
      </x:c>
      <x:c r="AY192" s="13">
        <x:f>IF($C192="","",IF($AG192="",TRUE,IF($N192="",FALSE,$N192&gt;=$AG192)))</x:f>
      </x:c>
      <x:c r="AZ192" s="13">
        <x:f>IF($C192="","",IF(OR($AH192="",$AI192=""),TRUE,IF($O192="",FALSE,AND($O192&gt;=$AH192,$O192&lt;=$AI192))))</x:f>
      </x:c>
      <x:c r="BA192" s="13">
        <x:f>IF($C192="","",IF($AJ192="Y",$P192="Y",TRUE))</x:f>
      </x:c>
      <x:c r="BB192" s="13">
        <x:f>IF($C192="","",IF($AK192="Y",$Q192="Y",TRUE))</x:f>
      </x:c>
      <x:c r="BC192" s="13">
        <x:f>IF($C192="","",IF($AL192="Y",$R192="Y",TRUE))</x:f>
      </x:c>
      <x:c r="BD192" s="13">
        <x:f>IF($C192="","",IF($AM192="Y",$S192="Y",TRUE))</x:f>
      </x:c>
      <x:c r="BE192" s="13">
        <x:f>IF($C192="","",IF($AN192="Y",$T192="Y",TRUE))</x:f>
      </x:c>
      <x:c r="BF192" s="13">
        <x:f>IF($C192="","",IF($AO192="",TRUE,IF($U192="",FALSE,$U192&lt;=$AO192)))</x:f>
      </x:c>
      <x:c r="BG192" s="13">
        <x:f>IF($C192="","",IF($AP192="",TRUE,IF($V192="",FALSE,$V192&lt;=$AP192)))</x:f>
      </x:c>
      <x:c r="BH192" s="13">
        <x:f>IF($C192="","",IF($AQ192="",TRUE,IF($W192="",FALSE,$W192&lt;=$AQ192)))</x:f>
      </x:c>
      <x:c r="BI192" s="13">
        <x:f>IF($C192="","",IF($AR192="",TRUE,IF($X192="",FALSE,$X192&lt;=$AR192)))</x:f>
      </x:c>
      <x:c r="BJ192" s="15">
        <x:f>IF($C192="","",IF($Y192="",0,$Y192)+IF($AS192,10,0)+IF($AT192,8,0)+IF($AU192,5,0)+IF($AV192,8,0)+IF($AW192,15,0)+IF($AX192,4,0)+IF($AY192,5,0)+IF($AZ192,10,0)+IF($BA192,8,0)+IF($BB192,4,0)+IF($BC192,6,0)+IF($BD192,3,0)+IF($BE192,2,0)+IF($BF192,2,0)+IF($BG192,2,0)+IF($BH192,2,0)+IF($BI192,1,0))</x:f>
      </x:c>
      <x:c r="BK192" s="15">
        <x:f>IF($C192="","",IF(NOT($AS192),1,0)+IF(NOT($AW192),1,0)+IF(NOT($AZ192),1,0)+IF(NOT($BA192),1,0)+IF(NOT($BB192),1,0)+IF(NOT($BC192),1,0))</x:f>
      </x:c>
      <x:c r="BL192" s="13">
        <x:f>IF($C192="","",IF($BK192&gt;0,"REJECT",IF(COUNTIF($AS192:$BI192,FALSE)=0,"ACCEPT",IF($BJ192&gt;=85,"ACCEPT WITH SORTING / DISCOUNT","REJECT"))))</x:f>
      </x:c>
    </x:row>
    <x:row r="193" ht="24" customHeight="1">
      <x:c r="A193" s="10" t="n"/>
      <x:c r="B193" s="11" t="n"/>
      <x:c r="C193" s="11" t="n"/>
      <x:c r="D193" s="11" t="n"/>
      <x:c r="E193" s="11" t="n"/>
      <x:c r="F193" s="11" t="n"/>
      <x:c r="G193" s="11" t="n"/>
      <x:c r="H193" s="11" t="n"/>
      <x:c r="I193" s="12" t="n"/>
      <x:c r="J193" s="12" t="n"/>
      <x:c r="K193" s="12" t="n"/>
      <x:c r="L193" s="12" t="n"/>
      <x:c r="M193" s="12" t="n"/>
      <x:c r="N193" s="12" t="n"/>
      <x:c r="O193" s="12" t="n"/>
      <x:c r="P193" s="11" t="n"/>
      <x:c r="Q193" s="11" t="n"/>
      <x:c r="R193" s="11" t="n"/>
      <x:c r="S193" s="11" t="n"/>
      <x:c r="T193" s="11" t="n"/>
      <x:c r="U193" s="12" t="n"/>
      <x:c r="V193" s="12" t="n"/>
      <x:c r="W193" s="12" t="n"/>
      <x:c r="X193" s="12" t="n"/>
      <x:c r="Y193" s="12" t="n"/>
      <x:c r="Z193" s="13">
        <x:f>IF($C193="","",VLOOKUP($C193,Config!$A$2:$Y$4,2,FALSE))</x:f>
      </x:c>
      <x:c r="AA193" s="13">
        <x:f>IF($C193="","",VLOOKUP($C193,Config!$A$2:$Y$4,5,FALSE))</x:f>
      </x:c>
      <x:c r="AB193" s="14">
        <x:f>IF($C193="","",VLOOKUP($C193,Config!$A$2:$Y$4,7,FALSE))</x:f>
      </x:c>
      <x:c r="AC193" s="14">
        <x:f>IF($C193="","",VLOOKUP($C193,Config!$A$2:$Y$4,8,FALSE))</x:f>
      </x:c>
      <x:c r="AD193" s="14">
        <x:f>IF($C193="","",VLOOKUP($C193,Config!$A$2:$Y$4,9,FALSE))</x:f>
      </x:c>
      <x:c r="AE193" s="14">
        <x:f>IF($C193="","",VLOOKUP($C193,Config!$A$2:$Y$4,10,FALSE))</x:f>
      </x:c>
      <x:c r="AF193" s="14">
        <x:f>IF($C193="","",VLOOKUP($C193,Config!$A$2:$Y$4,11,FALSE))</x:f>
      </x:c>
      <x:c r="AG193" s="14">
        <x:f>IF($C193="","",VLOOKUP($C193,Config!$A$2:$Y$4,12,FALSE))</x:f>
      </x:c>
      <x:c r="AH193" s="14">
        <x:f>IF($C193="","",VLOOKUP($C193,Config!$A$2:$Y$4,13,FALSE))</x:f>
      </x:c>
      <x:c r="AI193" s="14">
        <x:f>IF($C193="","",VLOOKUP($C193,Config!$A$2:$Y$4,14,FALSE))</x:f>
      </x:c>
      <x:c r="AJ193" s="14">
        <x:f>IF($C193="","",VLOOKUP($C193,Config!$A$2:$Y$4,15,FALSE))</x:f>
      </x:c>
      <x:c r="AK193" s="14">
        <x:f>IF($C193="","",VLOOKUP($C193,Config!$A$2:$Y$4,16,FALSE))</x:f>
      </x:c>
      <x:c r="AL193" s="14">
        <x:f>IF($C193="","",VLOOKUP($C193,Config!$A$2:$Y$4,17,FALSE))</x:f>
      </x:c>
      <x:c r="AM193" s="14">
        <x:f>IF($C193="","",VLOOKUP($C193,Config!$A$2:$Y$4,18,FALSE))</x:f>
      </x:c>
      <x:c r="AN193" s="14">
        <x:f>IF($C193="","",VLOOKUP($C193,Config!$A$2:$Y$4,19,FALSE))</x:f>
      </x:c>
      <x:c r="AO193" s="14">
        <x:f>IF($C193="","",VLOOKUP($C193,Config!$A$2:$Y$4,20,FALSE))</x:f>
      </x:c>
      <x:c r="AP193" s="14">
        <x:f>IF($C193="","",VLOOKUP($C193,Config!$A$2:$Y$4,21,FALSE))</x:f>
      </x:c>
      <x:c r="AQ193" s="14">
        <x:f>IF($C193="","",VLOOKUP($C193,Config!$A$2:$Y$4,22,FALSE))</x:f>
      </x:c>
      <x:c r="AR193" s="14">
        <x:f>IF($C193="","",VLOOKUP($C193,Config!$A$2:$Y$4,23,FALSE))</x:f>
      </x:c>
      <x:c r="AS193" s="13">
        <x:f>IF($C193="","",IF($H193="Extra",3,IF($H193="I",2,IF($H193="II",1,0)))&gt;=IF($AA193="Extra",3,IF($AA193="I",2,IF($AA193="II",1,0))))</x:f>
      </x:c>
      <x:c r="AT193" s="13">
        <x:f>IF($C193="","",IF($I193="",FALSE,$I193&gt;=$AB193))</x:f>
      </x:c>
      <x:c r="AU193" s="13">
        <x:f>IF($C193="","",IF($AC193="",TRUE,IF($J193="",FALSE,$J193&lt;=$AC193)))</x:f>
      </x:c>
      <x:c r="AV193" s="13">
        <x:f>IF($C193="","",IF($AD193="",TRUE,IF($K193="",FALSE,$K193&lt;=$AD193)))</x:f>
      </x:c>
      <x:c r="AW193" s="13">
        <x:f>IF($C193="","",IF($AE193="",TRUE,IF($L193="",FALSE,$L193&lt;=$AE193)))</x:f>
      </x:c>
      <x:c r="AX193" s="13">
        <x:f>IF($C193="","",IF($AF193="",TRUE,IF($M193="",FALSE,$M193&lt;=$AF193)))</x:f>
      </x:c>
      <x:c r="AY193" s="13">
        <x:f>IF($C193="","",IF($AG193="",TRUE,IF($N193="",FALSE,$N193&gt;=$AG193)))</x:f>
      </x:c>
      <x:c r="AZ193" s="13">
        <x:f>IF($C193="","",IF(OR($AH193="",$AI193=""),TRUE,IF($O193="",FALSE,AND($O193&gt;=$AH193,$O193&lt;=$AI193))))</x:f>
      </x:c>
      <x:c r="BA193" s="13">
        <x:f>IF($C193="","",IF($AJ193="Y",$P193="Y",TRUE))</x:f>
      </x:c>
      <x:c r="BB193" s="13">
        <x:f>IF($C193="","",IF($AK193="Y",$Q193="Y",TRUE))</x:f>
      </x:c>
      <x:c r="BC193" s="13">
        <x:f>IF($C193="","",IF($AL193="Y",$R193="Y",TRUE))</x:f>
      </x:c>
      <x:c r="BD193" s="13">
        <x:f>IF($C193="","",IF($AM193="Y",$S193="Y",TRUE))</x:f>
      </x:c>
      <x:c r="BE193" s="13">
        <x:f>IF($C193="","",IF($AN193="Y",$T193="Y",TRUE))</x:f>
      </x:c>
      <x:c r="BF193" s="13">
        <x:f>IF($C193="","",IF($AO193="",TRUE,IF($U193="",FALSE,$U193&lt;=$AO193)))</x:f>
      </x:c>
      <x:c r="BG193" s="13">
        <x:f>IF($C193="","",IF($AP193="",TRUE,IF($V193="",FALSE,$V193&lt;=$AP193)))</x:f>
      </x:c>
      <x:c r="BH193" s="13">
        <x:f>IF($C193="","",IF($AQ193="",TRUE,IF($W193="",FALSE,$W193&lt;=$AQ193)))</x:f>
      </x:c>
      <x:c r="BI193" s="13">
        <x:f>IF($C193="","",IF($AR193="",TRUE,IF($X193="",FALSE,$X193&lt;=$AR193)))</x:f>
      </x:c>
      <x:c r="BJ193" s="15">
        <x:f>IF($C193="","",IF($Y193="",0,$Y193)+IF($AS193,10,0)+IF($AT193,8,0)+IF($AU193,5,0)+IF($AV193,8,0)+IF($AW193,15,0)+IF($AX193,4,0)+IF($AY193,5,0)+IF($AZ193,10,0)+IF($BA193,8,0)+IF($BB193,4,0)+IF($BC193,6,0)+IF($BD193,3,0)+IF($BE193,2,0)+IF($BF193,2,0)+IF($BG193,2,0)+IF($BH193,2,0)+IF($BI193,1,0))</x:f>
      </x:c>
      <x:c r="BK193" s="15">
        <x:f>IF($C193="","",IF(NOT($AS193),1,0)+IF(NOT($AW193),1,0)+IF(NOT($AZ193),1,0)+IF(NOT($BA193),1,0)+IF(NOT($BB193),1,0)+IF(NOT($BC193),1,0))</x:f>
      </x:c>
      <x:c r="BL193" s="13">
        <x:f>IF($C193="","",IF($BK193&gt;0,"REJECT",IF(COUNTIF($AS193:$BI193,FALSE)=0,"ACCEPT",IF($BJ193&gt;=85,"ACCEPT WITH SORTING / DISCOUNT","REJECT"))))</x:f>
      </x:c>
    </x:row>
    <x:row r="194" ht="24" customHeight="1">
      <x:c r="A194" s="10" t="n"/>
      <x:c r="B194" s="11" t="n"/>
      <x:c r="C194" s="11" t="n"/>
      <x:c r="D194" s="11" t="n"/>
      <x:c r="E194" s="11" t="n"/>
      <x:c r="F194" s="11" t="n"/>
      <x:c r="G194" s="11" t="n"/>
      <x:c r="H194" s="11" t="n"/>
      <x:c r="I194" s="12" t="n"/>
      <x:c r="J194" s="12" t="n"/>
      <x:c r="K194" s="12" t="n"/>
      <x:c r="L194" s="12" t="n"/>
      <x:c r="M194" s="12" t="n"/>
      <x:c r="N194" s="12" t="n"/>
      <x:c r="O194" s="12" t="n"/>
      <x:c r="P194" s="11" t="n"/>
      <x:c r="Q194" s="11" t="n"/>
      <x:c r="R194" s="11" t="n"/>
      <x:c r="S194" s="11" t="n"/>
      <x:c r="T194" s="11" t="n"/>
      <x:c r="U194" s="12" t="n"/>
      <x:c r="V194" s="12" t="n"/>
      <x:c r="W194" s="12" t="n"/>
      <x:c r="X194" s="12" t="n"/>
      <x:c r="Y194" s="12" t="n"/>
      <x:c r="Z194" s="13">
        <x:f>IF($C194="","",VLOOKUP($C194,Config!$A$2:$Y$4,2,FALSE))</x:f>
      </x:c>
      <x:c r="AA194" s="13">
        <x:f>IF($C194="","",VLOOKUP($C194,Config!$A$2:$Y$4,5,FALSE))</x:f>
      </x:c>
      <x:c r="AB194" s="14">
        <x:f>IF($C194="","",VLOOKUP($C194,Config!$A$2:$Y$4,7,FALSE))</x:f>
      </x:c>
      <x:c r="AC194" s="14">
        <x:f>IF($C194="","",VLOOKUP($C194,Config!$A$2:$Y$4,8,FALSE))</x:f>
      </x:c>
      <x:c r="AD194" s="14">
        <x:f>IF($C194="","",VLOOKUP($C194,Config!$A$2:$Y$4,9,FALSE))</x:f>
      </x:c>
      <x:c r="AE194" s="14">
        <x:f>IF($C194="","",VLOOKUP($C194,Config!$A$2:$Y$4,10,FALSE))</x:f>
      </x:c>
      <x:c r="AF194" s="14">
        <x:f>IF($C194="","",VLOOKUP($C194,Config!$A$2:$Y$4,11,FALSE))</x:f>
      </x:c>
      <x:c r="AG194" s="14">
        <x:f>IF($C194="","",VLOOKUP($C194,Config!$A$2:$Y$4,12,FALSE))</x:f>
      </x:c>
      <x:c r="AH194" s="14">
        <x:f>IF($C194="","",VLOOKUP($C194,Config!$A$2:$Y$4,13,FALSE))</x:f>
      </x:c>
      <x:c r="AI194" s="14">
        <x:f>IF($C194="","",VLOOKUP($C194,Config!$A$2:$Y$4,14,FALSE))</x:f>
      </x:c>
      <x:c r="AJ194" s="14">
        <x:f>IF($C194="","",VLOOKUP($C194,Config!$A$2:$Y$4,15,FALSE))</x:f>
      </x:c>
      <x:c r="AK194" s="14">
        <x:f>IF($C194="","",VLOOKUP($C194,Config!$A$2:$Y$4,16,FALSE))</x:f>
      </x:c>
      <x:c r="AL194" s="14">
        <x:f>IF($C194="","",VLOOKUP($C194,Config!$A$2:$Y$4,17,FALSE))</x:f>
      </x:c>
      <x:c r="AM194" s="14">
        <x:f>IF($C194="","",VLOOKUP($C194,Config!$A$2:$Y$4,18,FALSE))</x:f>
      </x:c>
      <x:c r="AN194" s="14">
        <x:f>IF($C194="","",VLOOKUP($C194,Config!$A$2:$Y$4,19,FALSE))</x:f>
      </x:c>
      <x:c r="AO194" s="14">
        <x:f>IF($C194="","",VLOOKUP($C194,Config!$A$2:$Y$4,20,FALSE))</x:f>
      </x:c>
      <x:c r="AP194" s="14">
        <x:f>IF($C194="","",VLOOKUP($C194,Config!$A$2:$Y$4,21,FALSE))</x:f>
      </x:c>
      <x:c r="AQ194" s="14">
        <x:f>IF($C194="","",VLOOKUP($C194,Config!$A$2:$Y$4,22,FALSE))</x:f>
      </x:c>
      <x:c r="AR194" s="14">
        <x:f>IF($C194="","",VLOOKUP($C194,Config!$A$2:$Y$4,23,FALSE))</x:f>
      </x:c>
      <x:c r="AS194" s="13">
        <x:f>IF($C194="","",IF($H194="Extra",3,IF($H194="I",2,IF($H194="II",1,0)))&gt;=IF($AA194="Extra",3,IF($AA194="I",2,IF($AA194="II",1,0))))</x:f>
      </x:c>
      <x:c r="AT194" s="13">
        <x:f>IF($C194="","",IF($I194="",FALSE,$I194&gt;=$AB194))</x:f>
      </x:c>
      <x:c r="AU194" s="13">
        <x:f>IF($C194="","",IF($AC194="",TRUE,IF($J194="",FALSE,$J194&lt;=$AC194)))</x:f>
      </x:c>
      <x:c r="AV194" s="13">
        <x:f>IF($C194="","",IF($AD194="",TRUE,IF($K194="",FALSE,$K194&lt;=$AD194)))</x:f>
      </x:c>
      <x:c r="AW194" s="13">
        <x:f>IF($C194="","",IF($AE194="",TRUE,IF($L194="",FALSE,$L194&lt;=$AE194)))</x:f>
      </x:c>
      <x:c r="AX194" s="13">
        <x:f>IF($C194="","",IF($AF194="",TRUE,IF($M194="",FALSE,$M194&lt;=$AF194)))</x:f>
      </x:c>
      <x:c r="AY194" s="13">
        <x:f>IF($C194="","",IF($AG194="",TRUE,IF($N194="",FALSE,$N194&gt;=$AG194)))</x:f>
      </x:c>
      <x:c r="AZ194" s="13">
        <x:f>IF($C194="","",IF(OR($AH194="",$AI194=""),TRUE,IF($O194="",FALSE,AND($O194&gt;=$AH194,$O194&lt;=$AI194))))</x:f>
      </x:c>
      <x:c r="BA194" s="13">
        <x:f>IF($C194="","",IF($AJ194="Y",$P194="Y",TRUE))</x:f>
      </x:c>
      <x:c r="BB194" s="13">
        <x:f>IF($C194="","",IF($AK194="Y",$Q194="Y",TRUE))</x:f>
      </x:c>
      <x:c r="BC194" s="13">
        <x:f>IF($C194="","",IF($AL194="Y",$R194="Y",TRUE))</x:f>
      </x:c>
      <x:c r="BD194" s="13">
        <x:f>IF($C194="","",IF($AM194="Y",$S194="Y",TRUE))</x:f>
      </x:c>
      <x:c r="BE194" s="13">
        <x:f>IF($C194="","",IF($AN194="Y",$T194="Y",TRUE))</x:f>
      </x:c>
      <x:c r="BF194" s="13">
        <x:f>IF($C194="","",IF($AO194="",TRUE,IF($U194="",FALSE,$U194&lt;=$AO194)))</x:f>
      </x:c>
      <x:c r="BG194" s="13">
        <x:f>IF($C194="","",IF($AP194="",TRUE,IF($V194="",FALSE,$V194&lt;=$AP194)))</x:f>
      </x:c>
      <x:c r="BH194" s="13">
        <x:f>IF($C194="","",IF($AQ194="",TRUE,IF($W194="",FALSE,$W194&lt;=$AQ194)))</x:f>
      </x:c>
      <x:c r="BI194" s="13">
        <x:f>IF($C194="","",IF($AR194="",TRUE,IF($X194="",FALSE,$X194&lt;=$AR194)))</x:f>
      </x:c>
      <x:c r="BJ194" s="15">
        <x:f>IF($C194="","",IF($Y194="",0,$Y194)+IF($AS194,10,0)+IF($AT194,8,0)+IF($AU194,5,0)+IF($AV194,8,0)+IF($AW194,15,0)+IF($AX194,4,0)+IF($AY194,5,0)+IF($AZ194,10,0)+IF($BA194,8,0)+IF($BB194,4,0)+IF($BC194,6,0)+IF($BD194,3,0)+IF($BE194,2,0)+IF($BF194,2,0)+IF($BG194,2,0)+IF($BH194,2,0)+IF($BI194,1,0))</x:f>
      </x:c>
      <x:c r="BK194" s="15">
        <x:f>IF($C194="","",IF(NOT($AS194),1,0)+IF(NOT($AW194),1,0)+IF(NOT($AZ194),1,0)+IF(NOT($BA194),1,0)+IF(NOT($BB194),1,0)+IF(NOT($BC194),1,0))</x:f>
      </x:c>
      <x:c r="BL194" s="13">
        <x:f>IF($C194="","",IF($BK194&gt;0,"REJECT",IF(COUNTIF($AS194:$BI194,FALSE)=0,"ACCEPT",IF($BJ194&gt;=85,"ACCEPT WITH SORTING / DISCOUNT","REJECT"))))</x:f>
      </x:c>
    </x:row>
    <x:row r="195" ht="24" customHeight="1">
      <x:c r="A195" s="10" t="n"/>
      <x:c r="B195" s="11" t="n"/>
      <x:c r="C195" s="11" t="n"/>
      <x:c r="D195" s="11" t="n"/>
      <x:c r="E195" s="11" t="n"/>
      <x:c r="F195" s="11" t="n"/>
      <x:c r="G195" s="11" t="n"/>
      <x:c r="H195" s="11" t="n"/>
      <x:c r="I195" s="12" t="n"/>
      <x:c r="J195" s="12" t="n"/>
      <x:c r="K195" s="12" t="n"/>
      <x:c r="L195" s="12" t="n"/>
      <x:c r="M195" s="12" t="n"/>
      <x:c r="N195" s="12" t="n"/>
      <x:c r="O195" s="12" t="n"/>
      <x:c r="P195" s="11" t="n"/>
      <x:c r="Q195" s="11" t="n"/>
      <x:c r="R195" s="11" t="n"/>
      <x:c r="S195" s="11" t="n"/>
      <x:c r="T195" s="11" t="n"/>
      <x:c r="U195" s="12" t="n"/>
      <x:c r="V195" s="12" t="n"/>
      <x:c r="W195" s="12" t="n"/>
      <x:c r="X195" s="12" t="n"/>
      <x:c r="Y195" s="12" t="n"/>
      <x:c r="Z195" s="13">
        <x:f>IF($C195="","",VLOOKUP($C195,Config!$A$2:$Y$4,2,FALSE))</x:f>
      </x:c>
      <x:c r="AA195" s="13">
        <x:f>IF($C195="","",VLOOKUP($C195,Config!$A$2:$Y$4,5,FALSE))</x:f>
      </x:c>
      <x:c r="AB195" s="14">
        <x:f>IF($C195="","",VLOOKUP($C195,Config!$A$2:$Y$4,7,FALSE))</x:f>
      </x:c>
      <x:c r="AC195" s="14">
        <x:f>IF($C195="","",VLOOKUP($C195,Config!$A$2:$Y$4,8,FALSE))</x:f>
      </x:c>
      <x:c r="AD195" s="14">
        <x:f>IF($C195="","",VLOOKUP($C195,Config!$A$2:$Y$4,9,FALSE))</x:f>
      </x:c>
      <x:c r="AE195" s="14">
        <x:f>IF($C195="","",VLOOKUP($C195,Config!$A$2:$Y$4,10,FALSE))</x:f>
      </x:c>
      <x:c r="AF195" s="14">
        <x:f>IF($C195="","",VLOOKUP($C195,Config!$A$2:$Y$4,11,FALSE))</x:f>
      </x:c>
      <x:c r="AG195" s="14">
        <x:f>IF($C195="","",VLOOKUP($C195,Config!$A$2:$Y$4,12,FALSE))</x:f>
      </x:c>
      <x:c r="AH195" s="14">
        <x:f>IF($C195="","",VLOOKUP($C195,Config!$A$2:$Y$4,13,FALSE))</x:f>
      </x:c>
      <x:c r="AI195" s="14">
        <x:f>IF($C195="","",VLOOKUP($C195,Config!$A$2:$Y$4,14,FALSE))</x:f>
      </x:c>
      <x:c r="AJ195" s="14">
        <x:f>IF($C195="","",VLOOKUP($C195,Config!$A$2:$Y$4,15,FALSE))</x:f>
      </x:c>
      <x:c r="AK195" s="14">
        <x:f>IF($C195="","",VLOOKUP($C195,Config!$A$2:$Y$4,16,FALSE))</x:f>
      </x:c>
      <x:c r="AL195" s="14">
        <x:f>IF($C195="","",VLOOKUP($C195,Config!$A$2:$Y$4,17,FALSE))</x:f>
      </x:c>
      <x:c r="AM195" s="14">
        <x:f>IF($C195="","",VLOOKUP($C195,Config!$A$2:$Y$4,18,FALSE))</x:f>
      </x:c>
      <x:c r="AN195" s="14">
        <x:f>IF($C195="","",VLOOKUP($C195,Config!$A$2:$Y$4,19,FALSE))</x:f>
      </x:c>
      <x:c r="AO195" s="14">
        <x:f>IF($C195="","",VLOOKUP($C195,Config!$A$2:$Y$4,20,FALSE))</x:f>
      </x:c>
      <x:c r="AP195" s="14">
        <x:f>IF($C195="","",VLOOKUP($C195,Config!$A$2:$Y$4,21,FALSE))</x:f>
      </x:c>
      <x:c r="AQ195" s="14">
        <x:f>IF($C195="","",VLOOKUP($C195,Config!$A$2:$Y$4,22,FALSE))</x:f>
      </x:c>
      <x:c r="AR195" s="14">
        <x:f>IF($C195="","",VLOOKUP($C195,Config!$A$2:$Y$4,23,FALSE))</x:f>
      </x:c>
      <x:c r="AS195" s="13">
        <x:f>IF($C195="","",IF($H195="Extra",3,IF($H195="I",2,IF($H195="II",1,0)))&gt;=IF($AA195="Extra",3,IF($AA195="I",2,IF($AA195="II",1,0))))</x:f>
      </x:c>
      <x:c r="AT195" s="13">
        <x:f>IF($C195="","",IF($I195="",FALSE,$I195&gt;=$AB195))</x:f>
      </x:c>
      <x:c r="AU195" s="13">
        <x:f>IF($C195="","",IF($AC195="",TRUE,IF($J195="",FALSE,$J195&lt;=$AC195)))</x:f>
      </x:c>
      <x:c r="AV195" s="13">
        <x:f>IF($C195="","",IF($AD195="",TRUE,IF($K195="",FALSE,$K195&lt;=$AD195)))</x:f>
      </x:c>
      <x:c r="AW195" s="13">
        <x:f>IF($C195="","",IF($AE195="",TRUE,IF($L195="",FALSE,$L195&lt;=$AE195)))</x:f>
      </x:c>
      <x:c r="AX195" s="13">
        <x:f>IF($C195="","",IF($AF195="",TRUE,IF($M195="",FALSE,$M195&lt;=$AF195)))</x:f>
      </x:c>
      <x:c r="AY195" s="13">
        <x:f>IF($C195="","",IF($AG195="",TRUE,IF($N195="",FALSE,$N195&gt;=$AG195)))</x:f>
      </x:c>
      <x:c r="AZ195" s="13">
        <x:f>IF($C195="","",IF(OR($AH195="",$AI195=""),TRUE,IF($O195="",FALSE,AND($O195&gt;=$AH195,$O195&lt;=$AI195))))</x:f>
      </x:c>
      <x:c r="BA195" s="13">
        <x:f>IF($C195="","",IF($AJ195="Y",$P195="Y",TRUE))</x:f>
      </x:c>
      <x:c r="BB195" s="13">
        <x:f>IF($C195="","",IF($AK195="Y",$Q195="Y",TRUE))</x:f>
      </x:c>
      <x:c r="BC195" s="13">
        <x:f>IF($C195="","",IF($AL195="Y",$R195="Y",TRUE))</x:f>
      </x:c>
      <x:c r="BD195" s="13">
        <x:f>IF($C195="","",IF($AM195="Y",$S195="Y",TRUE))</x:f>
      </x:c>
      <x:c r="BE195" s="13">
        <x:f>IF($C195="","",IF($AN195="Y",$T195="Y",TRUE))</x:f>
      </x:c>
      <x:c r="BF195" s="13">
        <x:f>IF($C195="","",IF($AO195="",TRUE,IF($U195="",FALSE,$U195&lt;=$AO195)))</x:f>
      </x:c>
      <x:c r="BG195" s="13">
        <x:f>IF($C195="","",IF($AP195="",TRUE,IF($V195="",FALSE,$V195&lt;=$AP195)))</x:f>
      </x:c>
      <x:c r="BH195" s="13">
        <x:f>IF($C195="","",IF($AQ195="",TRUE,IF($W195="",FALSE,$W195&lt;=$AQ195)))</x:f>
      </x:c>
      <x:c r="BI195" s="13">
        <x:f>IF($C195="","",IF($AR195="",TRUE,IF($X195="",FALSE,$X195&lt;=$AR195)))</x:f>
      </x:c>
      <x:c r="BJ195" s="15">
        <x:f>IF($C195="","",IF($Y195="",0,$Y195)+IF($AS195,10,0)+IF($AT195,8,0)+IF($AU195,5,0)+IF($AV195,8,0)+IF($AW195,15,0)+IF($AX195,4,0)+IF($AY195,5,0)+IF($AZ195,10,0)+IF($BA195,8,0)+IF($BB195,4,0)+IF($BC195,6,0)+IF($BD195,3,0)+IF($BE195,2,0)+IF($BF195,2,0)+IF($BG195,2,0)+IF($BH195,2,0)+IF($BI195,1,0))</x:f>
      </x:c>
      <x:c r="BK195" s="15">
        <x:f>IF($C195="","",IF(NOT($AS195),1,0)+IF(NOT($AW195),1,0)+IF(NOT($AZ195),1,0)+IF(NOT($BA195),1,0)+IF(NOT($BB195),1,0)+IF(NOT($BC195),1,0))</x:f>
      </x:c>
      <x:c r="BL195" s="13">
        <x:f>IF($C195="","",IF($BK195&gt;0,"REJECT",IF(COUNTIF($AS195:$BI195,FALSE)=0,"ACCEPT",IF($BJ195&gt;=85,"ACCEPT WITH SORTING / DISCOUNT","REJECT"))))</x:f>
      </x:c>
    </x:row>
    <x:row r="196" ht="24" customHeight="1">
      <x:c r="A196" s="10" t="n"/>
      <x:c r="B196" s="11" t="n"/>
      <x:c r="C196" s="11" t="n"/>
      <x:c r="D196" s="11" t="n"/>
      <x:c r="E196" s="11" t="n"/>
      <x:c r="F196" s="11" t="n"/>
      <x:c r="G196" s="11" t="n"/>
      <x:c r="H196" s="11" t="n"/>
      <x:c r="I196" s="12" t="n"/>
      <x:c r="J196" s="12" t="n"/>
      <x:c r="K196" s="12" t="n"/>
      <x:c r="L196" s="12" t="n"/>
      <x:c r="M196" s="12" t="n"/>
      <x:c r="N196" s="12" t="n"/>
      <x:c r="O196" s="12" t="n"/>
      <x:c r="P196" s="11" t="n"/>
      <x:c r="Q196" s="11" t="n"/>
      <x:c r="R196" s="11" t="n"/>
      <x:c r="S196" s="11" t="n"/>
      <x:c r="T196" s="11" t="n"/>
      <x:c r="U196" s="12" t="n"/>
      <x:c r="V196" s="12" t="n"/>
      <x:c r="W196" s="12" t="n"/>
      <x:c r="X196" s="12" t="n"/>
      <x:c r="Y196" s="12" t="n"/>
      <x:c r="Z196" s="13">
        <x:f>IF($C196="","",VLOOKUP($C196,Config!$A$2:$Y$4,2,FALSE))</x:f>
      </x:c>
      <x:c r="AA196" s="13">
        <x:f>IF($C196="","",VLOOKUP($C196,Config!$A$2:$Y$4,5,FALSE))</x:f>
      </x:c>
      <x:c r="AB196" s="14">
        <x:f>IF($C196="","",VLOOKUP($C196,Config!$A$2:$Y$4,7,FALSE))</x:f>
      </x:c>
      <x:c r="AC196" s="14">
        <x:f>IF($C196="","",VLOOKUP($C196,Config!$A$2:$Y$4,8,FALSE))</x:f>
      </x:c>
      <x:c r="AD196" s="14">
        <x:f>IF($C196="","",VLOOKUP($C196,Config!$A$2:$Y$4,9,FALSE))</x:f>
      </x:c>
      <x:c r="AE196" s="14">
        <x:f>IF($C196="","",VLOOKUP($C196,Config!$A$2:$Y$4,10,FALSE))</x:f>
      </x:c>
      <x:c r="AF196" s="14">
        <x:f>IF($C196="","",VLOOKUP($C196,Config!$A$2:$Y$4,11,FALSE))</x:f>
      </x:c>
      <x:c r="AG196" s="14">
        <x:f>IF($C196="","",VLOOKUP($C196,Config!$A$2:$Y$4,12,FALSE))</x:f>
      </x:c>
      <x:c r="AH196" s="14">
        <x:f>IF($C196="","",VLOOKUP($C196,Config!$A$2:$Y$4,13,FALSE))</x:f>
      </x:c>
      <x:c r="AI196" s="14">
        <x:f>IF($C196="","",VLOOKUP($C196,Config!$A$2:$Y$4,14,FALSE))</x:f>
      </x:c>
      <x:c r="AJ196" s="14">
        <x:f>IF($C196="","",VLOOKUP($C196,Config!$A$2:$Y$4,15,FALSE))</x:f>
      </x:c>
      <x:c r="AK196" s="14">
        <x:f>IF($C196="","",VLOOKUP($C196,Config!$A$2:$Y$4,16,FALSE))</x:f>
      </x:c>
      <x:c r="AL196" s="14">
        <x:f>IF($C196="","",VLOOKUP($C196,Config!$A$2:$Y$4,17,FALSE))</x:f>
      </x:c>
      <x:c r="AM196" s="14">
        <x:f>IF($C196="","",VLOOKUP($C196,Config!$A$2:$Y$4,18,FALSE))</x:f>
      </x:c>
      <x:c r="AN196" s="14">
        <x:f>IF($C196="","",VLOOKUP($C196,Config!$A$2:$Y$4,19,FALSE))</x:f>
      </x:c>
      <x:c r="AO196" s="14">
        <x:f>IF($C196="","",VLOOKUP($C196,Config!$A$2:$Y$4,20,FALSE))</x:f>
      </x:c>
      <x:c r="AP196" s="14">
        <x:f>IF($C196="","",VLOOKUP($C196,Config!$A$2:$Y$4,21,FALSE))</x:f>
      </x:c>
      <x:c r="AQ196" s="14">
        <x:f>IF($C196="","",VLOOKUP($C196,Config!$A$2:$Y$4,22,FALSE))</x:f>
      </x:c>
      <x:c r="AR196" s="14">
        <x:f>IF($C196="","",VLOOKUP($C196,Config!$A$2:$Y$4,23,FALSE))</x:f>
      </x:c>
      <x:c r="AS196" s="13">
        <x:f>IF($C196="","",IF($H196="Extra",3,IF($H196="I",2,IF($H196="II",1,0)))&gt;=IF($AA196="Extra",3,IF($AA196="I",2,IF($AA196="II",1,0))))</x:f>
      </x:c>
      <x:c r="AT196" s="13">
        <x:f>IF($C196="","",IF($I196="",FALSE,$I196&gt;=$AB196))</x:f>
      </x:c>
      <x:c r="AU196" s="13">
        <x:f>IF($C196="","",IF($AC196="",TRUE,IF($J196="",FALSE,$J196&lt;=$AC196)))</x:f>
      </x:c>
      <x:c r="AV196" s="13">
        <x:f>IF($C196="","",IF($AD196="",TRUE,IF($K196="",FALSE,$K196&lt;=$AD196)))</x:f>
      </x:c>
      <x:c r="AW196" s="13">
        <x:f>IF($C196="","",IF($AE196="",TRUE,IF($L196="",FALSE,$L196&lt;=$AE196)))</x:f>
      </x:c>
      <x:c r="AX196" s="13">
        <x:f>IF($C196="","",IF($AF196="",TRUE,IF($M196="",FALSE,$M196&lt;=$AF196)))</x:f>
      </x:c>
      <x:c r="AY196" s="13">
        <x:f>IF($C196="","",IF($AG196="",TRUE,IF($N196="",FALSE,$N196&gt;=$AG196)))</x:f>
      </x:c>
      <x:c r="AZ196" s="13">
        <x:f>IF($C196="","",IF(OR($AH196="",$AI196=""),TRUE,IF($O196="",FALSE,AND($O196&gt;=$AH196,$O196&lt;=$AI196))))</x:f>
      </x:c>
      <x:c r="BA196" s="13">
        <x:f>IF($C196="","",IF($AJ196="Y",$P196="Y",TRUE))</x:f>
      </x:c>
      <x:c r="BB196" s="13">
        <x:f>IF($C196="","",IF($AK196="Y",$Q196="Y",TRUE))</x:f>
      </x:c>
      <x:c r="BC196" s="13">
        <x:f>IF($C196="","",IF($AL196="Y",$R196="Y",TRUE))</x:f>
      </x:c>
      <x:c r="BD196" s="13">
        <x:f>IF($C196="","",IF($AM196="Y",$S196="Y",TRUE))</x:f>
      </x:c>
      <x:c r="BE196" s="13">
        <x:f>IF($C196="","",IF($AN196="Y",$T196="Y",TRUE))</x:f>
      </x:c>
      <x:c r="BF196" s="13">
        <x:f>IF($C196="","",IF($AO196="",TRUE,IF($U196="",FALSE,$U196&lt;=$AO196)))</x:f>
      </x:c>
      <x:c r="BG196" s="13">
        <x:f>IF($C196="","",IF($AP196="",TRUE,IF($V196="",FALSE,$V196&lt;=$AP196)))</x:f>
      </x:c>
      <x:c r="BH196" s="13">
        <x:f>IF($C196="","",IF($AQ196="",TRUE,IF($W196="",FALSE,$W196&lt;=$AQ196)))</x:f>
      </x:c>
      <x:c r="BI196" s="13">
        <x:f>IF($C196="","",IF($AR196="",TRUE,IF($X196="",FALSE,$X196&lt;=$AR196)))</x:f>
      </x:c>
      <x:c r="BJ196" s="15">
        <x:f>IF($C196="","",IF($Y196="",0,$Y196)+IF($AS196,10,0)+IF($AT196,8,0)+IF($AU196,5,0)+IF($AV196,8,0)+IF($AW196,15,0)+IF($AX196,4,0)+IF($AY196,5,0)+IF($AZ196,10,0)+IF($BA196,8,0)+IF($BB196,4,0)+IF($BC196,6,0)+IF($BD196,3,0)+IF($BE196,2,0)+IF($BF196,2,0)+IF($BG196,2,0)+IF($BH196,2,0)+IF($BI196,1,0))</x:f>
      </x:c>
      <x:c r="BK196" s="15">
        <x:f>IF($C196="","",IF(NOT($AS196),1,0)+IF(NOT($AW196),1,0)+IF(NOT($AZ196),1,0)+IF(NOT($BA196),1,0)+IF(NOT($BB196),1,0)+IF(NOT($BC196),1,0))</x:f>
      </x:c>
      <x:c r="BL196" s="13">
        <x:f>IF($C196="","",IF($BK196&gt;0,"REJECT",IF(COUNTIF($AS196:$BI196,FALSE)=0,"ACCEPT",IF($BJ196&gt;=85,"ACCEPT WITH SORTING / DISCOUNT","REJECT"))))</x:f>
      </x:c>
    </x:row>
    <x:row r="197" ht="24" customHeight="1">
      <x:c r="A197" s="10" t="n"/>
      <x:c r="B197" s="11" t="n"/>
      <x:c r="C197" s="11" t="n"/>
      <x:c r="D197" s="11" t="n"/>
      <x:c r="E197" s="11" t="n"/>
      <x:c r="F197" s="11" t="n"/>
      <x:c r="G197" s="11" t="n"/>
      <x:c r="H197" s="11" t="n"/>
      <x:c r="I197" s="12" t="n"/>
      <x:c r="J197" s="12" t="n"/>
      <x:c r="K197" s="12" t="n"/>
      <x:c r="L197" s="12" t="n"/>
      <x:c r="M197" s="12" t="n"/>
      <x:c r="N197" s="12" t="n"/>
      <x:c r="O197" s="12" t="n"/>
      <x:c r="P197" s="11" t="n"/>
      <x:c r="Q197" s="11" t="n"/>
      <x:c r="R197" s="11" t="n"/>
      <x:c r="S197" s="11" t="n"/>
      <x:c r="T197" s="11" t="n"/>
      <x:c r="U197" s="12" t="n"/>
      <x:c r="V197" s="12" t="n"/>
      <x:c r="W197" s="12" t="n"/>
      <x:c r="X197" s="12" t="n"/>
      <x:c r="Y197" s="12" t="n"/>
      <x:c r="Z197" s="13">
        <x:f>IF($C197="","",VLOOKUP($C197,Config!$A$2:$Y$4,2,FALSE))</x:f>
      </x:c>
      <x:c r="AA197" s="13">
        <x:f>IF($C197="","",VLOOKUP($C197,Config!$A$2:$Y$4,5,FALSE))</x:f>
      </x:c>
      <x:c r="AB197" s="14">
        <x:f>IF($C197="","",VLOOKUP($C197,Config!$A$2:$Y$4,7,FALSE))</x:f>
      </x:c>
      <x:c r="AC197" s="14">
        <x:f>IF($C197="","",VLOOKUP($C197,Config!$A$2:$Y$4,8,FALSE))</x:f>
      </x:c>
      <x:c r="AD197" s="14">
        <x:f>IF($C197="","",VLOOKUP($C197,Config!$A$2:$Y$4,9,FALSE))</x:f>
      </x:c>
      <x:c r="AE197" s="14">
        <x:f>IF($C197="","",VLOOKUP($C197,Config!$A$2:$Y$4,10,FALSE))</x:f>
      </x:c>
      <x:c r="AF197" s="14">
        <x:f>IF($C197="","",VLOOKUP($C197,Config!$A$2:$Y$4,11,FALSE))</x:f>
      </x:c>
      <x:c r="AG197" s="14">
        <x:f>IF($C197="","",VLOOKUP($C197,Config!$A$2:$Y$4,12,FALSE))</x:f>
      </x:c>
      <x:c r="AH197" s="14">
        <x:f>IF($C197="","",VLOOKUP($C197,Config!$A$2:$Y$4,13,FALSE))</x:f>
      </x:c>
      <x:c r="AI197" s="14">
        <x:f>IF($C197="","",VLOOKUP($C197,Config!$A$2:$Y$4,14,FALSE))</x:f>
      </x:c>
      <x:c r="AJ197" s="14">
        <x:f>IF($C197="","",VLOOKUP($C197,Config!$A$2:$Y$4,15,FALSE))</x:f>
      </x:c>
      <x:c r="AK197" s="14">
        <x:f>IF($C197="","",VLOOKUP($C197,Config!$A$2:$Y$4,16,FALSE))</x:f>
      </x:c>
      <x:c r="AL197" s="14">
        <x:f>IF($C197="","",VLOOKUP($C197,Config!$A$2:$Y$4,17,FALSE))</x:f>
      </x:c>
      <x:c r="AM197" s="14">
        <x:f>IF($C197="","",VLOOKUP($C197,Config!$A$2:$Y$4,18,FALSE))</x:f>
      </x:c>
      <x:c r="AN197" s="14">
        <x:f>IF($C197="","",VLOOKUP($C197,Config!$A$2:$Y$4,19,FALSE))</x:f>
      </x:c>
      <x:c r="AO197" s="14">
        <x:f>IF($C197="","",VLOOKUP($C197,Config!$A$2:$Y$4,20,FALSE))</x:f>
      </x:c>
      <x:c r="AP197" s="14">
        <x:f>IF($C197="","",VLOOKUP($C197,Config!$A$2:$Y$4,21,FALSE))</x:f>
      </x:c>
      <x:c r="AQ197" s="14">
        <x:f>IF($C197="","",VLOOKUP($C197,Config!$A$2:$Y$4,22,FALSE))</x:f>
      </x:c>
      <x:c r="AR197" s="14">
        <x:f>IF($C197="","",VLOOKUP($C197,Config!$A$2:$Y$4,23,FALSE))</x:f>
      </x:c>
      <x:c r="AS197" s="13">
        <x:f>IF($C197="","",IF($H197="Extra",3,IF($H197="I",2,IF($H197="II",1,0)))&gt;=IF($AA197="Extra",3,IF($AA197="I",2,IF($AA197="II",1,0))))</x:f>
      </x:c>
      <x:c r="AT197" s="13">
        <x:f>IF($C197="","",IF($I197="",FALSE,$I197&gt;=$AB197))</x:f>
      </x:c>
      <x:c r="AU197" s="13">
        <x:f>IF($C197="","",IF($AC197="",TRUE,IF($J197="",FALSE,$J197&lt;=$AC197)))</x:f>
      </x:c>
      <x:c r="AV197" s="13">
        <x:f>IF($C197="","",IF($AD197="",TRUE,IF($K197="",FALSE,$K197&lt;=$AD197)))</x:f>
      </x:c>
      <x:c r="AW197" s="13">
        <x:f>IF($C197="","",IF($AE197="",TRUE,IF($L197="",FALSE,$L197&lt;=$AE197)))</x:f>
      </x:c>
      <x:c r="AX197" s="13">
        <x:f>IF($C197="","",IF($AF197="",TRUE,IF($M197="",FALSE,$M197&lt;=$AF197)))</x:f>
      </x:c>
      <x:c r="AY197" s="13">
        <x:f>IF($C197="","",IF($AG197="",TRUE,IF($N197="",FALSE,$N197&gt;=$AG197)))</x:f>
      </x:c>
      <x:c r="AZ197" s="13">
        <x:f>IF($C197="","",IF(OR($AH197="",$AI197=""),TRUE,IF($O197="",FALSE,AND($O197&gt;=$AH197,$O197&lt;=$AI197))))</x:f>
      </x:c>
      <x:c r="BA197" s="13">
        <x:f>IF($C197="","",IF($AJ197="Y",$P197="Y",TRUE))</x:f>
      </x:c>
      <x:c r="BB197" s="13">
        <x:f>IF($C197="","",IF($AK197="Y",$Q197="Y",TRUE))</x:f>
      </x:c>
      <x:c r="BC197" s="13">
        <x:f>IF($C197="","",IF($AL197="Y",$R197="Y",TRUE))</x:f>
      </x:c>
      <x:c r="BD197" s="13">
        <x:f>IF($C197="","",IF($AM197="Y",$S197="Y",TRUE))</x:f>
      </x:c>
      <x:c r="BE197" s="13">
        <x:f>IF($C197="","",IF($AN197="Y",$T197="Y",TRUE))</x:f>
      </x:c>
      <x:c r="BF197" s="13">
        <x:f>IF($C197="","",IF($AO197="",TRUE,IF($U197="",FALSE,$U197&lt;=$AO197)))</x:f>
      </x:c>
      <x:c r="BG197" s="13">
        <x:f>IF($C197="","",IF($AP197="",TRUE,IF($V197="",FALSE,$V197&lt;=$AP197)))</x:f>
      </x:c>
      <x:c r="BH197" s="13">
        <x:f>IF($C197="","",IF($AQ197="",TRUE,IF($W197="",FALSE,$W197&lt;=$AQ197)))</x:f>
      </x:c>
      <x:c r="BI197" s="13">
        <x:f>IF($C197="","",IF($AR197="",TRUE,IF($X197="",FALSE,$X197&lt;=$AR197)))</x:f>
      </x:c>
      <x:c r="BJ197" s="15">
        <x:f>IF($C197="","",IF($Y197="",0,$Y197)+IF($AS197,10,0)+IF($AT197,8,0)+IF($AU197,5,0)+IF($AV197,8,0)+IF($AW197,15,0)+IF($AX197,4,0)+IF($AY197,5,0)+IF($AZ197,10,0)+IF($BA197,8,0)+IF($BB197,4,0)+IF($BC197,6,0)+IF($BD197,3,0)+IF($BE197,2,0)+IF($BF197,2,0)+IF($BG197,2,0)+IF($BH197,2,0)+IF($BI197,1,0))</x:f>
      </x:c>
      <x:c r="BK197" s="15">
        <x:f>IF($C197="","",IF(NOT($AS197),1,0)+IF(NOT($AW197),1,0)+IF(NOT($AZ197),1,0)+IF(NOT($BA197),1,0)+IF(NOT($BB197),1,0)+IF(NOT($BC197),1,0))</x:f>
      </x:c>
      <x:c r="BL197" s="13">
        <x:f>IF($C197="","",IF($BK197&gt;0,"REJECT",IF(COUNTIF($AS197:$BI197,FALSE)=0,"ACCEPT",IF($BJ197&gt;=85,"ACCEPT WITH SORTING / DISCOUNT","REJECT"))))</x:f>
      </x:c>
    </x:row>
    <x:row r="198" ht="24" customHeight="1">
      <x:c r="A198" s="10" t="n"/>
      <x:c r="B198" s="11" t="n"/>
      <x:c r="C198" s="11" t="n"/>
      <x:c r="D198" s="11" t="n"/>
      <x:c r="E198" s="11" t="n"/>
      <x:c r="F198" s="11" t="n"/>
      <x:c r="G198" s="11" t="n"/>
      <x:c r="H198" s="11" t="n"/>
      <x:c r="I198" s="12" t="n"/>
      <x:c r="J198" s="12" t="n"/>
      <x:c r="K198" s="12" t="n"/>
      <x:c r="L198" s="12" t="n"/>
      <x:c r="M198" s="12" t="n"/>
      <x:c r="N198" s="12" t="n"/>
      <x:c r="O198" s="12" t="n"/>
      <x:c r="P198" s="11" t="n"/>
      <x:c r="Q198" s="11" t="n"/>
      <x:c r="R198" s="11" t="n"/>
      <x:c r="S198" s="11" t="n"/>
      <x:c r="T198" s="11" t="n"/>
      <x:c r="U198" s="12" t="n"/>
      <x:c r="V198" s="12" t="n"/>
      <x:c r="W198" s="12" t="n"/>
      <x:c r="X198" s="12" t="n"/>
      <x:c r="Y198" s="12" t="n"/>
      <x:c r="Z198" s="13">
        <x:f>IF($C198="","",VLOOKUP($C198,Config!$A$2:$Y$4,2,FALSE))</x:f>
      </x:c>
      <x:c r="AA198" s="13">
        <x:f>IF($C198="","",VLOOKUP($C198,Config!$A$2:$Y$4,5,FALSE))</x:f>
      </x:c>
      <x:c r="AB198" s="14">
        <x:f>IF($C198="","",VLOOKUP($C198,Config!$A$2:$Y$4,7,FALSE))</x:f>
      </x:c>
      <x:c r="AC198" s="14">
        <x:f>IF($C198="","",VLOOKUP($C198,Config!$A$2:$Y$4,8,FALSE))</x:f>
      </x:c>
      <x:c r="AD198" s="14">
        <x:f>IF($C198="","",VLOOKUP($C198,Config!$A$2:$Y$4,9,FALSE))</x:f>
      </x:c>
      <x:c r="AE198" s="14">
        <x:f>IF($C198="","",VLOOKUP($C198,Config!$A$2:$Y$4,10,FALSE))</x:f>
      </x:c>
      <x:c r="AF198" s="14">
        <x:f>IF($C198="","",VLOOKUP($C198,Config!$A$2:$Y$4,11,FALSE))</x:f>
      </x:c>
      <x:c r="AG198" s="14">
        <x:f>IF($C198="","",VLOOKUP($C198,Config!$A$2:$Y$4,12,FALSE))</x:f>
      </x:c>
      <x:c r="AH198" s="14">
        <x:f>IF($C198="","",VLOOKUP($C198,Config!$A$2:$Y$4,13,FALSE))</x:f>
      </x:c>
      <x:c r="AI198" s="14">
        <x:f>IF($C198="","",VLOOKUP($C198,Config!$A$2:$Y$4,14,FALSE))</x:f>
      </x:c>
      <x:c r="AJ198" s="14">
        <x:f>IF($C198="","",VLOOKUP($C198,Config!$A$2:$Y$4,15,FALSE))</x:f>
      </x:c>
      <x:c r="AK198" s="14">
        <x:f>IF($C198="","",VLOOKUP($C198,Config!$A$2:$Y$4,16,FALSE))</x:f>
      </x:c>
      <x:c r="AL198" s="14">
        <x:f>IF($C198="","",VLOOKUP($C198,Config!$A$2:$Y$4,17,FALSE))</x:f>
      </x:c>
      <x:c r="AM198" s="14">
        <x:f>IF($C198="","",VLOOKUP($C198,Config!$A$2:$Y$4,18,FALSE))</x:f>
      </x:c>
      <x:c r="AN198" s="14">
        <x:f>IF($C198="","",VLOOKUP($C198,Config!$A$2:$Y$4,19,FALSE))</x:f>
      </x:c>
      <x:c r="AO198" s="14">
        <x:f>IF($C198="","",VLOOKUP($C198,Config!$A$2:$Y$4,20,FALSE))</x:f>
      </x:c>
      <x:c r="AP198" s="14">
        <x:f>IF($C198="","",VLOOKUP($C198,Config!$A$2:$Y$4,21,FALSE))</x:f>
      </x:c>
      <x:c r="AQ198" s="14">
        <x:f>IF($C198="","",VLOOKUP($C198,Config!$A$2:$Y$4,22,FALSE))</x:f>
      </x:c>
      <x:c r="AR198" s="14">
        <x:f>IF($C198="","",VLOOKUP($C198,Config!$A$2:$Y$4,23,FALSE))</x:f>
      </x:c>
      <x:c r="AS198" s="13">
        <x:f>IF($C198="","",IF($H198="Extra",3,IF($H198="I",2,IF($H198="II",1,0)))&gt;=IF($AA198="Extra",3,IF($AA198="I",2,IF($AA198="II",1,0))))</x:f>
      </x:c>
      <x:c r="AT198" s="13">
        <x:f>IF($C198="","",IF($I198="",FALSE,$I198&gt;=$AB198))</x:f>
      </x:c>
      <x:c r="AU198" s="13">
        <x:f>IF($C198="","",IF($AC198="",TRUE,IF($J198="",FALSE,$J198&lt;=$AC198)))</x:f>
      </x:c>
      <x:c r="AV198" s="13">
        <x:f>IF($C198="","",IF($AD198="",TRUE,IF($K198="",FALSE,$K198&lt;=$AD198)))</x:f>
      </x:c>
      <x:c r="AW198" s="13">
        <x:f>IF($C198="","",IF($AE198="",TRUE,IF($L198="",FALSE,$L198&lt;=$AE198)))</x:f>
      </x:c>
      <x:c r="AX198" s="13">
        <x:f>IF($C198="","",IF($AF198="",TRUE,IF($M198="",FALSE,$M198&lt;=$AF198)))</x:f>
      </x:c>
      <x:c r="AY198" s="13">
        <x:f>IF($C198="","",IF($AG198="",TRUE,IF($N198="",FALSE,$N198&gt;=$AG198)))</x:f>
      </x:c>
      <x:c r="AZ198" s="13">
        <x:f>IF($C198="","",IF(OR($AH198="",$AI198=""),TRUE,IF($O198="",FALSE,AND($O198&gt;=$AH198,$O198&lt;=$AI198))))</x:f>
      </x:c>
      <x:c r="BA198" s="13">
        <x:f>IF($C198="","",IF($AJ198="Y",$P198="Y",TRUE))</x:f>
      </x:c>
      <x:c r="BB198" s="13">
        <x:f>IF($C198="","",IF($AK198="Y",$Q198="Y",TRUE))</x:f>
      </x:c>
      <x:c r="BC198" s="13">
        <x:f>IF($C198="","",IF($AL198="Y",$R198="Y",TRUE))</x:f>
      </x:c>
      <x:c r="BD198" s="13">
        <x:f>IF($C198="","",IF($AM198="Y",$S198="Y",TRUE))</x:f>
      </x:c>
      <x:c r="BE198" s="13">
        <x:f>IF($C198="","",IF($AN198="Y",$T198="Y",TRUE))</x:f>
      </x:c>
      <x:c r="BF198" s="13">
        <x:f>IF($C198="","",IF($AO198="",TRUE,IF($U198="",FALSE,$U198&lt;=$AO198)))</x:f>
      </x:c>
      <x:c r="BG198" s="13">
        <x:f>IF($C198="","",IF($AP198="",TRUE,IF($V198="",FALSE,$V198&lt;=$AP198)))</x:f>
      </x:c>
      <x:c r="BH198" s="13">
        <x:f>IF($C198="","",IF($AQ198="",TRUE,IF($W198="",FALSE,$W198&lt;=$AQ198)))</x:f>
      </x:c>
      <x:c r="BI198" s="13">
        <x:f>IF($C198="","",IF($AR198="",TRUE,IF($X198="",FALSE,$X198&lt;=$AR198)))</x:f>
      </x:c>
      <x:c r="BJ198" s="15">
        <x:f>IF($C198="","",IF($Y198="",0,$Y198)+IF($AS198,10,0)+IF($AT198,8,0)+IF($AU198,5,0)+IF($AV198,8,0)+IF($AW198,15,0)+IF($AX198,4,0)+IF($AY198,5,0)+IF($AZ198,10,0)+IF($BA198,8,0)+IF($BB198,4,0)+IF($BC198,6,0)+IF($BD198,3,0)+IF($BE198,2,0)+IF($BF198,2,0)+IF($BG198,2,0)+IF($BH198,2,0)+IF($BI198,1,0))</x:f>
      </x:c>
      <x:c r="BK198" s="15">
        <x:f>IF($C198="","",IF(NOT($AS198),1,0)+IF(NOT($AW198),1,0)+IF(NOT($AZ198),1,0)+IF(NOT($BA198),1,0)+IF(NOT($BB198),1,0)+IF(NOT($BC198),1,0))</x:f>
      </x:c>
      <x:c r="BL198" s="13">
        <x:f>IF($C198="","",IF($BK198&gt;0,"REJECT",IF(COUNTIF($AS198:$BI198,FALSE)=0,"ACCEPT",IF($BJ198&gt;=85,"ACCEPT WITH SORTING / DISCOUNT","REJECT"))))</x:f>
      </x:c>
    </x:row>
    <x:row r="199" ht="24" customHeight="1">
      <x:c r="A199" s="10" t="n"/>
      <x:c r="B199" s="11" t="n"/>
      <x:c r="C199" s="11" t="n"/>
      <x:c r="D199" s="11" t="n"/>
      <x:c r="E199" s="11" t="n"/>
      <x:c r="F199" s="11" t="n"/>
      <x:c r="G199" s="11" t="n"/>
      <x:c r="H199" s="11" t="n"/>
      <x:c r="I199" s="12" t="n"/>
      <x:c r="J199" s="12" t="n"/>
      <x:c r="K199" s="12" t="n"/>
      <x:c r="L199" s="12" t="n"/>
      <x:c r="M199" s="12" t="n"/>
      <x:c r="N199" s="12" t="n"/>
      <x:c r="O199" s="12" t="n"/>
      <x:c r="P199" s="11" t="n"/>
      <x:c r="Q199" s="11" t="n"/>
      <x:c r="R199" s="11" t="n"/>
      <x:c r="S199" s="11" t="n"/>
      <x:c r="T199" s="11" t="n"/>
      <x:c r="U199" s="12" t="n"/>
      <x:c r="V199" s="12" t="n"/>
      <x:c r="W199" s="12" t="n"/>
      <x:c r="X199" s="12" t="n"/>
      <x:c r="Y199" s="12" t="n"/>
      <x:c r="Z199" s="13">
        <x:f>IF($C199="","",VLOOKUP($C199,Config!$A$2:$Y$4,2,FALSE))</x:f>
      </x:c>
      <x:c r="AA199" s="13">
        <x:f>IF($C199="","",VLOOKUP($C199,Config!$A$2:$Y$4,5,FALSE))</x:f>
      </x:c>
      <x:c r="AB199" s="14">
        <x:f>IF($C199="","",VLOOKUP($C199,Config!$A$2:$Y$4,7,FALSE))</x:f>
      </x:c>
      <x:c r="AC199" s="14">
        <x:f>IF($C199="","",VLOOKUP($C199,Config!$A$2:$Y$4,8,FALSE))</x:f>
      </x:c>
      <x:c r="AD199" s="14">
        <x:f>IF($C199="","",VLOOKUP($C199,Config!$A$2:$Y$4,9,FALSE))</x:f>
      </x:c>
      <x:c r="AE199" s="14">
        <x:f>IF($C199="","",VLOOKUP($C199,Config!$A$2:$Y$4,10,FALSE))</x:f>
      </x:c>
      <x:c r="AF199" s="14">
        <x:f>IF($C199="","",VLOOKUP($C199,Config!$A$2:$Y$4,11,FALSE))</x:f>
      </x:c>
      <x:c r="AG199" s="14">
        <x:f>IF($C199="","",VLOOKUP($C199,Config!$A$2:$Y$4,12,FALSE))</x:f>
      </x:c>
      <x:c r="AH199" s="14">
        <x:f>IF($C199="","",VLOOKUP($C199,Config!$A$2:$Y$4,13,FALSE))</x:f>
      </x:c>
      <x:c r="AI199" s="14">
        <x:f>IF($C199="","",VLOOKUP($C199,Config!$A$2:$Y$4,14,FALSE))</x:f>
      </x:c>
      <x:c r="AJ199" s="14">
        <x:f>IF($C199="","",VLOOKUP($C199,Config!$A$2:$Y$4,15,FALSE))</x:f>
      </x:c>
      <x:c r="AK199" s="14">
        <x:f>IF($C199="","",VLOOKUP($C199,Config!$A$2:$Y$4,16,FALSE))</x:f>
      </x:c>
      <x:c r="AL199" s="14">
        <x:f>IF($C199="","",VLOOKUP($C199,Config!$A$2:$Y$4,17,FALSE))</x:f>
      </x:c>
      <x:c r="AM199" s="14">
        <x:f>IF($C199="","",VLOOKUP($C199,Config!$A$2:$Y$4,18,FALSE))</x:f>
      </x:c>
      <x:c r="AN199" s="14">
        <x:f>IF($C199="","",VLOOKUP($C199,Config!$A$2:$Y$4,19,FALSE))</x:f>
      </x:c>
      <x:c r="AO199" s="14">
        <x:f>IF($C199="","",VLOOKUP($C199,Config!$A$2:$Y$4,20,FALSE))</x:f>
      </x:c>
      <x:c r="AP199" s="14">
        <x:f>IF($C199="","",VLOOKUP($C199,Config!$A$2:$Y$4,21,FALSE))</x:f>
      </x:c>
      <x:c r="AQ199" s="14">
        <x:f>IF($C199="","",VLOOKUP($C199,Config!$A$2:$Y$4,22,FALSE))</x:f>
      </x:c>
      <x:c r="AR199" s="14">
        <x:f>IF($C199="","",VLOOKUP($C199,Config!$A$2:$Y$4,23,FALSE))</x:f>
      </x:c>
      <x:c r="AS199" s="13">
        <x:f>IF($C199="","",IF($H199="Extra",3,IF($H199="I",2,IF($H199="II",1,0)))&gt;=IF($AA199="Extra",3,IF($AA199="I",2,IF($AA199="II",1,0))))</x:f>
      </x:c>
      <x:c r="AT199" s="13">
        <x:f>IF($C199="","",IF($I199="",FALSE,$I199&gt;=$AB199))</x:f>
      </x:c>
      <x:c r="AU199" s="13">
        <x:f>IF($C199="","",IF($AC199="",TRUE,IF($J199="",FALSE,$J199&lt;=$AC199)))</x:f>
      </x:c>
      <x:c r="AV199" s="13">
        <x:f>IF($C199="","",IF($AD199="",TRUE,IF($K199="",FALSE,$K199&lt;=$AD199)))</x:f>
      </x:c>
      <x:c r="AW199" s="13">
        <x:f>IF($C199="","",IF($AE199="",TRUE,IF($L199="",FALSE,$L199&lt;=$AE199)))</x:f>
      </x:c>
      <x:c r="AX199" s="13">
        <x:f>IF($C199="","",IF($AF199="",TRUE,IF($M199="",FALSE,$M199&lt;=$AF199)))</x:f>
      </x:c>
      <x:c r="AY199" s="13">
        <x:f>IF($C199="","",IF($AG199="",TRUE,IF($N199="",FALSE,$N199&gt;=$AG199)))</x:f>
      </x:c>
      <x:c r="AZ199" s="13">
        <x:f>IF($C199="","",IF(OR($AH199="",$AI199=""),TRUE,IF($O199="",FALSE,AND($O199&gt;=$AH199,$O199&lt;=$AI199))))</x:f>
      </x:c>
      <x:c r="BA199" s="13">
        <x:f>IF($C199="","",IF($AJ199="Y",$P199="Y",TRUE))</x:f>
      </x:c>
      <x:c r="BB199" s="13">
        <x:f>IF($C199="","",IF($AK199="Y",$Q199="Y",TRUE))</x:f>
      </x:c>
      <x:c r="BC199" s="13">
        <x:f>IF($C199="","",IF($AL199="Y",$R199="Y",TRUE))</x:f>
      </x:c>
      <x:c r="BD199" s="13">
        <x:f>IF($C199="","",IF($AM199="Y",$S199="Y",TRUE))</x:f>
      </x:c>
      <x:c r="BE199" s="13">
        <x:f>IF($C199="","",IF($AN199="Y",$T199="Y",TRUE))</x:f>
      </x:c>
      <x:c r="BF199" s="13">
        <x:f>IF($C199="","",IF($AO199="",TRUE,IF($U199="",FALSE,$U199&lt;=$AO199)))</x:f>
      </x:c>
      <x:c r="BG199" s="13">
        <x:f>IF($C199="","",IF($AP199="",TRUE,IF($V199="",FALSE,$V199&lt;=$AP199)))</x:f>
      </x:c>
      <x:c r="BH199" s="13">
        <x:f>IF($C199="","",IF($AQ199="",TRUE,IF($W199="",FALSE,$W199&lt;=$AQ199)))</x:f>
      </x:c>
      <x:c r="BI199" s="13">
        <x:f>IF($C199="","",IF($AR199="",TRUE,IF($X199="",FALSE,$X199&lt;=$AR199)))</x:f>
      </x:c>
      <x:c r="BJ199" s="15">
        <x:f>IF($C199="","",IF($Y199="",0,$Y199)+IF($AS199,10,0)+IF($AT199,8,0)+IF($AU199,5,0)+IF($AV199,8,0)+IF($AW199,15,0)+IF($AX199,4,0)+IF($AY199,5,0)+IF($AZ199,10,0)+IF($BA199,8,0)+IF($BB199,4,0)+IF($BC199,6,0)+IF($BD199,3,0)+IF($BE199,2,0)+IF($BF199,2,0)+IF($BG199,2,0)+IF($BH199,2,0)+IF($BI199,1,0))</x:f>
      </x:c>
      <x:c r="BK199" s="15">
        <x:f>IF($C199="","",IF(NOT($AS199),1,0)+IF(NOT($AW199),1,0)+IF(NOT($AZ199),1,0)+IF(NOT($BA199),1,0)+IF(NOT($BB199),1,0)+IF(NOT($BC199),1,0))</x:f>
      </x:c>
      <x:c r="BL199" s="13">
        <x:f>IF($C199="","",IF($BK199&gt;0,"REJECT",IF(COUNTIF($AS199:$BI199,FALSE)=0,"ACCEPT",IF($BJ199&gt;=85,"ACCEPT WITH SORTING / DISCOUNT","REJECT"))))</x:f>
      </x:c>
    </x:row>
    <x:row r="200" ht="24" customHeight="1">
      <x:c r="A200" s="10" t="n"/>
      <x:c r="B200" s="11" t="n"/>
      <x:c r="C200" s="11" t="n"/>
      <x:c r="D200" s="11" t="n"/>
      <x:c r="E200" s="11" t="n"/>
      <x:c r="F200" s="11" t="n"/>
      <x:c r="G200" s="11" t="n"/>
      <x:c r="H200" s="11" t="n"/>
      <x:c r="I200" s="12" t="n"/>
      <x:c r="J200" s="12" t="n"/>
      <x:c r="K200" s="12" t="n"/>
      <x:c r="L200" s="12" t="n"/>
      <x:c r="M200" s="12" t="n"/>
      <x:c r="N200" s="12" t="n"/>
      <x:c r="O200" s="12" t="n"/>
      <x:c r="P200" s="11" t="n"/>
      <x:c r="Q200" s="11" t="n"/>
      <x:c r="R200" s="11" t="n"/>
      <x:c r="S200" s="11" t="n"/>
      <x:c r="T200" s="11" t="n"/>
      <x:c r="U200" s="12" t="n"/>
      <x:c r="V200" s="12" t="n"/>
      <x:c r="W200" s="12" t="n"/>
      <x:c r="X200" s="12" t="n"/>
      <x:c r="Y200" s="12" t="n"/>
      <x:c r="Z200" s="13">
        <x:f>IF($C200="","",VLOOKUP($C200,Config!$A$2:$Y$4,2,FALSE))</x:f>
      </x:c>
      <x:c r="AA200" s="13">
        <x:f>IF($C200="","",VLOOKUP($C200,Config!$A$2:$Y$4,5,FALSE))</x:f>
      </x:c>
      <x:c r="AB200" s="14">
        <x:f>IF($C200="","",VLOOKUP($C200,Config!$A$2:$Y$4,7,FALSE))</x:f>
      </x:c>
      <x:c r="AC200" s="14">
        <x:f>IF($C200="","",VLOOKUP($C200,Config!$A$2:$Y$4,8,FALSE))</x:f>
      </x:c>
      <x:c r="AD200" s="14">
        <x:f>IF($C200="","",VLOOKUP($C200,Config!$A$2:$Y$4,9,FALSE))</x:f>
      </x:c>
      <x:c r="AE200" s="14">
        <x:f>IF($C200="","",VLOOKUP($C200,Config!$A$2:$Y$4,10,FALSE))</x:f>
      </x:c>
      <x:c r="AF200" s="14">
        <x:f>IF($C200="","",VLOOKUP($C200,Config!$A$2:$Y$4,11,FALSE))</x:f>
      </x:c>
      <x:c r="AG200" s="14">
        <x:f>IF($C200="","",VLOOKUP($C200,Config!$A$2:$Y$4,12,FALSE))</x:f>
      </x:c>
      <x:c r="AH200" s="14">
        <x:f>IF($C200="","",VLOOKUP($C200,Config!$A$2:$Y$4,13,FALSE))</x:f>
      </x:c>
      <x:c r="AI200" s="14">
        <x:f>IF($C200="","",VLOOKUP($C200,Config!$A$2:$Y$4,14,FALSE))</x:f>
      </x:c>
      <x:c r="AJ200" s="14">
        <x:f>IF($C200="","",VLOOKUP($C200,Config!$A$2:$Y$4,15,FALSE))</x:f>
      </x:c>
      <x:c r="AK200" s="14">
        <x:f>IF($C200="","",VLOOKUP($C200,Config!$A$2:$Y$4,16,FALSE))</x:f>
      </x:c>
      <x:c r="AL200" s="14">
        <x:f>IF($C200="","",VLOOKUP($C200,Config!$A$2:$Y$4,17,FALSE))</x:f>
      </x:c>
      <x:c r="AM200" s="14">
        <x:f>IF($C200="","",VLOOKUP($C200,Config!$A$2:$Y$4,18,FALSE))</x:f>
      </x:c>
      <x:c r="AN200" s="14">
        <x:f>IF($C200="","",VLOOKUP($C200,Config!$A$2:$Y$4,19,FALSE))</x:f>
      </x:c>
      <x:c r="AO200" s="14">
        <x:f>IF($C200="","",VLOOKUP($C200,Config!$A$2:$Y$4,20,FALSE))</x:f>
      </x:c>
      <x:c r="AP200" s="14">
        <x:f>IF($C200="","",VLOOKUP($C200,Config!$A$2:$Y$4,21,FALSE))</x:f>
      </x:c>
      <x:c r="AQ200" s="14">
        <x:f>IF($C200="","",VLOOKUP($C200,Config!$A$2:$Y$4,22,FALSE))</x:f>
      </x:c>
      <x:c r="AR200" s="14">
        <x:f>IF($C200="","",VLOOKUP($C200,Config!$A$2:$Y$4,23,FALSE))</x:f>
      </x:c>
      <x:c r="AS200" s="13">
        <x:f>IF($C200="","",IF($H200="Extra",3,IF($H200="I",2,IF($H200="II",1,0)))&gt;=IF($AA200="Extra",3,IF($AA200="I",2,IF($AA200="II",1,0))))</x:f>
      </x:c>
      <x:c r="AT200" s="13">
        <x:f>IF($C200="","",IF($I200="",FALSE,$I200&gt;=$AB200))</x:f>
      </x:c>
      <x:c r="AU200" s="13">
        <x:f>IF($C200="","",IF($AC200="",TRUE,IF($J200="",FALSE,$J200&lt;=$AC200)))</x:f>
      </x:c>
      <x:c r="AV200" s="13">
        <x:f>IF($C200="","",IF($AD200="",TRUE,IF($K200="",FALSE,$K200&lt;=$AD200)))</x:f>
      </x:c>
      <x:c r="AW200" s="13">
        <x:f>IF($C200="","",IF($AE200="",TRUE,IF($L200="",FALSE,$L200&lt;=$AE200)))</x:f>
      </x:c>
      <x:c r="AX200" s="13">
        <x:f>IF($C200="","",IF($AF200="",TRUE,IF($M200="",FALSE,$M200&lt;=$AF200)))</x:f>
      </x:c>
      <x:c r="AY200" s="13">
        <x:f>IF($C200="","",IF($AG200="",TRUE,IF($N200="",FALSE,$N200&gt;=$AG200)))</x:f>
      </x:c>
      <x:c r="AZ200" s="13">
        <x:f>IF($C200="","",IF(OR($AH200="",$AI200=""),TRUE,IF($O200="",FALSE,AND($O200&gt;=$AH200,$O200&lt;=$AI200))))</x:f>
      </x:c>
      <x:c r="BA200" s="13">
        <x:f>IF($C200="","",IF($AJ200="Y",$P200="Y",TRUE))</x:f>
      </x:c>
      <x:c r="BB200" s="13">
        <x:f>IF($C200="","",IF($AK200="Y",$Q200="Y",TRUE))</x:f>
      </x:c>
      <x:c r="BC200" s="13">
        <x:f>IF($C200="","",IF($AL200="Y",$R200="Y",TRUE))</x:f>
      </x:c>
      <x:c r="BD200" s="13">
        <x:f>IF($C200="","",IF($AM200="Y",$S200="Y",TRUE))</x:f>
      </x:c>
      <x:c r="BE200" s="13">
        <x:f>IF($C200="","",IF($AN200="Y",$T200="Y",TRUE))</x:f>
      </x:c>
      <x:c r="BF200" s="13">
        <x:f>IF($C200="","",IF($AO200="",TRUE,IF($U200="",FALSE,$U200&lt;=$AO200)))</x:f>
      </x:c>
      <x:c r="BG200" s="13">
        <x:f>IF($C200="","",IF($AP200="",TRUE,IF($V200="",FALSE,$V200&lt;=$AP200)))</x:f>
      </x:c>
      <x:c r="BH200" s="13">
        <x:f>IF($C200="","",IF($AQ200="",TRUE,IF($W200="",FALSE,$W200&lt;=$AQ200)))</x:f>
      </x:c>
      <x:c r="BI200" s="13">
        <x:f>IF($C200="","",IF($AR200="",TRUE,IF($X200="",FALSE,$X200&lt;=$AR200)))</x:f>
      </x:c>
      <x:c r="BJ200" s="15">
        <x:f>IF($C200="","",IF($Y200="",0,$Y200)+IF($AS200,10,0)+IF($AT200,8,0)+IF($AU200,5,0)+IF($AV200,8,0)+IF($AW200,15,0)+IF($AX200,4,0)+IF($AY200,5,0)+IF($AZ200,10,0)+IF($BA200,8,0)+IF($BB200,4,0)+IF($BC200,6,0)+IF($BD200,3,0)+IF($BE200,2,0)+IF($BF200,2,0)+IF($BG200,2,0)+IF($BH200,2,0)+IF($BI200,1,0))</x:f>
      </x:c>
      <x:c r="BK200" s="15">
        <x:f>IF($C200="","",IF(NOT($AS200),1,0)+IF(NOT($AW200),1,0)+IF(NOT($AZ200),1,0)+IF(NOT($BA200),1,0)+IF(NOT($BB200),1,0)+IF(NOT($BC200),1,0))</x:f>
      </x:c>
      <x:c r="BL200" s="13">
        <x:f>IF($C200="","",IF($BK200&gt;0,"REJECT",IF(COUNTIF($AS200:$BI200,FALSE)=0,"ACCEPT",IF($BJ200&gt;=85,"ACCEPT WITH SORTING / DISCOUNT","REJECT"))))</x:f>
      </x:c>
    </x:row>
    <x:row r="201" ht="24" customHeight="1">
      <x:c r="A201" s="10" t="n"/>
      <x:c r="B201" s="11" t="n"/>
      <x:c r="C201" s="11" t="n"/>
      <x:c r="D201" s="11" t="n"/>
      <x:c r="E201" s="11" t="n"/>
      <x:c r="F201" s="11" t="n"/>
      <x:c r="G201" s="11" t="n"/>
      <x:c r="H201" s="11" t="n"/>
      <x:c r="I201" s="12" t="n"/>
      <x:c r="J201" s="12" t="n"/>
      <x:c r="K201" s="12" t="n"/>
      <x:c r="L201" s="12" t="n"/>
      <x:c r="M201" s="12" t="n"/>
      <x:c r="N201" s="12" t="n"/>
      <x:c r="O201" s="12" t="n"/>
      <x:c r="P201" s="11" t="n"/>
      <x:c r="Q201" s="11" t="n"/>
      <x:c r="R201" s="11" t="n"/>
      <x:c r="S201" s="11" t="n"/>
      <x:c r="T201" s="11" t="n"/>
      <x:c r="U201" s="12" t="n"/>
      <x:c r="V201" s="12" t="n"/>
      <x:c r="W201" s="12" t="n"/>
      <x:c r="X201" s="12" t="n"/>
      <x:c r="Y201" s="12" t="n"/>
      <x:c r="Z201" s="13">
        <x:f>IF($C201="","",VLOOKUP($C201,Config!$A$2:$Y$4,2,FALSE))</x:f>
      </x:c>
      <x:c r="AA201" s="13">
        <x:f>IF($C201="","",VLOOKUP($C201,Config!$A$2:$Y$4,5,FALSE))</x:f>
      </x:c>
      <x:c r="AB201" s="14">
        <x:f>IF($C201="","",VLOOKUP($C201,Config!$A$2:$Y$4,7,FALSE))</x:f>
      </x:c>
      <x:c r="AC201" s="14">
        <x:f>IF($C201="","",VLOOKUP($C201,Config!$A$2:$Y$4,8,FALSE))</x:f>
      </x:c>
      <x:c r="AD201" s="14">
        <x:f>IF($C201="","",VLOOKUP($C201,Config!$A$2:$Y$4,9,FALSE))</x:f>
      </x:c>
      <x:c r="AE201" s="14">
        <x:f>IF($C201="","",VLOOKUP($C201,Config!$A$2:$Y$4,10,FALSE))</x:f>
      </x:c>
      <x:c r="AF201" s="14">
        <x:f>IF($C201="","",VLOOKUP($C201,Config!$A$2:$Y$4,11,FALSE))</x:f>
      </x:c>
      <x:c r="AG201" s="14">
        <x:f>IF($C201="","",VLOOKUP($C201,Config!$A$2:$Y$4,12,FALSE))</x:f>
      </x:c>
      <x:c r="AH201" s="14">
        <x:f>IF($C201="","",VLOOKUP($C201,Config!$A$2:$Y$4,13,FALSE))</x:f>
      </x:c>
      <x:c r="AI201" s="14">
        <x:f>IF($C201="","",VLOOKUP($C201,Config!$A$2:$Y$4,14,FALSE))</x:f>
      </x:c>
      <x:c r="AJ201" s="14">
        <x:f>IF($C201="","",VLOOKUP($C201,Config!$A$2:$Y$4,15,FALSE))</x:f>
      </x:c>
      <x:c r="AK201" s="14">
        <x:f>IF($C201="","",VLOOKUP($C201,Config!$A$2:$Y$4,16,FALSE))</x:f>
      </x:c>
      <x:c r="AL201" s="14">
        <x:f>IF($C201="","",VLOOKUP($C201,Config!$A$2:$Y$4,17,FALSE))</x:f>
      </x:c>
      <x:c r="AM201" s="14">
        <x:f>IF($C201="","",VLOOKUP($C201,Config!$A$2:$Y$4,18,FALSE))</x:f>
      </x:c>
      <x:c r="AN201" s="14">
        <x:f>IF($C201="","",VLOOKUP($C201,Config!$A$2:$Y$4,19,FALSE))</x:f>
      </x:c>
      <x:c r="AO201" s="14">
        <x:f>IF($C201="","",VLOOKUP($C201,Config!$A$2:$Y$4,20,FALSE))</x:f>
      </x:c>
      <x:c r="AP201" s="14">
        <x:f>IF($C201="","",VLOOKUP($C201,Config!$A$2:$Y$4,21,FALSE))</x:f>
      </x:c>
      <x:c r="AQ201" s="14">
        <x:f>IF($C201="","",VLOOKUP($C201,Config!$A$2:$Y$4,22,FALSE))</x:f>
      </x:c>
      <x:c r="AR201" s="14">
        <x:f>IF($C201="","",VLOOKUP($C201,Config!$A$2:$Y$4,23,FALSE))</x:f>
      </x:c>
      <x:c r="AS201" s="13">
        <x:f>IF($C201="","",IF($H201="Extra",3,IF($H201="I",2,IF($H201="II",1,0)))&gt;=IF($AA201="Extra",3,IF($AA201="I",2,IF($AA201="II",1,0))))</x:f>
      </x:c>
      <x:c r="AT201" s="13">
        <x:f>IF($C201="","",IF($I201="",FALSE,$I201&gt;=$AB201))</x:f>
      </x:c>
      <x:c r="AU201" s="13">
        <x:f>IF($C201="","",IF($AC201="",TRUE,IF($J201="",FALSE,$J201&lt;=$AC201)))</x:f>
      </x:c>
      <x:c r="AV201" s="13">
        <x:f>IF($C201="","",IF($AD201="",TRUE,IF($K201="",FALSE,$K201&lt;=$AD201)))</x:f>
      </x:c>
      <x:c r="AW201" s="13">
        <x:f>IF($C201="","",IF($AE201="",TRUE,IF($L201="",FALSE,$L201&lt;=$AE201)))</x:f>
      </x:c>
      <x:c r="AX201" s="13">
        <x:f>IF($C201="","",IF($AF201="",TRUE,IF($M201="",FALSE,$M201&lt;=$AF201)))</x:f>
      </x:c>
      <x:c r="AY201" s="13">
        <x:f>IF($C201="","",IF($AG201="",TRUE,IF($N201="",FALSE,$N201&gt;=$AG201)))</x:f>
      </x:c>
      <x:c r="AZ201" s="13">
        <x:f>IF($C201="","",IF(OR($AH201="",$AI201=""),TRUE,IF($O201="",FALSE,AND($O201&gt;=$AH201,$O201&lt;=$AI201))))</x:f>
      </x:c>
      <x:c r="BA201" s="13">
        <x:f>IF($C201="","",IF($AJ201="Y",$P201="Y",TRUE))</x:f>
      </x:c>
      <x:c r="BB201" s="13">
        <x:f>IF($C201="","",IF($AK201="Y",$Q201="Y",TRUE))</x:f>
      </x:c>
      <x:c r="BC201" s="13">
        <x:f>IF($C201="","",IF($AL201="Y",$R201="Y",TRUE))</x:f>
      </x:c>
      <x:c r="BD201" s="13">
        <x:f>IF($C201="","",IF($AM201="Y",$S201="Y",TRUE))</x:f>
      </x:c>
      <x:c r="BE201" s="13">
        <x:f>IF($C201="","",IF($AN201="Y",$T201="Y",TRUE))</x:f>
      </x:c>
      <x:c r="BF201" s="13">
        <x:f>IF($C201="","",IF($AO201="",TRUE,IF($U201="",FALSE,$U201&lt;=$AO201)))</x:f>
      </x:c>
      <x:c r="BG201" s="13">
        <x:f>IF($C201="","",IF($AP201="",TRUE,IF($V201="",FALSE,$V201&lt;=$AP201)))</x:f>
      </x:c>
      <x:c r="BH201" s="13">
        <x:f>IF($C201="","",IF($AQ201="",TRUE,IF($W201="",FALSE,$W201&lt;=$AQ201)))</x:f>
      </x:c>
      <x:c r="BI201" s="13">
        <x:f>IF($C201="","",IF($AR201="",TRUE,IF($X201="",FALSE,$X201&lt;=$AR201)))</x:f>
      </x:c>
      <x:c r="BJ201" s="15">
        <x:f>IF($C201="","",IF($Y201="",0,$Y201)+IF($AS201,10,0)+IF($AT201,8,0)+IF($AU201,5,0)+IF($AV201,8,0)+IF($AW201,15,0)+IF($AX201,4,0)+IF($AY201,5,0)+IF($AZ201,10,0)+IF($BA201,8,0)+IF($BB201,4,0)+IF($BC201,6,0)+IF($BD201,3,0)+IF($BE201,2,0)+IF($BF201,2,0)+IF($BG201,2,0)+IF($BH201,2,0)+IF($BI201,1,0))</x:f>
      </x:c>
      <x:c r="BK201" s="15">
        <x:f>IF($C201="","",IF(NOT($AS201),1,0)+IF(NOT($AW201),1,0)+IF(NOT($AZ201),1,0)+IF(NOT($BA201),1,0)+IF(NOT($BB201),1,0)+IF(NOT($BC201),1,0))</x:f>
      </x:c>
      <x:c r="BL201" s="13">
        <x:f>IF($C201="","",IF($BK201&gt;0,"REJECT",IF(COUNTIF($AS201:$BI201,FALSE)=0,"ACCEPT",IF($BJ201&gt;=85,"ACCEPT WITH SORTING / DISCOUNT","REJECT"))))</x:f>
      </x:c>
    </x:row>
  </x:sheetData>
  <x:conditionalFormatting sqref="BL2:BL201">
    <x:cfRule type="expression" dxfId="0" priority="1">
      <x:formula>$BL2="ACCEPT"</x:formula>
    </x:cfRule>
    <x:cfRule type="expression" dxfId="1" priority="2">
      <x:formula>$BL2="ACCEPT WITH SORTING / DISCOUNT"</x:formula>
    </x:cfRule>
    <x:cfRule type="expression" dxfId="2" priority="3">
      <x:formula>$BL2="REJECT"</x:formula>
    </x:cfRule>
  </x:conditionalFormatting>
  <x:conditionalFormatting sqref="BJ2:BJ201">
    <x:cfRule type="colorScale" priority="4">
      <x:colorScale>
        <x:cfvo type="num" val="0"/>
        <x:cfvo type="num" val="85"/>
        <x:cfvo type="num" val="100"/>
        <x:color rgb="00FEE2E2"/>
        <x:color rgb="00FEF3C7"/>
        <x:color rgb="00DCFCE7"/>
      </x:colorScale>
    </x:cfRule>
  </x:conditionalFormatting>
  <x:conditionalFormatting sqref="BK2:BK201">
    <x:cfRule type="cellIs" dxfId="2" priority="5" operator="greaterThan">
      <x:formula>0</x:formula>
    </x:cfRule>
  </x:conditionalFormatting>
  <x:dataValidations count="4">
    <x:dataValidation type="list" allowBlank="1" showDropDown="0" showInputMessage="0" showErrorMessage="0" sqref="C2:C201">
      <x:formula1>=Config!$A$2:$A$4</x:formula1>
    </x:dataValidation>
    <x:dataValidation type="list" allowBlank="1" showDropDown="0" showInputMessage="0" showErrorMessage="0" sqref="H2:H201">
      <x:formula1>"Extra,I,II"</x:formula1>
    </x:dataValidation>
    <x:dataValidation type="list" allowBlank="1" showDropDown="0" showInputMessage="0" showErrorMessage="0" sqref="P2:T201">
      <x:formula1>"Y,N"</x:formula1>
    </x:dataValidation>
    <x:dataValidation type="whole" operator="between" allowBlank="1" showDropDown="0" showInputMessage="0" showErrorMessage="0" sqref="Y2:Y201">
      <x:formula1>0</x:formula1>
      <x:formula2>5</x:formula2>
    </x:dataValidation>
  </x:dataValidations>
  <x:pageMargins left="0.7" right="0.7" top="0.75" bottom="0.75" header="0.3" footer="0.3"/>
  <x:legacyDrawing xmlns:r="http://schemas.openxmlformats.org/officeDocument/2006/relationships" r:id="Ra883fa11debd44b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4" customWidth="1"/>
    <x:col min="4" max="4" width="28" customWidth="1"/>
    <x:col min="5" max="5" width="12" customWidth="1"/>
    <x:col min="6" max="6" width="12" customWidth="1"/>
    <x:col min="7" max="7" width="12" customWidth="1"/>
  </x:cols>
  <x:sheetData>
    <x:row r="1" ht="24" customHeight="1">
      <x:c r="A1" s="1" t="inlineStr">
        <x:is>
          <x:t xml:space="preserve">Dashboard — приемка партий</x:t>
        </x:is>
      </x:c>
    </x:row>
    <x:row r="2" ht="24" customHeight="1"/>
    <x:row r="3" ht="24" customHeight="1">
      <x:c r="A3" s="2" t="inlineStr">
        <x:is>
          <x:t xml:space="preserve">KPI</x:t>
        </x:is>
      </x:c>
      <x:c r="B3" s="2" t="inlineStr">
        <x:is>
          <x:t xml:space="preserve">Value</x:t>
        </x:is>
      </x:c>
      <x:c r="D3" s="2" t="inlineStr">
        <x:is>
          <x:t xml:space="preserve">По профилям</x:t>
        </x:is>
      </x:c>
    </x:row>
    <x:row r="4" ht="24" customHeight="1">
      <x:c r="A4" s="16" t="inlineStr">
        <x:is>
          <x:t xml:space="preserve">Всего партий</x:t>
        </x:is>
      </x:c>
      <x:c r="B4" s="17">
        <x:f>COUNTIF(Batch_Log!$C$2:$C$201,"&lt;&gt;")</x:f>
        <x:v>1</x:v>
      </x:c>
      <x:c r="D4" s="18" t="inlineStr">
        <x:is>
          <x:t xml:space="preserve">Profile</x:t>
        </x:is>
      </x:c>
      <x:c r="E4" s="18" t="inlineStr">
        <x:is>
          <x:t xml:space="preserve">Batches</x:t>
        </x:is>
      </x:c>
      <x:c r="F4" s="18" t="inlineStr">
        <x:is>
          <x:t xml:space="preserve">Rejects</x:t>
        </x:is>
      </x:c>
      <x:c r="G4" s="18" t="inlineStr">
        <x:is>
          <x:t xml:space="preserve">Avg Score</x:t>
        </x:is>
      </x:c>
    </x:row>
    <x:row r="5" ht="24" customHeight="1">
      <x:c r="A5" s="16" t="inlineStr">
        <x:is>
          <x:t xml:space="preserve">ACCEPT</x:t>
        </x:is>
      </x:c>
      <x:c r="B5" s="17">
        <x:f>COUNTIF(Batch_Log!$BL$2:$BL$201,"ACCEPT")</x:f>
        <x:v>1</x:v>
      </x:c>
      <x:c r="D5" s="19" t="inlineStr">
        <x:is>
          <x:t xml:space="preserve">KAUFLAND_PUBLIC_DEFAULT</x:t>
        </x:is>
      </x:c>
      <x:c r="E5" s="19">
        <x:f>COUNTIF(Batch_Log!$C$2:$C$201,$D5)</x:f>
        <x:v>0</x:v>
      </x:c>
      <x:c r="F5" s="19">
        <x:f>COUNTIFS(Batch_Log!$C$2:$C$201,$D5,Batch_Log!$BL$2:$BL$201,"REJECT")</x:f>
        <x:v>0</x:v>
      </x:c>
      <x:c r="G5" s="19">
        <x:f>IFERROR(AVERAGEIFS(Batch_Log!$BJ$2:$BJ$201,Batch_Log!$C$2:$C$201,$D5),"")</x:f>
      </x:c>
    </x:row>
    <x:row r="6" ht="24" customHeight="1">
      <x:c r="A6" s="16" t="inlineStr">
        <x:is>
          <x:t xml:space="preserve">ACCEPT WITH SORTING / DISCOUNT</x:t>
        </x:is>
      </x:c>
      <x:c r="B6" s="17">
        <x:f>COUNTIF(Batch_Log!$BL$2:$BL$201,"ACCEPT WITH SORTING / DISCOUNT")</x:f>
        <x:v>0</x:v>
      </x:c>
      <x:c r="D6" s="19" t="inlineStr">
        <x:is>
          <x:t xml:space="preserve">METRO_GROUP_BENCHMARK</x:t>
        </x:is>
      </x:c>
      <x:c r="E6" s="19">
        <x:f>COUNTIF(Batch_Log!$C$2:$C$201,$D6)</x:f>
        <x:v>1</x:v>
      </x:c>
      <x:c r="F6" s="19">
        <x:f>COUNTIFS(Batch_Log!$C$2:$C$201,$D6,Batch_Log!$BL$2:$BL$201,"REJECT")</x:f>
        <x:v>0</x:v>
      </x:c>
      <x:c r="G6" s="19">
        <x:f>IFERROR(AVERAGEIFS(Batch_Log!$BJ$2:$BJ$201,Batch_Log!$C$2:$C$201,$D6),"")</x:f>
      </x:c>
    </x:row>
    <x:row r="7" ht="24" customHeight="1">
      <x:c r="A7" s="16" t="inlineStr">
        <x:is>
          <x:t xml:space="preserve">REJECT</x:t>
        </x:is>
      </x:c>
      <x:c r="B7" s="17">
        <x:f>COUNTIF(Batch_Log!$BL$2:$BL$201,"REJECT")</x:f>
        <x:v>0</x:v>
      </x:c>
      <x:c r="D7" s="19" t="inlineStr">
        <x:is>
          <x:t xml:space="preserve">LINELLA_PUBLIC_DEFAULT</x:t>
        </x:is>
      </x:c>
      <x:c r="E7" s="19">
        <x:f>COUNTIF(Batch_Log!$C$2:$C$201,$D7)</x:f>
        <x:v>0</x:v>
      </x:c>
      <x:c r="F7" s="19">
        <x:f>COUNTIFS(Batch_Log!$C$2:$C$201,$D7,Batch_Log!$BL$2:$BL$201,"REJECT")</x:f>
        <x:v>0</x:v>
      </x:c>
      <x:c r="G7" s="19">
        <x:f>IFERROR(AVERAGEIFS(Batch_Log!$BJ$2:$BJ$201,Batch_Log!$C$2:$C$201,$D7),"")</x:f>
      </x:c>
    </x:row>
    <x:row r="8" ht="24" customHeight="1">
      <x:c r="A8" s="16" t="inlineStr">
        <x:is>
          <x:t xml:space="preserve">Средний score</x:t>
        </x:is>
      </x:c>
      <x:c r="B8" s="17">
        <x:f>IFERROR(AVERAGEIF(Batch_Log!$BJ$2:$BJ$201,"&gt;0"),"")</x:f>
        <x:v>99</x:v>
      </x:c>
    </x:row>
    <x:row r="9" ht="24" customHeight="1"/>
    <x:row r="10" ht="24" customHeight="1"/>
    <x:row r="11" ht="24" customHeight="1"/>
  </x:sheetData>
  <x:pageMargins left="0.7" right="0.7" top="0.75" bottom="0.75" header="0.3" footer="0.3"/>
</x:worksheet>
</file>