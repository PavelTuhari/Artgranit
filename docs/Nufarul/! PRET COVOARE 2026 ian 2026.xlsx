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Pret ian 2026" sheetId="5" r:id="rId1"/>
    <sheet name="ian25" sheetId="1" r:id="rId2"/>
    <sheet name="feb25" sheetId="2" r:id="rId3"/>
    <sheet name="mar25" sheetId="3" r:id="rId4"/>
  </sheets>
  <calcPr calcId="124519"/>
</workbook>
</file>

<file path=xl/calcChain.xml><?xml version="1.0" encoding="utf-8"?>
<calcChain xmlns="http://schemas.openxmlformats.org/spreadsheetml/2006/main">
  <c r="I16" i="1"/>
  <c r="I15"/>
  <c r="I13" s="1"/>
  <c r="I14"/>
  <c r="J15"/>
  <c r="J14"/>
  <c r="J6"/>
  <c r="J7"/>
  <c r="J8"/>
  <c r="J9"/>
  <c r="J10"/>
  <c r="J11"/>
  <c r="J12"/>
  <c r="J5"/>
  <c r="I4"/>
  <c r="I6"/>
  <c r="I7"/>
  <c r="I8"/>
  <c r="I9"/>
  <c r="I10"/>
  <c r="I11"/>
  <c r="I12"/>
  <c r="I5"/>
  <c r="G4"/>
  <c r="G13"/>
  <c r="C13"/>
  <c r="C4"/>
  <c r="O7" i="3"/>
  <c r="S7" s="1"/>
  <c r="S6"/>
  <c r="P6"/>
  <c r="O6"/>
  <c r="O7" i="2"/>
  <c r="S7" s="1"/>
  <c r="S6"/>
  <c r="P6"/>
  <c r="O6"/>
  <c r="S7" i="1"/>
  <c r="O7"/>
  <c r="S6"/>
  <c r="P6"/>
  <c r="O6"/>
  <c r="S8" l="1"/>
  <c r="S8" i="3"/>
  <c r="S8" i="2"/>
</calcChain>
</file>

<file path=xl/sharedStrings.xml><?xml version="1.0" encoding="utf-8"?>
<sst xmlns="http://schemas.openxmlformats.org/spreadsheetml/2006/main" count="94" uniqueCount="56">
  <si>
    <t>40 Curatarea covoarelor</t>
  </si>
  <si>
    <t>1.Punct de receptie</t>
  </si>
  <si>
    <t xml:space="preserve">10.Punct de receptie </t>
  </si>
  <si>
    <t>2 Punct de receptie</t>
  </si>
  <si>
    <t>3 Punct de receptie</t>
  </si>
  <si>
    <t>4 Punct de receptie</t>
  </si>
  <si>
    <t>5 Punct de receptie</t>
  </si>
  <si>
    <t xml:space="preserve">6 Punct de receptie </t>
  </si>
  <si>
    <t xml:space="preserve">7 Punct de receptie </t>
  </si>
  <si>
    <t>8 Punct de receptie</t>
  </si>
  <si>
    <t>Domiciliu servicii numerar</t>
  </si>
  <si>
    <t>ianuarie 2025</t>
  </si>
  <si>
    <t>Curatarea covoarelor</t>
  </si>
  <si>
    <t>total</t>
  </si>
  <si>
    <t>prognoza</t>
  </si>
  <si>
    <t>februarie 2025</t>
  </si>
  <si>
    <t>martie 2025</t>
  </si>
  <si>
    <t>%</t>
  </si>
  <si>
    <t>pret</t>
  </si>
  <si>
    <t>Servicii  de curăţare a covoarelor şi articolelor de tip covor:</t>
  </si>
  <si>
    <t>Nr. poz</t>
  </si>
  <si>
    <t xml:space="preserve">Denumire articol </t>
  </si>
  <si>
    <t>Unitate de măsură</t>
  </si>
  <si>
    <t>lei/m²</t>
  </si>
  <si>
    <t>SERVICII SUPLEMENTARE DE ÎNTREȚINERE A COVOARELOR :</t>
  </si>
  <si>
    <t>Prelucrarea covorului, mochetei cu preparate contra molii.</t>
  </si>
  <si>
    <t>lei/buc</t>
  </si>
  <si>
    <t>lei/comandă</t>
  </si>
  <si>
    <t>1% (pe zi calendaristică) dar nu mai mult de 50% din valoarea comenzii.</t>
  </si>
  <si>
    <t>Preţul, lei incl. TVA</t>
  </si>
  <si>
    <t>Covor, covor pluşat, mochetă, (grosimea &lt;10mm).</t>
  </si>
  <si>
    <t>Covor, covor pluşat, mochetă (&gt;6 m şi suprafaţa &gt;24 m.p.).</t>
  </si>
  <si>
    <t xml:space="preserve">Covor, covor pluşat, mochetă (grosimea &gt;10mm). </t>
  </si>
  <si>
    <t>Covor absorbant antimurdarie (incl. cu baza de cauciuc)</t>
  </si>
  <si>
    <t xml:space="preserve">Covor de producție manuală și care necesită curățarea pe ambele părți. </t>
  </si>
  <si>
    <t>Ambalarea covorului (&lt;6 m şi suprafaţa &lt;24 m.p)</t>
  </si>
  <si>
    <t xml:space="preserve">                                                                           APROB:
Director «NUFĂRUL» SA
ALEXANDRINA NEGRU
</t>
  </si>
  <si>
    <t>NOTĂ:</t>
  </si>
  <si>
    <t>6.03</t>
  </si>
  <si>
    <t>6.03.1</t>
  </si>
  <si>
    <t>6.03.2</t>
  </si>
  <si>
    <t>6.04</t>
  </si>
  <si>
    <t>6.05</t>
  </si>
  <si>
    <t>6.06</t>
  </si>
  <si>
    <t>6.07</t>
  </si>
  <si>
    <t>6.11</t>
  </si>
  <si>
    <t>6.12</t>
  </si>
  <si>
    <r>
      <t xml:space="preserve">Eliminarea mirosului de pe covor, mochetă </t>
    </r>
    <r>
      <rPr>
        <b/>
        <sz val="12"/>
        <color theme="1"/>
        <rFont val="Times New Roman"/>
        <family val="1"/>
        <charset val="204"/>
      </rPr>
      <t>(&lt;6 m şi suprafaţa &lt;24 m.p)</t>
    </r>
  </si>
  <si>
    <r>
      <t>Păstrarea covoarelor după expirarea termenului de executare a comenzii</t>
    </r>
    <r>
      <rPr>
        <sz val="12"/>
        <color theme="1"/>
        <rFont val="Times New Roman"/>
        <family val="1"/>
        <charset val="204"/>
      </rPr>
      <t>. Serviciu se prestează cu acordul și la dorința clientului.</t>
    </r>
  </si>
  <si>
    <t>CURĂȚARE COVOARE</t>
  </si>
  <si>
    <t>A elaborat: CAZACU LEONID, șef SMV Nufărul S.A.____________________________12.12.2025</t>
  </si>
  <si>
    <r>
      <t xml:space="preserve">1. În cazul colectării/livrării la domiciliu:
</t>
    </r>
    <r>
      <rPr>
        <b/>
        <sz val="14"/>
        <color theme="1"/>
        <rFont val="Times New Roman"/>
        <family val="1"/>
        <charset val="204"/>
      </rPr>
      <t>a) preţul include:</t>
    </r>
    <r>
      <rPr>
        <sz val="14"/>
        <color theme="1"/>
        <rFont val="Times New Roman"/>
        <family val="1"/>
        <charset val="204"/>
      </rPr>
      <t xml:space="preserve">
- coborârea / ridicarea covoarelor nu mai sus de etajul 1,  până la uşa intrării în apartament, casă, oficiu sau în cazul casei individuale - la poarta;
- livrarea în raza or. Chişinău</t>
    </r>
    <r>
      <rPr>
        <b/>
        <sz val="14"/>
        <color theme="1"/>
        <rFont val="Times New Roman"/>
        <family val="1"/>
        <charset val="204"/>
      </rPr>
      <t xml:space="preserve"> în cazul când comanda este mai mare de 800 lei.</t>
    </r>
    <r>
      <rPr>
        <sz val="14"/>
        <color theme="1"/>
        <rFont val="Times New Roman"/>
        <family val="1"/>
        <charset val="204"/>
      </rPr>
      <t xml:space="preserve">
</t>
    </r>
    <r>
      <rPr>
        <b/>
        <sz val="14"/>
        <color theme="1"/>
        <rFont val="Times New Roman"/>
        <family val="1"/>
        <charset val="204"/>
      </rPr>
      <t>b) preţul nu include</t>
    </r>
    <r>
      <rPr>
        <sz val="14"/>
        <color theme="1"/>
        <rFont val="Times New Roman"/>
        <family val="1"/>
        <charset val="204"/>
      </rPr>
      <t xml:space="preserve"> scoaterea covoarelor de sub mobilă, aparate electrocasnice, obiecte grele etc..
</t>
    </r>
  </si>
  <si>
    <r>
      <t xml:space="preserve">2. PENTRU COVOARELE UMEDE </t>
    </r>
    <r>
      <rPr>
        <sz val="14"/>
        <color theme="1"/>
        <rFont val="Times New Roman"/>
        <family val="1"/>
        <charset val="204"/>
      </rPr>
      <t>se stabilește un adaos la prețul de bază în mărime de</t>
    </r>
    <r>
      <rPr>
        <b/>
        <sz val="14"/>
        <color theme="1"/>
        <rFont val="Times New Roman"/>
        <family val="1"/>
        <charset val="204"/>
      </rPr>
      <t xml:space="preserve"> + 20%.</t>
    </r>
  </si>
  <si>
    <r>
      <t xml:space="preserve">CATALOGUL DE PREŢURI Nr. </t>
    </r>
    <r>
      <rPr>
        <b/>
        <sz val="18"/>
        <color rgb="FFFF0000"/>
        <rFont val="Times New Roman"/>
        <family val="1"/>
        <charset val="204"/>
      </rPr>
      <t>6</t>
    </r>
  </si>
  <si>
    <t xml:space="preserve">În vigoare de pe 01.01.2026. 
</t>
  </si>
  <si>
    <t>CONFORM ORIGINALULUI________________________________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</si>
</sst>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9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Arial"/>
      <family val="2"/>
      <charset val="1"/>
    </font>
    <font>
      <sz val="8"/>
      <color rgb="FFFF0000"/>
      <name val="Arial"/>
      <family val="2"/>
      <charset val="1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2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99">
    <xf numFmtId="0" fontId="0" fillId="0" borderId="0" xfId="0"/>
    <xf numFmtId="0" fontId="2" fillId="2" borderId="1" xfId="1" applyNumberFormat="1" applyFont="1" applyFill="1" applyBorder="1" applyAlignment="1">
      <alignment horizontal="left" vertical="top" wrapText="1"/>
    </xf>
    <xf numFmtId="4" fontId="2" fillId="2" borderId="1" xfId="1" applyNumberFormat="1" applyFont="1" applyFill="1" applyBorder="1" applyAlignment="1">
      <alignment horizontal="right" vertical="top"/>
    </xf>
    <xf numFmtId="2" fontId="2" fillId="2" borderId="1" xfId="1" applyNumberFormat="1" applyFont="1" applyFill="1" applyBorder="1" applyAlignment="1">
      <alignment horizontal="right" vertical="top"/>
    </xf>
    <xf numFmtId="0" fontId="2" fillId="0" borderId="1" xfId="1" applyNumberFormat="1" applyFont="1" applyBorder="1" applyAlignment="1">
      <alignment horizontal="left" vertical="top" wrapText="1" indent="2"/>
    </xf>
    <xf numFmtId="2" fontId="2" fillId="0" borderId="1" xfId="1" applyNumberFormat="1" applyFont="1" applyBorder="1" applyAlignment="1">
      <alignment horizontal="right" vertical="top"/>
    </xf>
    <xf numFmtId="4" fontId="2" fillId="0" borderId="1" xfId="1" applyNumberFormat="1" applyFont="1" applyBorder="1" applyAlignment="1">
      <alignment horizontal="right" vertical="top"/>
    </xf>
    <xf numFmtId="164" fontId="2" fillId="0" borderId="1" xfId="1" applyNumberFormat="1" applyFont="1" applyBorder="1" applyAlignment="1">
      <alignment horizontal="right" vertical="top"/>
    </xf>
    <xf numFmtId="165" fontId="2" fillId="0" borderId="1" xfId="1" applyNumberFormat="1" applyFont="1" applyBorder="1" applyAlignment="1">
      <alignment horizontal="right" vertical="top"/>
    </xf>
    <xf numFmtId="0" fontId="2" fillId="0" borderId="1" xfId="1" applyNumberFormat="1" applyFont="1" applyBorder="1" applyAlignment="1">
      <alignment horizontal="left" vertical="top" wrapText="1"/>
    </xf>
    <xf numFmtId="0" fontId="2" fillId="0" borderId="3" xfId="1" applyNumberFormat="1" applyFont="1" applyBorder="1" applyAlignment="1">
      <alignment horizontal="left" vertical="top" wrapText="1"/>
    </xf>
    <xf numFmtId="2" fontId="2" fillId="0" borderId="3" xfId="1" applyNumberFormat="1" applyFont="1" applyBorder="1" applyAlignment="1">
      <alignment horizontal="right" vertical="top"/>
    </xf>
    <xf numFmtId="4" fontId="2" fillId="0" borderId="3" xfId="1" applyNumberFormat="1" applyFont="1" applyBorder="1" applyAlignment="1">
      <alignment horizontal="right" vertical="top"/>
    </xf>
    <xf numFmtId="4" fontId="0" fillId="3" borderId="2" xfId="0" applyNumberFormat="1" applyFill="1" applyBorder="1"/>
    <xf numFmtId="0" fontId="1" fillId="3" borderId="2" xfId="0" applyFont="1" applyFill="1" applyBorder="1"/>
    <xf numFmtId="4" fontId="1" fillId="3" borderId="2" xfId="0" applyNumberFormat="1" applyFont="1" applyFill="1" applyBorder="1"/>
    <xf numFmtId="4" fontId="0" fillId="0" borderId="2" xfId="0" applyNumberFormat="1" applyBorder="1"/>
    <xf numFmtId="0" fontId="2" fillId="0" borderId="1" xfId="2" applyNumberFormat="1" applyFont="1" applyBorder="1" applyAlignment="1">
      <alignment horizontal="left" vertical="top" wrapText="1"/>
    </xf>
    <xf numFmtId="4" fontId="2" fillId="0" borderId="1" xfId="2" applyNumberFormat="1" applyFont="1" applyBorder="1" applyAlignment="1">
      <alignment horizontal="right" vertical="top"/>
    </xf>
    <xf numFmtId="2" fontId="2" fillId="0" borderId="1" xfId="2" applyNumberFormat="1" applyFont="1" applyBorder="1" applyAlignment="1">
      <alignment horizontal="right" vertical="top"/>
    </xf>
    <xf numFmtId="0" fontId="2" fillId="2" borderId="1" xfId="3" applyNumberFormat="1" applyFont="1" applyFill="1" applyBorder="1" applyAlignment="1">
      <alignment horizontal="left" vertical="top" wrapText="1"/>
    </xf>
    <xf numFmtId="4" fontId="2" fillId="2" borderId="1" xfId="3" applyNumberFormat="1" applyFont="1" applyFill="1" applyBorder="1" applyAlignment="1">
      <alignment horizontal="right" vertical="top"/>
    </xf>
    <xf numFmtId="2" fontId="2" fillId="2" borderId="1" xfId="3" applyNumberFormat="1" applyFont="1" applyFill="1" applyBorder="1" applyAlignment="1">
      <alignment horizontal="right" vertical="top"/>
    </xf>
    <xf numFmtId="0" fontId="2" fillId="0" borderId="1" xfId="3" applyNumberFormat="1" applyFont="1" applyBorder="1" applyAlignment="1">
      <alignment horizontal="left" vertical="top" wrapText="1" indent="2"/>
    </xf>
    <xf numFmtId="2" fontId="2" fillId="0" borderId="1" xfId="3" applyNumberFormat="1" applyFont="1" applyBorder="1" applyAlignment="1">
      <alignment horizontal="right" vertical="top"/>
    </xf>
    <xf numFmtId="4" fontId="2" fillId="0" borderId="1" xfId="3" applyNumberFormat="1" applyFont="1" applyBorder="1" applyAlignment="1">
      <alignment horizontal="right" vertical="top"/>
    </xf>
    <xf numFmtId="164" fontId="2" fillId="0" borderId="1" xfId="3" applyNumberFormat="1" applyFont="1" applyBorder="1" applyAlignment="1">
      <alignment horizontal="right" vertical="top"/>
    </xf>
    <xf numFmtId="0" fontId="2" fillId="2" borderId="1" xfId="4" applyNumberFormat="1" applyFont="1" applyFill="1" applyBorder="1" applyAlignment="1">
      <alignment horizontal="left" vertical="top" wrapText="1"/>
    </xf>
    <xf numFmtId="4" fontId="2" fillId="2" borderId="1" xfId="4" applyNumberFormat="1" applyFont="1" applyFill="1" applyBorder="1" applyAlignment="1">
      <alignment horizontal="right" vertical="top"/>
    </xf>
    <xf numFmtId="2" fontId="2" fillId="2" borderId="1" xfId="4" applyNumberFormat="1" applyFont="1" applyFill="1" applyBorder="1" applyAlignment="1">
      <alignment horizontal="right" vertical="top"/>
    </xf>
    <xf numFmtId="0" fontId="2" fillId="0" borderId="1" xfId="4" applyNumberFormat="1" applyFont="1" applyBorder="1" applyAlignment="1">
      <alignment horizontal="left" vertical="top" wrapText="1" indent="2"/>
    </xf>
    <xf numFmtId="2" fontId="2" fillId="0" borderId="1" xfId="4" applyNumberFormat="1" applyFont="1" applyBorder="1" applyAlignment="1">
      <alignment horizontal="right" vertical="top"/>
    </xf>
    <xf numFmtId="4" fontId="2" fillId="0" borderId="1" xfId="4" applyNumberFormat="1" applyFont="1" applyBorder="1" applyAlignment="1">
      <alignment horizontal="right" vertical="top"/>
    </xf>
    <xf numFmtId="164" fontId="2" fillId="0" borderId="1" xfId="4" applyNumberFormat="1" applyFont="1" applyBorder="1" applyAlignment="1">
      <alignment horizontal="right" vertical="top"/>
    </xf>
    <xf numFmtId="3" fontId="2" fillId="0" borderId="1" xfId="4" applyNumberFormat="1" applyFont="1" applyBorder="1" applyAlignment="1">
      <alignment horizontal="right" vertical="top"/>
    </xf>
    <xf numFmtId="0" fontId="2" fillId="0" borderId="1" xfId="4" applyNumberFormat="1" applyFont="1" applyBorder="1" applyAlignment="1">
      <alignment horizontal="left" vertical="top" wrapText="1"/>
    </xf>
    <xf numFmtId="2" fontId="3" fillId="2" borderId="1" xfId="1" applyNumberFormat="1" applyFont="1" applyFill="1" applyBorder="1" applyAlignment="1">
      <alignment horizontal="right" vertical="top"/>
    </xf>
    <xf numFmtId="2" fontId="3" fillId="0" borderId="1" xfId="1" applyNumberFormat="1" applyFont="1" applyBorder="1" applyAlignment="1">
      <alignment horizontal="right" vertical="top"/>
    </xf>
    <xf numFmtId="0" fontId="0" fillId="0" borderId="0" xfId="0" applyAlignment="1">
      <alignment horizontal="center"/>
    </xf>
    <xf numFmtId="2" fontId="3" fillId="2" borderId="1" xfId="1" applyNumberFormat="1" applyFont="1" applyFill="1" applyBorder="1" applyAlignment="1">
      <alignment horizontal="center" vertical="top"/>
    </xf>
    <xf numFmtId="2" fontId="3" fillId="0" borderId="1" xfId="1" applyNumberFormat="1" applyFont="1" applyBorder="1" applyAlignment="1">
      <alignment horizontal="center" vertical="top"/>
    </xf>
    <xf numFmtId="4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6" fillId="0" borderId="20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wrapText="1"/>
    </xf>
    <xf numFmtId="49" fontId="6" fillId="0" borderId="24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7" fillId="0" borderId="0" xfId="0" applyFont="1" applyAlignment="1"/>
    <xf numFmtId="0" fontId="5" fillId="0" borderId="5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1" fontId="13" fillId="0" borderId="16" xfId="0" applyNumberFormat="1" applyFont="1" applyBorder="1" applyAlignment="1">
      <alignment horizontal="center" vertical="center" wrapText="1"/>
    </xf>
    <xf numFmtId="1" fontId="13" fillId="0" borderId="17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5">
    <cellStyle name="Обычный" xfId="0" builtinId="0"/>
    <cellStyle name="Обычный_feb25" xfId="3"/>
    <cellStyle name="Обычный_mar25" xfId="4"/>
    <cellStyle name="Обычный_Лист1" xfId="1"/>
    <cellStyle name="Обычный_Лист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3"/>
  <sheetViews>
    <sheetView tabSelected="1" topLeftCell="A16" workbookViewId="0">
      <selection activeCell="B26" sqref="B26"/>
    </sheetView>
  </sheetViews>
  <sheetFormatPr defaultRowHeight="15"/>
  <cols>
    <col min="1" max="1" width="9.7109375" style="42" customWidth="1"/>
    <col min="2" max="2" width="72" style="42" customWidth="1"/>
    <col min="3" max="3" width="15.140625" style="42" customWidth="1"/>
    <col min="4" max="4" width="16.28515625" style="42" customWidth="1"/>
    <col min="5" max="16384" width="9.140625" style="42"/>
  </cols>
  <sheetData>
    <row r="1" spans="1:4" ht="61.5" customHeight="1">
      <c r="B1" s="46" t="s">
        <v>49</v>
      </c>
      <c r="C1" s="66" t="s">
        <v>36</v>
      </c>
      <c r="D1" s="67"/>
    </row>
    <row r="2" spans="1:4" ht="24.75" customHeight="1" thickBot="1">
      <c r="A2" s="76" t="s">
        <v>54</v>
      </c>
      <c r="B2" s="77"/>
      <c r="C2" s="77"/>
      <c r="D2" s="77"/>
    </row>
    <row r="3" spans="1:4" ht="27" customHeight="1" thickBot="1">
      <c r="A3" s="95" t="s">
        <v>53</v>
      </c>
      <c r="B3" s="96"/>
      <c r="C3" s="96"/>
      <c r="D3" s="97"/>
    </row>
    <row r="4" spans="1:4" ht="36.75" customHeight="1" thickBot="1">
      <c r="A4" s="78" t="s">
        <v>19</v>
      </c>
      <c r="B4" s="79"/>
      <c r="C4" s="79"/>
      <c r="D4" s="80"/>
    </row>
    <row r="5" spans="1:4">
      <c r="A5" s="81" t="s">
        <v>20</v>
      </c>
      <c r="B5" s="83" t="s">
        <v>21</v>
      </c>
      <c r="C5" s="85" t="s">
        <v>22</v>
      </c>
      <c r="D5" s="71" t="s">
        <v>29</v>
      </c>
    </row>
    <row r="6" spans="1:4" ht="32.25" customHeight="1" thickBot="1">
      <c r="A6" s="82"/>
      <c r="B6" s="84"/>
      <c r="C6" s="86"/>
      <c r="D6" s="72"/>
    </row>
    <row r="7" spans="1:4" ht="29.25" customHeight="1" thickBot="1">
      <c r="A7" s="55" t="s">
        <v>38</v>
      </c>
      <c r="B7" s="56" t="s">
        <v>30</v>
      </c>
      <c r="C7" s="57" t="s">
        <v>23</v>
      </c>
      <c r="D7" s="43">
        <v>40</v>
      </c>
    </row>
    <row r="8" spans="1:4" ht="45.75" customHeight="1" thickBot="1">
      <c r="A8" s="58" t="s">
        <v>39</v>
      </c>
      <c r="B8" s="59" t="s">
        <v>34</v>
      </c>
      <c r="C8" s="60" t="s">
        <v>23</v>
      </c>
      <c r="D8" s="44">
        <v>50</v>
      </c>
    </row>
    <row r="9" spans="1:4" ht="27.75" customHeight="1" thickBot="1">
      <c r="A9" s="55" t="s">
        <v>40</v>
      </c>
      <c r="B9" s="56" t="s">
        <v>33</v>
      </c>
      <c r="C9" s="57" t="s">
        <v>23</v>
      </c>
      <c r="D9" s="43">
        <v>60</v>
      </c>
    </row>
    <row r="10" spans="1:4" ht="24" customHeight="1" thickBot="1">
      <c r="A10" s="58" t="s">
        <v>41</v>
      </c>
      <c r="B10" s="59" t="s">
        <v>32</v>
      </c>
      <c r="C10" s="60" t="s">
        <v>23</v>
      </c>
      <c r="D10" s="44">
        <v>45</v>
      </c>
    </row>
    <row r="11" spans="1:4" ht="29.25" customHeight="1" thickBot="1">
      <c r="A11" s="48" t="s">
        <v>42</v>
      </c>
      <c r="B11" s="87" t="s">
        <v>31</v>
      </c>
      <c r="C11" s="89" t="s">
        <v>23</v>
      </c>
      <c r="D11" s="91">
        <v>55</v>
      </c>
    </row>
    <row r="12" spans="1:4" ht="0.75" hidden="1" customHeight="1" thickBot="1">
      <c r="A12" s="47"/>
      <c r="B12" s="88"/>
      <c r="C12" s="90"/>
      <c r="D12" s="92"/>
    </row>
    <row r="13" spans="1:4" ht="27.75" customHeight="1" thickBot="1">
      <c r="A13" s="68" t="s">
        <v>24</v>
      </c>
      <c r="B13" s="69"/>
      <c r="C13" s="69"/>
      <c r="D13" s="70"/>
    </row>
    <row r="14" spans="1:4" ht="24" customHeight="1">
      <c r="A14" s="49" t="s">
        <v>43</v>
      </c>
      <c r="B14" s="52" t="s">
        <v>47</v>
      </c>
      <c r="C14" s="61" t="s">
        <v>23</v>
      </c>
      <c r="D14" s="45">
        <v>10</v>
      </c>
    </row>
    <row r="15" spans="1:4" ht="24.75" customHeight="1">
      <c r="A15" s="50" t="s">
        <v>44</v>
      </c>
      <c r="B15" s="53" t="s">
        <v>25</v>
      </c>
      <c r="C15" s="62" t="s">
        <v>23</v>
      </c>
      <c r="D15" s="64">
        <v>20</v>
      </c>
    </row>
    <row r="16" spans="1:4" ht="23.25" customHeight="1">
      <c r="A16" s="50" t="s">
        <v>45</v>
      </c>
      <c r="B16" s="53" t="s">
        <v>35</v>
      </c>
      <c r="C16" s="62" t="s">
        <v>26</v>
      </c>
      <c r="D16" s="64">
        <v>20</v>
      </c>
    </row>
    <row r="17" spans="1:4" ht="65.25" customHeight="1" thickBot="1">
      <c r="A17" s="51" t="s">
        <v>46</v>
      </c>
      <c r="B17" s="54" t="s">
        <v>48</v>
      </c>
      <c r="C17" s="63" t="s">
        <v>27</v>
      </c>
      <c r="D17" s="65" t="s">
        <v>28</v>
      </c>
    </row>
    <row r="18" spans="1:4" ht="37.5" customHeight="1">
      <c r="A18" s="93" t="s">
        <v>37</v>
      </c>
      <c r="B18" s="93"/>
      <c r="C18" s="93"/>
      <c r="D18" s="93"/>
    </row>
    <row r="19" spans="1:4" ht="116.25" customHeight="1">
      <c r="A19" s="94" t="s">
        <v>51</v>
      </c>
      <c r="B19" s="94"/>
      <c r="C19" s="94"/>
      <c r="D19" s="94"/>
    </row>
    <row r="20" spans="1:4" ht="20.25" customHeight="1">
      <c r="A20" s="73" t="s">
        <v>52</v>
      </c>
      <c r="B20" s="74"/>
      <c r="C20" s="74"/>
      <c r="D20" s="74"/>
    </row>
    <row r="21" spans="1:4" ht="34.5" customHeight="1">
      <c r="A21" s="75" t="s">
        <v>50</v>
      </c>
      <c r="B21" s="75"/>
      <c r="C21" s="75"/>
      <c r="D21" s="75"/>
    </row>
    <row r="23" spans="1:4" ht="93.75" customHeight="1">
      <c r="B23" s="98" t="s">
        <v>55</v>
      </c>
    </row>
  </sheetData>
  <mergeCells count="16">
    <mergeCell ref="C1:D1"/>
    <mergeCell ref="A13:D13"/>
    <mergeCell ref="D5:D6"/>
    <mergeCell ref="A20:D20"/>
    <mergeCell ref="A21:D21"/>
    <mergeCell ref="A2:D2"/>
    <mergeCell ref="A4:D4"/>
    <mergeCell ref="A5:A6"/>
    <mergeCell ref="B5:B6"/>
    <mergeCell ref="C5:C6"/>
    <mergeCell ref="B11:B12"/>
    <mergeCell ref="C11:C12"/>
    <mergeCell ref="D11:D12"/>
    <mergeCell ref="A18:D18"/>
    <mergeCell ref="A19:D19"/>
    <mergeCell ref="A3:D3"/>
  </mergeCells>
  <pageMargins left="0.63" right="0.2" top="0.35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W16"/>
  <sheetViews>
    <sheetView topLeftCell="A3" workbookViewId="0">
      <selection activeCell="M9" sqref="M9"/>
    </sheetView>
  </sheetViews>
  <sheetFormatPr defaultRowHeight="15"/>
  <cols>
    <col min="8" max="8" width="9.140625" style="38"/>
    <col min="9" max="9" width="10" style="38" bestFit="1" customWidth="1"/>
    <col min="17" max="17" width="17" customWidth="1"/>
    <col min="19" max="19" width="10" bestFit="1" customWidth="1"/>
  </cols>
  <sheetData>
    <row r="3" spans="2:23">
      <c r="B3" t="s">
        <v>11</v>
      </c>
      <c r="G3">
        <v>2025</v>
      </c>
      <c r="I3" s="38">
        <v>2026</v>
      </c>
    </row>
    <row r="4" spans="2:23" ht="33.75">
      <c r="B4" s="1" t="s">
        <v>0</v>
      </c>
      <c r="C4" s="2">
        <f>SUM(C5:C12)</f>
        <v>1798.7800000000002</v>
      </c>
      <c r="D4" s="3"/>
      <c r="E4" s="2"/>
      <c r="F4" s="2"/>
      <c r="G4" s="2">
        <f>SUM(G5:G12)</f>
        <v>64623.859999999993</v>
      </c>
      <c r="H4" s="39"/>
      <c r="I4" s="2">
        <f>SUM(I5:I12)</f>
        <v>89939</v>
      </c>
      <c r="J4" s="36" t="s">
        <v>18</v>
      </c>
      <c r="K4" s="36" t="s">
        <v>17</v>
      </c>
      <c r="N4" s="9" t="s">
        <v>0</v>
      </c>
      <c r="O4" s="6">
        <v>3165.76</v>
      </c>
      <c r="P4" s="5">
        <v>35.31</v>
      </c>
      <c r="Q4" s="6">
        <v>93144.41</v>
      </c>
      <c r="R4" s="6">
        <v>18628.98</v>
      </c>
      <c r="S4" s="6">
        <v>111773.39</v>
      </c>
      <c r="T4" s="5">
        <v>23.59</v>
      </c>
      <c r="U4" s="5">
        <v>23.59</v>
      </c>
      <c r="V4" s="5">
        <v>13.99</v>
      </c>
      <c r="W4" s="5">
        <v>13.99</v>
      </c>
    </row>
    <row r="5" spans="2:23" ht="33.75">
      <c r="B5" s="4" t="s">
        <v>1</v>
      </c>
      <c r="C5" s="5">
        <v>2.83</v>
      </c>
      <c r="D5" s="5">
        <v>35</v>
      </c>
      <c r="E5" s="5">
        <v>82.54</v>
      </c>
      <c r="F5" s="5">
        <v>16.510000000000002</v>
      </c>
      <c r="G5" s="5">
        <v>99.05</v>
      </c>
      <c r="H5" s="40">
        <v>50</v>
      </c>
      <c r="I5" s="40">
        <f>C5*50</f>
        <v>141.5</v>
      </c>
      <c r="J5" s="37">
        <f>H5-(H5*K5)</f>
        <v>50</v>
      </c>
      <c r="K5" s="37">
        <v>0</v>
      </c>
      <c r="N5" s="10" t="s">
        <v>12</v>
      </c>
      <c r="O5" s="11">
        <v>110.63</v>
      </c>
      <c r="P5" s="11">
        <v>39.81</v>
      </c>
      <c r="Q5" s="12">
        <v>3670.36</v>
      </c>
      <c r="R5" s="11">
        <v>734.09</v>
      </c>
      <c r="S5" s="12">
        <v>4404.45</v>
      </c>
      <c r="T5" s="5">
        <v>0.82</v>
      </c>
      <c r="U5" s="5">
        <v>0.82</v>
      </c>
      <c r="V5" s="5">
        <v>0.55000000000000004</v>
      </c>
      <c r="W5" s="5">
        <v>0.55000000000000004</v>
      </c>
    </row>
    <row r="6" spans="2:23" ht="33.75">
      <c r="B6" s="4" t="s">
        <v>2</v>
      </c>
      <c r="C6" s="5">
        <v>145.02000000000001</v>
      </c>
      <c r="D6" s="5">
        <v>39.549999999999997</v>
      </c>
      <c r="E6" s="6">
        <v>4779.2299999999996</v>
      </c>
      <c r="F6" s="5">
        <v>955.85</v>
      </c>
      <c r="G6" s="6">
        <v>5735.08</v>
      </c>
      <c r="H6" s="40">
        <v>50</v>
      </c>
      <c r="I6" s="40">
        <f t="shared" ref="I6:I12" si="0">C6*50</f>
        <v>7251.0000000000009</v>
      </c>
      <c r="J6" s="37">
        <f t="shared" ref="J6:J15" si="1">H6-(H6*K6)</f>
        <v>50</v>
      </c>
      <c r="K6" s="37">
        <v>0</v>
      </c>
      <c r="N6" s="13" t="s">
        <v>13</v>
      </c>
      <c r="O6" s="13">
        <f t="shared" ref="O6" si="2">SUM(O4:O5)</f>
        <v>3276.3900000000003</v>
      </c>
      <c r="P6" s="13">
        <f>SUM(P4:P5)/2</f>
        <v>37.56</v>
      </c>
      <c r="Q6" s="13"/>
      <c r="R6" s="13"/>
      <c r="S6" s="13">
        <f>SUM(S4:S5)</f>
        <v>116177.84</v>
      </c>
    </row>
    <row r="7" spans="2:23" ht="33.75">
      <c r="B7" s="4" t="s">
        <v>3</v>
      </c>
      <c r="C7" s="5">
        <v>587.63</v>
      </c>
      <c r="D7" s="5">
        <v>35.99</v>
      </c>
      <c r="E7" s="6">
        <v>17623.02</v>
      </c>
      <c r="F7" s="6">
        <v>3524.63</v>
      </c>
      <c r="G7" s="6">
        <v>21147.65</v>
      </c>
      <c r="H7" s="40">
        <v>50</v>
      </c>
      <c r="I7" s="40">
        <f t="shared" si="0"/>
        <v>29381.5</v>
      </c>
      <c r="J7" s="37">
        <f t="shared" si="1"/>
        <v>50</v>
      </c>
      <c r="K7" s="37">
        <v>0</v>
      </c>
      <c r="N7" s="14" t="s">
        <v>14</v>
      </c>
      <c r="O7" s="15">
        <f>SUM(O4:O5)</f>
        <v>3276.3900000000003</v>
      </c>
      <c r="P7" s="15">
        <v>45</v>
      </c>
      <c r="Q7" s="15"/>
      <c r="R7" s="15"/>
      <c r="S7" s="15">
        <f>O7*P7</f>
        <v>147437.55000000002</v>
      </c>
    </row>
    <row r="8" spans="2:23" ht="33.75">
      <c r="B8" s="4" t="s">
        <v>4</v>
      </c>
      <c r="C8" s="5">
        <v>228.56</v>
      </c>
      <c r="D8" s="5">
        <v>34.64</v>
      </c>
      <c r="E8" s="6">
        <v>6598.36</v>
      </c>
      <c r="F8" s="6">
        <v>1319.68</v>
      </c>
      <c r="G8" s="6">
        <v>7918.04</v>
      </c>
      <c r="H8" s="40">
        <v>50</v>
      </c>
      <c r="I8" s="40">
        <f t="shared" si="0"/>
        <v>11428</v>
      </c>
      <c r="J8" s="37">
        <f t="shared" si="1"/>
        <v>50</v>
      </c>
      <c r="K8" s="37">
        <v>0</v>
      </c>
      <c r="S8" s="16">
        <f>S7-S6</f>
        <v>31259.710000000021</v>
      </c>
    </row>
    <row r="9" spans="2:23" ht="33.75">
      <c r="B9" s="4" t="s">
        <v>5</v>
      </c>
      <c r="C9" s="5">
        <v>398.22</v>
      </c>
      <c r="D9" s="5">
        <v>35.29</v>
      </c>
      <c r="E9" s="6">
        <v>11711.35</v>
      </c>
      <c r="F9" s="6">
        <v>2342.29</v>
      </c>
      <c r="G9" s="6">
        <v>14053.64</v>
      </c>
      <c r="H9" s="40">
        <v>50</v>
      </c>
      <c r="I9" s="40">
        <f t="shared" si="0"/>
        <v>19911</v>
      </c>
      <c r="J9" s="37">
        <f t="shared" si="1"/>
        <v>50</v>
      </c>
      <c r="K9" s="37">
        <v>0</v>
      </c>
    </row>
    <row r="10" spans="2:23" ht="33.75">
      <c r="B10" s="4" t="s">
        <v>6</v>
      </c>
      <c r="C10" s="5">
        <v>141.16999999999999</v>
      </c>
      <c r="D10" s="5">
        <v>35.4</v>
      </c>
      <c r="E10" s="6">
        <v>4164.8599999999997</v>
      </c>
      <c r="F10" s="5">
        <v>832.99</v>
      </c>
      <c r="G10" s="6">
        <v>4997.8500000000004</v>
      </c>
      <c r="H10" s="40">
        <v>50</v>
      </c>
      <c r="I10" s="40">
        <f t="shared" si="0"/>
        <v>7058.4999999999991</v>
      </c>
      <c r="J10" s="37">
        <f t="shared" si="1"/>
        <v>50</v>
      </c>
      <c r="K10" s="37">
        <v>0</v>
      </c>
    </row>
    <row r="11" spans="2:23" ht="33.75">
      <c r="B11" s="4" t="s">
        <v>7</v>
      </c>
      <c r="C11" s="5">
        <v>78.66</v>
      </c>
      <c r="D11" s="5">
        <v>36</v>
      </c>
      <c r="E11" s="6">
        <v>2359.66</v>
      </c>
      <c r="F11" s="5">
        <v>471.94</v>
      </c>
      <c r="G11" s="7">
        <v>2831.6</v>
      </c>
      <c r="H11" s="40">
        <v>50</v>
      </c>
      <c r="I11" s="40">
        <f t="shared" si="0"/>
        <v>3933</v>
      </c>
      <c r="J11" s="37">
        <f t="shared" si="1"/>
        <v>50</v>
      </c>
      <c r="K11" s="37">
        <v>0</v>
      </c>
    </row>
    <row r="12" spans="2:23" ht="33.75">
      <c r="B12" s="4" t="s">
        <v>9</v>
      </c>
      <c r="C12" s="5">
        <v>216.69</v>
      </c>
      <c r="D12" s="5">
        <v>36.19</v>
      </c>
      <c r="E12" s="6">
        <v>6534.13</v>
      </c>
      <c r="F12" s="6">
        <v>1306.82</v>
      </c>
      <c r="G12" s="6">
        <v>7840.95</v>
      </c>
      <c r="H12" s="40">
        <v>50</v>
      </c>
      <c r="I12" s="40">
        <f t="shared" si="0"/>
        <v>10834.5</v>
      </c>
      <c r="J12" s="37">
        <f t="shared" si="1"/>
        <v>50</v>
      </c>
      <c r="K12" s="37">
        <v>0</v>
      </c>
    </row>
    <row r="13" spans="2:23" ht="33.75">
      <c r="B13" s="1" t="s">
        <v>0</v>
      </c>
      <c r="C13" s="2">
        <f>SUM(C14:C21)</f>
        <v>1366.98</v>
      </c>
      <c r="D13" s="3"/>
      <c r="E13" s="2"/>
      <c r="F13" s="2"/>
      <c r="G13" s="2">
        <f>SUM(G14:G15)</f>
        <v>47149.53</v>
      </c>
      <c r="H13" s="39"/>
      <c r="I13" s="2">
        <f>SUM(I14:I15)</f>
        <v>54679.199999999997</v>
      </c>
      <c r="J13" s="36" t="s">
        <v>18</v>
      </c>
      <c r="K13" s="36"/>
    </row>
    <row r="14" spans="2:23" ht="33.75">
      <c r="B14" s="4" t="s">
        <v>8</v>
      </c>
      <c r="C14" s="5">
        <v>658.88</v>
      </c>
      <c r="D14" s="5">
        <v>34.549999999999997</v>
      </c>
      <c r="E14" s="6">
        <v>18967.88</v>
      </c>
      <c r="F14" s="6">
        <v>3793.59</v>
      </c>
      <c r="G14" s="6">
        <v>22761.47</v>
      </c>
      <c r="H14" s="40">
        <v>50</v>
      </c>
      <c r="I14" s="40">
        <f>C14*J14</f>
        <v>26355.200000000001</v>
      </c>
      <c r="J14" s="37">
        <f t="shared" si="1"/>
        <v>40</v>
      </c>
      <c r="K14" s="37">
        <v>0.2</v>
      </c>
    </row>
    <row r="15" spans="2:23" ht="56.25">
      <c r="B15" s="4" t="s">
        <v>10</v>
      </c>
      <c r="C15" s="8">
        <v>708.1</v>
      </c>
      <c r="D15" s="5">
        <v>34.44</v>
      </c>
      <c r="E15" s="6">
        <v>20323.38</v>
      </c>
      <c r="F15" s="6">
        <v>4064.68</v>
      </c>
      <c r="G15" s="6">
        <v>24388.06</v>
      </c>
      <c r="H15" s="40">
        <v>50</v>
      </c>
      <c r="I15" s="40">
        <f>C15*J15</f>
        <v>28324</v>
      </c>
      <c r="J15" s="37">
        <f t="shared" si="1"/>
        <v>40</v>
      </c>
      <c r="K15" s="37">
        <v>0.2</v>
      </c>
    </row>
    <row r="16" spans="2:23">
      <c r="I16" s="41">
        <f>I13+I4</f>
        <v>144618.20000000001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W14"/>
  <sheetViews>
    <sheetView workbookViewId="0">
      <selection activeCell="P8" sqref="P8"/>
    </sheetView>
  </sheetViews>
  <sheetFormatPr defaultRowHeight="15"/>
  <cols>
    <col min="17" max="17" width="17" customWidth="1"/>
    <col min="19" max="19" width="10" bestFit="1" customWidth="1"/>
  </cols>
  <sheetData>
    <row r="3" spans="2:23">
      <c r="B3" t="s">
        <v>15</v>
      </c>
    </row>
    <row r="4" spans="2:23" ht="33.75">
      <c r="B4" s="20" t="s">
        <v>0</v>
      </c>
      <c r="C4" s="21">
        <v>2636.86</v>
      </c>
      <c r="D4" s="22">
        <v>37.03</v>
      </c>
      <c r="E4" s="21">
        <v>81379.87</v>
      </c>
      <c r="F4" s="21">
        <v>16276.01</v>
      </c>
      <c r="G4" s="21">
        <v>97655.88</v>
      </c>
      <c r="H4" s="22">
        <v>24.01</v>
      </c>
      <c r="I4" s="22">
        <v>24.01</v>
      </c>
      <c r="J4" s="22">
        <v>14.54</v>
      </c>
      <c r="K4" s="22">
        <v>14.54</v>
      </c>
      <c r="N4" s="17" t="s">
        <v>0</v>
      </c>
      <c r="O4" s="18">
        <v>2636.86</v>
      </c>
      <c r="P4" s="19">
        <v>37.03</v>
      </c>
      <c r="Q4" s="18">
        <v>81379.87</v>
      </c>
      <c r="R4" s="18">
        <v>16276.01</v>
      </c>
      <c r="S4" s="18">
        <v>97655.88</v>
      </c>
      <c r="T4" s="19">
        <v>24.01</v>
      </c>
      <c r="U4" s="19">
        <v>24.01</v>
      </c>
      <c r="V4" s="19">
        <v>14.54</v>
      </c>
      <c r="W4" s="19">
        <v>14.54</v>
      </c>
    </row>
    <row r="5" spans="2:23" ht="33.75">
      <c r="B5" s="23" t="s">
        <v>2</v>
      </c>
      <c r="C5" s="24">
        <v>93.66</v>
      </c>
      <c r="D5" s="24">
        <v>44.18</v>
      </c>
      <c r="E5" s="25">
        <v>3448.09</v>
      </c>
      <c r="F5" s="24">
        <v>689.63</v>
      </c>
      <c r="G5" s="25">
        <v>4137.72</v>
      </c>
      <c r="H5" s="24">
        <v>0.85</v>
      </c>
      <c r="I5" s="24">
        <v>3.55</v>
      </c>
      <c r="J5" s="24">
        <v>0.62</v>
      </c>
      <c r="K5" s="24">
        <v>4.24</v>
      </c>
      <c r="N5" s="17" t="s">
        <v>12</v>
      </c>
      <c r="O5" s="19">
        <v>188.75</v>
      </c>
      <c r="P5" s="19">
        <v>39.11</v>
      </c>
      <c r="Q5" s="18">
        <v>6151.93</v>
      </c>
      <c r="R5" s="18">
        <v>1230.3900000000001</v>
      </c>
      <c r="S5" s="18">
        <v>7382.32</v>
      </c>
      <c r="T5" s="19">
        <v>1.72</v>
      </c>
      <c r="U5" s="19">
        <v>1.72</v>
      </c>
      <c r="V5" s="19">
        <v>1.1000000000000001</v>
      </c>
      <c r="W5" s="19">
        <v>1.1000000000000001</v>
      </c>
    </row>
    <row r="6" spans="2:23" ht="33.75">
      <c r="B6" s="23" t="s">
        <v>3</v>
      </c>
      <c r="C6" s="24">
        <v>481.09</v>
      </c>
      <c r="D6" s="24">
        <v>38.17</v>
      </c>
      <c r="E6" s="25">
        <v>15304.59</v>
      </c>
      <c r="F6" s="25">
        <v>3060.93</v>
      </c>
      <c r="G6" s="25">
        <v>18365.52</v>
      </c>
      <c r="H6" s="24">
        <v>4.38</v>
      </c>
      <c r="I6" s="24">
        <v>18.239999999999998</v>
      </c>
      <c r="J6" s="24">
        <v>2.74</v>
      </c>
      <c r="K6" s="24">
        <v>18.809999999999999</v>
      </c>
      <c r="N6" s="13" t="s">
        <v>13</v>
      </c>
      <c r="O6" s="13">
        <f t="shared" ref="O6" si="0">SUM(O4:O5)</f>
        <v>2825.61</v>
      </c>
      <c r="P6" s="13">
        <f>SUM(P4:P5)/2</f>
        <v>38.07</v>
      </c>
      <c r="Q6" s="13"/>
      <c r="R6" s="13"/>
      <c r="S6" s="13">
        <f>SUM(S4:S5)</f>
        <v>105038.20000000001</v>
      </c>
    </row>
    <row r="7" spans="2:23" ht="33.75">
      <c r="B7" s="23" t="s">
        <v>4</v>
      </c>
      <c r="C7" s="24">
        <v>135.53</v>
      </c>
      <c r="D7" s="24">
        <v>29.43</v>
      </c>
      <c r="E7" s="25">
        <v>3323.53</v>
      </c>
      <c r="F7" s="24">
        <v>664.71</v>
      </c>
      <c r="G7" s="25">
        <v>3988.24</v>
      </c>
      <c r="H7" s="24">
        <v>1.23</v>
      </c>
      <c r="I7" s="24">
        <v>5.14</v>
      </c>
      <c r="J7" s="24">
        <v>0.59</v>
      </c>
      <c r="K7" s="24">
        <v>4.08</v>
      </c>
      <c r="N7" s="14" t="s">
        <v>14</v>
      </c>
      <c r="O7" s="15">
        <f>SUM(O4:O5)</f>
        <v>2825.61</v>
      </c>
      <c r="P7" s="15">
        <v>45</v>
      </c>
      <c r="Q7" s="15"/>
      <c r="R7" s="15"/>
      <c r="S7" s="15">
        <f>O7*P7</f>
        <v>127152.45000000001</v>
      </c>
    </row>
    <row r="8" spans="2:23" ht="33.75">
      <c r="B8" s="23" t="s">
        <v>5</v>
      </c>
      <c r="C8" s="24">
        <v>440.28</v>
      </c>
      <c r="D8" s="24">
        <v>37.380000000000003</v>
      </c>
      <c r="E8" s="26">
        <v>13713.2</v>
      </c>
      <c r="F8" s="25">
        <v>2742.64</v>
      </c>
      <c r="G8" s="25">
        <v>16455.84</v>
      </c>
      <c r="H8" s="24">
        <v>4.01</v>
      </c>
      <c r="I8" s="24">
        <v>16.7</v>
      </c>
      <c r="J8" s="24">
        <v>2.4500000000000002</v>
      </c>
      <c r="K8" s="24">
        <v>16.850000000000001</v>
      </c>
      <c r="S8" s="16">
        <f>S7-S6</f>
        <v>22114.25</v>
      </c>
    </row>
    <row r="9" spans="2:23" ht="33.75">
      <c r="B9" s="23" t="s">
        <v>6</v>
      </c>
      <c r="C9" s="24">
        <v>90.79</v>
      </c>
      <c r="D9" s="24">
        <v>36.79</v>
      </c>
      <c r="E9" s="25">
        <v>2783.38</v>
      </c>
      <c r="F9" s="24">
        <v>556.66999999999996</v>
      </c>
      <c r="G9" s="25">
        <v>3340.05</v>
      </c>
      <c r="H9" s="24">
        <v>0.83</v>
      </c>
      <c r="I9" s="24">
        <v>3.44</v>
      </c>
      <c r="J9" s="24">
        <v>0.5</v>
      </c>
      <c r="K9" s="24">
        <v>3.42</v>
      </c>
    </row>
    <row r="10" spans="2:23" ht="33.75">
      <c r="B10" s="23" t="s">
        <v>7</v>
      </c>
      <c r="C10" s="24">
        <v>132.49</v>
      </c>
      <c r="D10" s="24">
        <v>37.61</v>
      </c>
      <c r="E10" s="25">
        <v>4152.41</v>
      </c>
      <c r="F10" s="24">
        <v>830.48</v>
      </c>
      <c r="G10" s="25">
        <v>4982.8900000000003</v>
      </c>
      <c r="H10" s="24">
        <v>1.21</v>
      </c>
      <c r="I10" s="24">
        <v>5.0199999999999996</v>
      </c>
      <c r="J10" s="24">
        <v>0.74</v>
      </c>
      <c r="K10" s="24">
        <v>5.0999999999999996</v>
      </c>
    </row>
    <row r="11" spans="2:23" ht="33.75">
      <c r="B11" s="23" t="s">
        <v>8</v>
      </c>
      <c r="C11" s="24">
        <v>531.37</v>
      </c>
      <c r="D11" s="24">
        <v>36.14</v>
      </c>
      <c r="E11" s="25">
        <v>16003.97</v>
      </c>
      <c r="F11" s="25">
        <v>3200.81</v>
      </c>
      <c r="G11" s="25">
        <v>19204.78</v>
      </c>
      <c r="H11" s="24">
        <v>4.84</v>
      </c>
      <c r="I11" s="24">
        <v>20.149999999999999</v>
      </c>
      <c r="J11" s="24">
        <v>2.86</v>
      </c>
      <c r="K11" s="24">
        <v>19.670000000000002</v>
      </c>
    </row>
    <row r="12" spans="2:23" ht="33.75">
      <c r="B12" s="23" t="s">
        <v>9</v>
      </c>
      <c r="C12" s="24">
        <v>119.37</v>
      </c>
      <c r="D12" s="24">
        <v>37.36</v>
      </c>
      <c r="E12" s="25">
        <v>3716.12</v>
      </c>
      <c r="F12" s="24">
        <v>743.22</v>
      </c>
      <c r="G12" s="25">
        <v>4459.34</v>
      </c>
      <c r="H12" s="24">
        <v>1.0900000000000001</v>
      </c>
      <c r="I12" s="24">
        <v>4.53</v>
      </c>
      <c r="J12" s="24">
        <v>0.66</v>
      </c>
      <c r="K12" s="24">
        <v>4.57</v>
      </c>
    </row>
    <row r="13" spans="2:23" ht="56.25">
      <c r="B13" s="23" t="s">
        <v>10</v>
      </c>
      <c r="C13" s="24">
        <v>612.28</v>
      </c>
      <c r="D13" s="24">
        <v>37.11</v>
      </c>
      <c r="E13" s="25">
        <v>18934.580000000002</v>
      </c>
      <c r="F13" s="25">
        <v>3786.92</v>
      </c>
      <c r="G13" s="26">
        <v>22721.5</v>
      </c>
      <c r="H13" s="24">
        <v>5.58</v>
      </c>
      <c r="I13" s="24">
        <v>23.22</v>
      </c>
      <c r="J13" s="24">
        <v>3.38</v>
      </c>
      <c r="K13" s="24">
        <v>23.27</v>
      </c>
    </row>
    <row r="14" spans="2:23">
      <c r="B14" s="4"/>
      <c r="C14" s="8"/>
      <c r="D14" s="5"/>
      <c r="E14" s="6"/>
      <c r="F14" s="6"/>
      <c r="G14" s="6"/>
      <c r="H14" s="5"/>
      <c r="I14" s="5"/>
      <c r="J14" s="5"/>
      <c r="K14" s="5"/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W14"/>
  <sheetViews>
    <sheetView workbookViewId="0">
      <selection activeCell="P8" sqref="P8"/>
    </sheetView>
  </sheetViews>
  <sheetFormatPr defaultRowHeight="15"/>
  <cols>
    <col min="17" max="17" width="17" customWidth="1"/>
    <col min="19" max="19" width="10" bestFit="1" customWidth="1"/>
  </cols>
  <sheetData>
    <row r="3" spans="2:23">
      <c r="B3" t="s">
        <v>16</v>
      </c>
    </row>
    <row r="4" spans="2:23" ht="33.75">
      <c r="B4" s="27" t="s">
        <v>0</v>
      </c>
      <c r="C4" s="28">
        <v>4366.1899999999996</v>
      </c>
      <c r="D4" s="29">
        <v>36.979999999999997</v>
      </c>
      <c r="E4" s="28">
        <v>134560.60999999999</v>
      </c>
      <c r="F4" s="28">
        <v>26912.25</v>
      </c>
      <c r="G4" s="28">
        <v>161472.85999999999</v>
      </c>
      <c r="H4" s="29">
        <v>29.29</v>
      </c>
      <c r="I4" s="29">
        <v>29.29</v>
      </c>
      <c r="J4" s="29">
        <v>18.03</v>
      </c>
      <c r="K4" s="29">
        <v>18.03</v>
      </c>
      <c r="N4" s="35" t="s">
        <v>0</v>
      </c>
      <c r="O4" s="32">
        <v>4366.1899999999996</v>
      </c>
      <c r="P4" s="31">
        <v>36.979999999999997</v>
      </c>
      <c r="Q4" s="32">
        <v>134560.60999999999</v>
      </c>
      <c r="R4" s="32">
        <v>26912.25</v>
      </c>
      <c r="S4" s="32">
        <v>161472.85999999999</v>
      </c>
      <c r="T4" s="31">
        <v>29.29</v>
      </c>
      <c r="U4" s="31">
        <v>29.29</v>
      </c>
      <c r="V4" s="31">
        <v>18.03</v>
      </c>
      <c r="W4" s="31">
        <v>18.03</v>
      </c>
    </row>
    <row r="5" spans="2:23" ht="33.75">
      <c r="B5" s="30" t="s">
        <v>1</v>
      </c>
      <c r="C5" s="31">
        <v>29.48</v>
      </c>
      <c r="D5" s="31">
        <v>40.24</v>
      </c>
      <c r="E5" s="31">
        <v>988.44</v>
      </c>
      <c r="F5" s="31">
        <v>197.69</v>
      </c>
      <c r="G5" s="32">
        <v>1186.1300000000001</v>
      </c>
      <c r="H5" s="31">
        <v>0.2</v>
      </c>
      <c r="I5" s="31">
        <v>0.68</v>
      </c>
      <c r="J5" s="31">
        <v>0.13</v>
      </c>
      <c r="K5" s="31">
        <v>0.73</v>
      </c>
      <c r="N5" s="35" t="s">
        <v>12</v>
      </c>
      <c r="O5" s="31">
        <v>163.15</v>
      </c>
      <c r="P5" s="31">
        <v>41.56</v>
      </c>
      <c r="Q5" s="32">
        <v>5650.27</v>
      </c>
      <c r="R5" s="32">
        <v>1130.07</v>
      </c>
      <c r="S5" s="32">
        <v>6780.34</v>
      </c>
      <c r="T5" s="31">
        <v>1.0900000000000001</v>
      </c>
      <c r="U5" s="31">
        <v>1.0900000000000001</v>
      </c>
      <c r="V5" s="31">
        <v>0.76</v>
      </c>
      <c r="W5" s="31">
        <v>0.76</v>
      </c>
    </row>
    <row r="6" spans="2:23" ht="33.75">
      <c r="B6" s="30" t="s">
        <v>2</v>
      </c>
      <c r="C6" s="31">
        <v>105.63</v>
      </c>
      <c r="D6" s="31">
        <v>39.22</v>
      </c>
      <c r="E6" s="32">
        <v>3452.46</v>
      </c>
      <c r="F6" s="31">
        <v>690.49</v>
      </c>
      <c r="G6" s="32">
        <v>4142.95</v>
      </c>
      <c r="H6" s="31">
        <v>0.71</v>
      </c>
      <c r="I6" s="31">
        <v>2.42</v>
      </c>
      <c r="J6" s="31">
        <v>0.46</v>
      </c>
      <c r="K6" s="31">
        <v>2.57</v>
      </c>
      <c r="N6" s="13" t="s">
        <v>13</v>
      </c>
      <c r="O6" s="13">
        <f t="shared" ref="O6" si="0">SUM(O4:O5)</f>
        <v>4529.3399999999992</v>
      </c>
      <c r="P6" s="13">
        <f>SUM(P4:P5)/2</f>
        <v>39.269999999999996</v>
      </c>
      <c r="Q6" s="13"/>
      <c r="R6" s="13"/>
      <c r="S6" s="13">
        <f>SUM(S4:S5)</f>
        <v>168253.19999999998</v>
      </c>
    </row>
    <row r="7" spans="2:23" ht="33.75">
      <c r="B7" s="30" t="s">
        <v>3</v>
      </c>
      <c r="C7" s="31">
        <v>730.84</v>
      </c>
      <c r="D7" s="31">
        <v>37.06</v>
      </c>
      <c r="E7" s="32">
        <v>22568.87</v>
      </c>
      <c r="F7" s="32">
        <v>4513.8</v>
      </c>
      <c r="G7" s="32">
        <v>27082.67</v>
      </c>
      <c r="H7" s="31">
        <v>4.9000000000000004</v>
      </c>
      <c r="I7" s="31">
        <v>16.739999999999998</v>
      </c>
      <c r="J7" s="31">
        <v>3.02</v>
      </c>
      <c r="K7" s="31">
        <v>16.77</v>
      </c>
      <c r="N7" s="14" t="s">
        <v>14</v>
      </c>
      <c r="O7" s="15">
        <f>SUM(O4:O5)</f>
        <v>4529.3399999999992</v>
      </c>
      <c r="P7" s="15">
        <v>45</v>
      </c>
      <c r="Q7" s="15"/>
      <c r="R7" s="15"/>
      <c r="S7" s="15">
        <f>O7*P7</f>
        <v>203820.29999999996</v>
      </c>
    </row>
    <row r="8" spans="2:23" ht="33.75">
      <c r="B8" s="30" t="s">
        <v>4</v>
      </c>
      <c r="C8" s="31">
        <v>145.37</v>
      </c>
      <c r="D8" s="31">
        <v>37.869999999999997</v>
      </c>
      <c r="E8" s="32">
        <v>4587.25</v>
      </c>
      <c r="F8" s="31">
        <v>917.45</v>
      </c>
      <c r="G8" s="33">
        <v>5504.7</v>
      </c>
      <c r="H8" s="31">
        <v>0.98</v>
      </c>
      <c r="I8" s="31">
        <v>3.33</v>
      </c>
      <c r="J8" s="31">
        <v>0.61</v>
      </c>
      <c r="K8" s="31">
        <v>3.41</v>
      </c>
      <c r="S8" s="16">
        <f>S7-S6</f>
        <v>35567.099999999977</v>
      </c>
    </row>
    <row r="9" spans="2:23" ht="33.75">
      <c r="B9" s="30" t="s">
        <v>5</v>
      </c>
      <c r="C9" s="31">
        <v>578.09</v>
      </c>
      <c r="D9" s="31">
        <v>37.659999999999997</v>
      </c>
      <c r="E9" s="32">
        <v>18142.66</v>
      </c>
      <c r="F9" s="32">
        <v>3628.55</v>
      </c>
      <c r="G9" s="32">
        <v>21771.21</v>
      </c>
      <c r="H9" s="31">
        <v>3.88</v>
      </c>
      <c r="I9" s="31">
        <v>13.24</v>
      </c>
      <c r="J9" s="31">
        <v>2.4300000000000002</v>
      </c>
      <c r="K9" s="31">
        <v>13.48</v>
      </c>
    </row>
    <row r="10" spans="2:23" ht="33.75">
      <c r="B10" s="30" t="s">
        <v>6</v>
      </c>
      <c r="C10" s="31">
        <v>70.23</v>
      </c>
      <c r="D10" s="31">
        <v>37.090000000000003</v>
      </c>
      <c r="E10" s="33">
        <v>2170.6999999999998</v>
      </c>
      <c r="F10" s="31">
        <v>434.15</v>
      </c>
      <c r="G10" s="32">
        <v>2604.85</v>
      </c>
      <c r="H10" s="31">
        <v>0.47</v>
      </c>
      <c r="I10" s="31">
        <v>1.61</v>
      </c>
      <c r="J10" s="31">
        <v>0.28999999999999998</v>
      </c>
      <c r="K10" s="31">
        <v>1.61</v>
      </c>
    </row>
    <row r="11" spans="2:23" ht="33.75">
      <c r="B11" s="30" t="s">
        <v>7</v>
      </c>
      <c r="C11" s="31">
        <v>156.51</v>
      </c>
      <c r="D11" s="31">
        <v>37</v>
      </c>
      <c r="E11" s="32">
        <v>4825.8100000000004</v>
      </c>
      <c r="F11" s="31">
        <v>965.16</v>
      </c>
      <c r="G11" s="32">
        <v>5790.97</v>
      </c>
      <c r="H11" s="31">
        <v>1.05</v>
      </c>
      <c r="I11" s="31">
        <v>3.58</v>
      </c>
      <c r="J11" s="31">
        <v>0.65</v>
      </c>
      <c r="K11" s="31">
        <v>3.59</v>
      </c>
    </row>
    <row r="12" spans="2:23" ht="33.75">
      <c r="B12" s="30" t="s">
        <v>8</v>
      </c>
      <c r="C12" s="31">
        <v>839.05</v>
      </c>
      <c r="D12" s="31">
        <v>35.78</v>
      </c>
      <c r="E12" s="32">
        <v>25017.16</v>
      </c>
      <c r="F12" s="32">
        <v>5003.47</v>
      </c>
      <c r="G12" s="32">
        <v>30020.63</v>
      </c>
      <c r="H12" s="31">
        <v>5.63</v>
      </c>
      <c r="I12" s="31">
        <v>19.22</v>
      </c>
      <c r="J12" s="31">
        <v>3.35</v>
      </c>
      <c r="K12" s="31">
        <v>18.59</v>
      </c>
    </row>
    <row r="13" spans="2:23" ht="33.75">
      <c r="B13" s="30" t="s">
        <v>9</v>
      </c>
      <c r="C13" s="31">
        <v>227.99</v>
      </c>
      <c r="D13" s="31">
        <v>37.700000000000003</v>
      </c>
      <c r="E13" s="32">
        <v>7162.58</v>
      </c>
      <c r="F13" s="32">
        <v>1432.53</v>
      </c>
      <c r="G13" s="32">
        <v>8595.11</v>
      </c>
      <c r="H13" s="31">
        <v>1.53</v>
      </c>
      <c r="I13" s="31">
        <v>5.22</v>
      </c>
      <c r="J13" s="31">
        <v>0.96</v>
      </c>
      <c r="K13" s="31">
        <v>5.32</v>
      </c>
    </row>
    <row r="14" spans="2:23" ht="56.25">
      <c r="B14" s="30" t="s">
        <v>10</v>
      </c>
      <c r="C14" s="34">
        <v>1483</v>
      </c>
      <c r="D14" s="31">
        <v>36.93</v>
      </c>
      <c r="E14" s="32">
        <v>45644.68</v>
      </c>
      <c r="F14" s="32">
        <v>9128.9599999999991</v>
      </c>
      <c r="G14" s="32">
        <v>54773.64</v>
      </c>
      <c r="H14" s="31">
        <v>9.9499999999999993</v>
      </c>
      <c r="I14" s="31">
        <v>33.97</v>
      </c>
      <c r="J14" s="31">
        <v>6.12</v>
      </c>
      <c r="K14" s="31">
        <v>33.92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Pret ian 2026</vt:lpstr>
      <vt:lpstr>ian25</vt:lpstr>
      <vt:lpstr>feb25</vt:lpstr>
      <vt:lpstr>mar25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2025-12-29T10:00:42Z</dcterms:modified>
</cp:coreProperties>
</file>