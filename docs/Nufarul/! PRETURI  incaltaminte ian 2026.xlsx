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7590"/>
  </bookViews>
  <sheets>
    <sheet name="TEXTILE, piele" sheetId="2" r:id="rId1"/>
  </sheets>
  <calcPr calcId="124519"/>
</workbook>
</file>

<file path=xl/calcChain.xml><?xml version="1.0" encoding="utf-8"?>
<calcChain xmlns="http://schemas.openxmlformats.org/spreadsheetml/2006/main">
  <c r="D67" i="2"/>
  <c r="D91"/>
  <c r="D170"/>
  <c r="D171"/>
  <c r="D168"/>
  <c r="D169"/>
  <c r="D150"/>
  <c r="D156"/>
  <c r="D158"/>
  <c r="D159"/>
  <c r="D129"/>
  <c r="D82"/>
  <c r="D83"/>
  <c r="D134"/>
  <c r="D138"/>
  <c r="D140"/>
  <c r="D127"/>
  <c r="D86"/>
  <c r="D93"/>
  <c r="D106"/>
  <c r="D108"/>
  <c r="D51"/>
</calcChain>
</file>

<file path=xl/sharedStrings.xml><?xml version="1.0" encoding="utf-8"?>
<sst xmlns="http://schemas.openxmlformats.org/spreadsheetml/2006/main" count="521" uniqueCount="337">
  <si>
    <t>Scurtă cu căptuşeală călduroasă</t>
  </si>
  <si>
    <t>Nr. poz</t>
  </si>
  <si>
    <t>Denumirea confecţiei</t>
  </si>
  <si>
    <t>Un. de măsură</t>
  </si>
  <si>
    <t>A elaborat:</t>
  </si>
  <si>
    <t>Cazacu Leonid</t>
  </si>
  <si>
    <t>Şef SMV "NUFĂRUL" S.A.</t>
  </si>
  <si>
    <t xml:space="preserve">Sacou </t>
  </si>
  <si>
    <t>Sacou  (lungimea peste 85 cm)</t>
  </si>
  <si>
    <t>Sacou din stofă groasă</t>
  </si>
  <si>
    <t xml:space="preserve">Pantaloni </t>
  </si>
  <si>
    <t xml:space="preserve">Jiletcă </t>
  </si>
  <si>
    <t xml:space="preserve">Fustă </t>
  </si>
  <si>
    <t>Fustă (plisată, gofrată, cu pliuri)</t>
  </si>
  <si>
    <t>Bluză</t>
  </si>
  <si>
    <t xml:space="preserve">Cămaşă </t>
  </si>
  <si>
    <t xml:space="preserve">Halat scurt </t>
  </si>
  <si>
    <t xml:space="preserve">Halat lung </t>
  </si>
  <si>
    <t>Scurtă cu căptuşeală detaşabilă din blană naturală</t>
  </si>
  <si>
    <t xml:space="preserve">Scurtă din stofă subţire </t>
  </si>
  <si>
    <t>Scurtă cu căptuşeală din puf</t>
  </si>
  <si>
    <t>Palton de iarnă, palton de caşmir</t>
  </si>
  <si>
    <t>Palton scurt de iarnă, palton scurt de caşmir</t>
  </si>
  <si>
    <t>Demiu ( pardesiu )</t>
  </si>
  <si>
    <t>Demiu (palton scurt)</t>
  </si>
  <si>
    <t xml:space="preserve">Trenci </t>
  </si>
  <si>
    <t>Trenci cu căptuşeală detaşabilă din blană  naturală</t>
  </si>
  <si>
    <t xml:space="preserve">Căptuşeală detaşabilă din blană artificială </t>
  </si>
  <si>
    <t>Căptuşeală detaşabilă din blană naturală</t>
  </si>
  <si>
    <t xml:space="preserve">Cravată </t>
  </si>
  <si>
    <t>Fular, basma ( cu dimensiuni până la 1m²)</t>
  </si>
  <si>
    <t>Fular, basma ( cu dimensiuni peste 1m²)</t>
  </si>
  <si>
    <t>Chipiu, beretă</t>
  </si>
  <si>
    <t xml:space="preserve">Tricou, raglan </t>
  </si>
  <si>
    <t xml:space="preserve">Maiou din tricotaj </t>
  </si>
  <si>
    <t>Costum sportiv</t>
  </si>
  <si>
    <t>Ciorapi</t>
  </si>
  <si>
    <t xml:space="preserve">Mănuşi </t>
  </si>
  <si>
    <t xml:space="preserve">Combinezon </t>
  </si>
  <si>
    <t xml:space="preserve">Rochie </t>
  </si>
  <si>
    <t>Rochie lungă</t>
  </si>
  <si>
    <t>Rochie  de gală</t>
  </si>
  <si>
    <t>lei/un</t>
  </si>
  <si>
    <t>lei/м²</t>
  </si>
  <si>
    <t>lei/pereche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</si>
  <si>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</si>
  <si>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</si>
  <si>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</si>
  <si>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</si>
  <si>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</si>
  <si>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</si>
  <si>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</si>
  <si>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</si>
  <si>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</si>
  <si>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</si>
  <si>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</si>
  <si>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</si>
  <si>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</si>
  <si>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</si>
  <si>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</si>
  <si>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1.17</t>
  </si>
  <si>
    <t>lei/un.</t>
  </si>
  <si>
    <t>1.48</t>
  </si>
  <si>
    <t>1.49</t>
  </si>
  <si>
    <t>1.50</t>
  </si>
  <si>
    <t>1.51</t>
  </si>
  <si>
    <t>Pled - 1 persoană</t>
  </si>
  <si>
    <t>Pled - 2 persoane</t>
  </si>
  <si>
    <t>Pled dublu - 2 persoane</t>
  </si>
  <si>
    <t>Confecţii pentru pat din pânză cu bucle lungi - 1 persoană</t>
  </si>
  <si>
    <t>Confecţii pentru pat din pânză cu bucle lungi - 2 persoane</t>
  </si>
  <si>
    <t>Plapumă din puf - 1 persoană</t>
  </si>
  <si>
    <t>Sac de dormit din sintepon</t>
  </si>
  <si>
    <t>Sac de dormit din puf</t>
  </si>
  <si>
    <t>Umbrelă pentru terase</t>
  </si>
  <si>
    <t>Jucărie moale cu greutatea până la 1.0кg.</t>
  </si>
  <si>
    <t>Jucărie moale cu greutatea  1.0-2.0кg.</t>
  </si>
  <si>
    <t>Jucărie moale cu greutatea  2.0-3.0кg.</t>
  </si>
  <si>
    <t>Jucărie moale cu greutatea  3.0-4.0kg.</t>
  </si>
  <si>
    <t>Jucărie moale cu greutatea peste 4.0кg</t>
  </si>
  <si>
    <t>Jucărie moale cu dimensiuni până  la 1m.lin</t>
  </si>
  <si>
    <t>Jucărie moale cu dimensiuni peste 1.5 m. lin</t>
  </si>
  <si>
    <t>Cărucior (de vară)</t>
  </si>
  <si>
    <t>Cărucior (de iarnă)</t>
  </si>
  <si>
    <t>Pernă din sintepon ( 50x70)</t>
  </si>
  <si>
    <t>lei/m²</t>
  </si>
  <si>
    <t>1.52</t>
  </si>
  <si>
    <t>Pătură din lână,  amestec de lână  -1 persoană</t>
  </si>
  <si>
    <t>Plapumă din lână, amestec de lână, sintepon  -  2 persoane</t>
  </si>
  <si>
    <t xml:space="preserve">Plapumă din lână, amestec de lână, sintepon - 1 persoană 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</si>
  <si>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</si>
  <si>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</si>
  <si>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</si>
  <si>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</si>
  <si>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</si>
  <si>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</si>
  <si>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</si>
  <si>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</si>
  <si>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</si>
  <si>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</si>
  <si>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</si>
  <si>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</si>
  <si>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</si>
  <si>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</si>
  <si>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</si>
  <si>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</si>
  <si>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</si>
  <si>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</si>
  <si>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</si>
  <si>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</si>
  <si>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</si>
  <si>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</si>
  <si>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</si>
  <si>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</si>
  <si>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</si>
  <si>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</si>
  <si>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</si>
  <si>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</si>
  <si>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</si>
  <si>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LUSTRUIREA CONFECŢIILOR ŞI OBIECTELOR DIN BLANĂ ARTIFICIALĂ</t>
  </si>
  <si>
    <t xml:space="preserve">Şubă </t>
  </si>
  <si>
    <t xml:space="preserve">Şubă scurtă </t>
  </si>
  <si>
    <t xml:space="preserve">Scurtă </t>
  </si>
  <si>
    <t>Pled -1 persoană</t>
  </si>
  <si>
    <t>Pled -2 persoană</t>
  </si>
  <si>
    <t>1.86</t>
  </si>
  <si>
    <t>1.87</t>
  </si>
  <si>
    <t>1.88</t>
  </si>
  <si>
    <t>1.89</t>
  </si>
  <si>
    <t>1.90</t>
  </si>
  <si>
    <t>ELIMINAREA MIROSURILOR</t>
  </si>
  <si>
    <t>Eliminarea mirosurilor de pe confecţii şi obiecte.</t>
  </si>
  <si>
    <t>1.91</t>
  </si>
  <si>
    <t>CURĂŢAREA CHIMICĂ ŞI VOPSIREA CONFECŢIILOR DIN PIELE NATURALĂ</t>
  </si>
  <si>
    <t xml:space="preserve">Palton </t>
  </si>
  <si>
    <t xml:space="preserve">Geantă </t>
  </si>
  <si>
    <t xml:space="preserve">Cămaşă  </t>
  </si>
  <si>
    <t xml:space="preserve">Chipiu </t>
  </si>
  <si>
    <t>Cojoc (lungimea până la 60 cm)</t>
  </si>
  <si>
    <t>Cojoc  (lungimea 60- 90 cm)</t>
  </si>
  <si>
    <t>Cojoc (lungimea peste 90 cm)</t>
  </si>
  <si>
    <t>Fustă</t>
  </si>
  <si>
    <t>Guler (vulpe, nurcă).</t>
  </si>
  <si>
    <t>Căciulă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</si>
  <si>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</si>
  <si>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</si>
  <si>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</si>
  <si>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</si>
  <si>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</si>
  <si>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</si>
  <si>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</si>
  <si>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</si>
  <si>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</si>
  <si>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</si>
  <si>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</si>
  <si>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</si>
  <si>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2.13</t>
  </si>
  <si>
    <t>2.14</t>
  </si>
  <si>
    <t>Geantă, poşetă</t>
  </si>
  <si>
    <t>Scurtă</t>
  </si>
  <si>
    <t>Palton</t>
  </si>
  <si>
    <t>Cojoc (lungimea 60 -  90 cm)</t>
  </si>
  <si>
    <t>Rochie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</si>
  <si>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</si>
  <si>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</si>
  <si>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</si>
  <si>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</si>
  <si>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</si>
  <si>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</si>
  <si>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</si>
  <si>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</si>
  <si>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</si>
  <si>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</si>
  <si>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</si>
  <si>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4.12</t>
  </si>
  <si>
    <t>4.13</t>
  </si>
  <si>
    <t>4.14</t>
  </si>
  <si>
    <t>4.15</t>
  </si>
  <si>
    <t>Cojoc  (lungimea până la 90 cm)</t>
  </si>
  <si>
    <t xml:space="preserve">Căciulă </t>
  </si>
  <si>
    <t>4.16</t>
  </si>
  <si>
    <r>
      <rPr>
        <b/>
        <sz val="11"/>
        <color indexed="8"/>
        <rFont val="Arial"/>
        <family val="2"/>
        <charset val="204"/>
      </rPr>
      <t>CURĂŢAREA CHIMICĂ A CONFECŢIILOR DIN PIELE,  PIELE ÎNTOARSĂ</t>
    </r>
    <r>
      <rPr>
        <sz val="11"/>
        <color indexed="8"/>
        <rFont val="Arial"/>
        <family val="2"/>
        <charset val="204"/>
      </rPr>
      <t xml:space="preserve">, </t>
    </r>
    <r>
      <rPr>
        <b/>
        <sz val="11"/>
        <color indexed="8"/>
        <rFont val="Arial"/>
        <family val="2"/>
        <charset val="204"/>
      </rPr>
      <t xml:space="preserve">BLĂNURI :  </t>
    </r>
    <r>
      <rPr>
        <b/>
        <i/>
        <sz val="11"/>
        <color indexed="10"/>
        <rFont val="Arial"/>
        <family val="2"/>
        <charset val="204"/>
      </rPr>
      <t xml:space="preserve"> </t>
    </r>
    <r>
      <rPr>
        <b/>
        <i/>
        <u/>
        <sz val="11"/>
        <color indexed="10"/>
        <rFont val="Arial"/>
        <family val="2"/>
        <charset val="204"/>
      </rPr>
      <t>ARTIFICIALE</t>
    </r>
  </si>
  <si>
    <r>
      <rPr>
        <b/>
        <sz val="11"/>
        <color indexed="8"/>
        <rFont val="Arial"/>
        <family val="2"/>
        <charset val="204"/>
      </rPr>
      <t>CURĂŢAREA CHIMICĂ A CONFECŢIILOR DIN PIELE,  PIELE ÎNTOARSĂ</t>
    </r>
    <r>
      <rPr>
        <sz val="11"/>
        <color indexed="8"/>
        <rFont val="Arial"/>
        <family val="2"/>
        <charset val="204"/>
      </rPr>
      <t xml:space="preserve">, </t>
    </r>
    <r>
      <rPr>
        <b/>
        <sz val="11"/>
        <color indexed="8"/>
        <rFont val="Arial"/>
        <family val="2"/>
        <charset val="204"/>
      </rPr>
      <t xml:space="preserve">BLĂNURI :   </t>
    </r>
    <r>
      <rPr>
        <b/>
        <i/>
        <sz val="11"/>
        <color indexed="10"/>
        <rFont val="Arial"/>
        <family val="2"/>
        <charset val="204"/>
      </rPr>
      <t xml:space="preserve"> </t>
    </r>
    <r>
      <rPr>
        <b/>
        <i/>
        <u/>
        <sz val="11"/>
        <color indexed="10"/>
        <rFont val="Arial"/>
        <family val="2"/>
        <charset val="204"/>
      </rPr>
      <t>NATURALE</t>
    </r>
  </si>
  <si>
    <t xml:space="preserve">Scurtă sau pantaloni de la costum sportiv din nailon </t>
  </si>
  <si>
    <r>
      <t xml:space="preserve">Pulover, jachetă, </t>
    </r>
    <r>
      <rPr>
        <sz val="12"/>
        <color indexed="10"/>
        <rFont val="Arial"/>
        <family val="2"/>
        <charset val="204"/>
      </rPr>
      <t>sveter</t>
    </r>
  </si>
  <si>
    <r>
      <t xml:space="preserve">Jucărie moale cu </t>
    </r>
    <r>
      <rPr>
        <sz val="12"/>
        <color indexed="10"/>
        <rFont val="Arial"/>
        <family val="2"/>
        <charset val="204"/>
      </rPr>
      <t>dimensiuni 1m.lin – 1.5 m</t>
    </r>
    <r>
      <rPr>
        <sz val="12"/>
        <color indexed="8"/>
        <rFont val="Arial"/>
        <family val="2"/>
        <charset val="204"/>
      </rPr>
      <t>. lin</t>
    </r>
  </si>
  <si>
    <r>
      <t>Şubă (iepure, câine, nutrie</t>
    </r>
    <r>
      <rPr>
        <sz val="12"/>
        <color indexed="10"/>
        <rFont val="Arial"/>
        <family val="2"/>
        <charset val="204"/>
      </rPr>
      <t>, caracul)</t>
    </r>
  </si>
  <si>
    <r>
      <t>Şubă</t>
    </r>
    <r>
      <rPr>
        <sz val="12"/>
        <color indexed="8"/>
        <rFont val="Arial"/>
        <family val="2"/>
        <charset val="204"/>
      </rPr>
      <t xml:space="preserve"> (vulpe, nurca).</t>
    </r>
  </si>
  <si>
    <r>
      <t>Blană</t>
    </r>
    <r>
      <rPr>
        <sz val="12"/>
        <color indexed="8"/>
        <rFont val="Arial"/>
        <family val="2"/>
        <charset val="204"/>
      </rPr>
      <t xml:space="preserve"> scurtă ( iepure, câine, nutrie, </t>
    </r>
    <r>
      <rPr>
        <sz val="12"/>
        <color indexed="10"/>
        <rFont val="Arial"/>
        <family val="2"/>
        <charset val="204"/>
      </rPr>
      <t>caracul).</t>
    </r>
  </si>
  <si>
    <r>
      <t>Blană</t>
    </r>
    <r>
      <rPr>
        <sz val="12"/>
        <color indexed="8"/>
        <rFont val="Arial"/>
        <family val="2"/>
        <charset val="204"/>
      </rPr>
      <t xml:space="preserve"> scurtă (vulpe, nurcă).</t>
    </r>
  </si>
  <si>
    <t>Cuvertură cu dimensiuni de peste 3 m.p.</t>
  </si>
  <si>
    <t>Cuvertură cu dimensiuni de până la 3 m.p.</t>
  </si>
  <si>
    <t>1.16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</si>
  <si>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</si>
  <si>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</si>
  <si>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</si>
  <si>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</si>
  <si>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</si>
  <si>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</si>
  <si>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</si>
  <si>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</si>
  <si>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</si>
  <si>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</si>
  <si>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</si>
  <si>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</si>
  <si>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</si>
  <si>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</si>
  <si>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</si>
  <si>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</si>
  <si>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</si>
  <si>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</si>
  <si>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</si>
  <si>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</si>
  <si>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</si>
  <si>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</si>
  <si>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</si>
  <si>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</si>
  <si>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</si>
  <si>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</si>
  <si>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lei/m.p.</t>
  </si>
  <si>
    <t>Notă:</t>
  </si>
  <si>
    <t>*- Termenul de prestaţie STANDARD se poate stabili cu acordul clientului  la toate punctele de recepţie "NUFĂRUL"S.A. din or. Chişinău.</t>
  </si>
  <si>
    <t>Geantă, ghiozdan, poşetă din ţesătură</t>
  </si>
  <si>
    <t>Draperii subţiri, perdele din tul</t>
  </si>
  <si>
    <t xml:space="preserve">Draperii groase sau duble </t>
  </si>
  <si>
    <t>Fotoliu auto pentru copil</t>
  </si>
  <si>
    <t>Aprobat:</t>
  </si>
  <si>
    <t>lei/kg.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</si>
  <si>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</si>
  <si>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</si>
  <si>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</si>
  <si>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</si>
  <si>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</si>
  <si>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</si>
  <si>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</si>
  <si>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</si>
  <si>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</si>
  <si>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 xml:space="preserve">Pielicele (tăbăcite industrial) </t>
  </si>
  <si>
    <t>Tricou fără mâneci</t>
  </si>
  <si>
    <t>Tricou cu mâneci</t>
  </si>
  <si>
    <t>Bonetă, chipiu, beretă</t>
  </si>
  <si>
    <t>Halat de lucru</t>
  </si>
  <si>
    <t>Trenci, pelerină</t>
  </si>
  <si>
    <t>Chipiu,cuşmă</t>
  </si>
  <si>
    <t>Pantaloni (salopetă)</t>
  </si>
  <si>
    <t>Pantaloni cu pieptar (salopetă)</t>
  </si>
  <si>
    <t>Giacă (salopetă)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</si>
  <si>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</si>
  <si>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</si>
  <si>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</si>
  <si>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</si>
  <si>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</si>
  <si>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</si>
  <si>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</si>
  <si>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</si>
  <si>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</si>
  <si>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</si>
  <si>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</si>
  <si>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</si>
  <si>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 xml:space="preserve">ÎMBRĂCĂMINTE DE LUCRU </t>
  </si>
  <si>
    <r>
      <t>ÎMBRĂCĂMINTE DE LUCRU</t>
    </r>
    <r>
      <rPr>
        <b/>
        <sz val="14"/>
        <color indexed="8"/>
        <rFont val="Times New Roman"/>
        <family val="1"/>
        <charset val="204"/>
      </rPr>
      <t xml:space="preserve"> </t>
    </r>
    <r>
      <rPr>
        <b/>
        <i/>
        <sz val="14"/>
        <color indexed="8"/>
        <rFont val="Times New Roman"/>
        <family val="1"/>
        <charset val="204"/>
      </rPr>
      <t>(cu căptuşeală călduroasă)</t>
    </r>
  </si>
  <si>
    <t>Combinezon (salopetă)</t>
  </si>
  <si>
    <t>Şorţ incl. cu pieptar</t>
  </si>
  <si>
    <t>1.44</t>
  </si>
  <si>
    <t>1.45</t>
  </si>
  <si>
    <t>1.46</t>
  </si>
  <si>
    <t>1.47</t>
  </si>
  <si>
    <t>1.65</t>
  </si>
  <si>
    <t>1.66</t>
  </si>
  <si>
    <t>1.67</t>
  </si>
  <si>
    <t>1.68</t>
  </si>
  <si>
    <t>1.43.1</t>
  </si>
  <si>
    <t>Rochie de mireasă cu max.2 fuste</t>
  </si>
  <si>
    <t>1.14.1</t>
  </si>
  <si>
    <t>Scurtă cu căptuşeală (demisezon)</t>
  </si>
  <si>
    <t>1.15.1</t>
  </si>
  <si>
    <t>Scurtă cu căptuşeală din puf (demisezon)</t>
  </si>
  <si>
    <t>Rochie de mireasă (sofisticată/complicată), sau voluminoasă cu 3 fuste.</t>
  </si>
  <si>
    <t>Rochie de mireasă (sofisticată/complicată), voluminoasă cu min. 4 fuste  sau cu trenă.</t>
  </si>
  <si>
    <t>1.43.2</t>
  </si>
  <si>
    <t>Voal, incl. de mireasă</t>
  </si>
  <si>
    <t>Veșminte preotești</t>
  </si>
  <si>
    <t>lei/un. sau complet</t>
  </si>
  <si>
    <t>Pantaloni cu căptușeală călduroasă (incl. de schi)</t>
  </si>
  <si>
    <t>1.04.1</t>
  </si>
  <si>
    <t>1.05.1</t>
  </si>
  <si>
    <t>1.55.1</t>
  </si>
  <si>
    <t>Jiletcă cu căptușeală (puf, sintepon) (demisezon)</t>
  </si>
  <si>
    <t>Jiletcă  cu căptuşeală din puf, sintepon</t>
  </si>
  <si>
    <t>1.71.1</t>
  </si>
  <si>
    <t xml:space="preserve">Plapumă din puf -  2 persoane </t>
  </si>
  <si>
    <t>Plapumă din puf - 2 persoane (dublă)</t>
  </si>
  <si>
    <t>1.73.1</t>
  </si>
  <si>
    <t>Plapumă din lână, amestec de lână, sintepon  -  2 persoane (dublă)</t>
  </si>
  <si>
    <t>Fotoliu auto (înălțător) pentru copil</t>
  </si>
  <si>
    <t>1.97.1</t>
  </si>
  <si>
    <t>1.89.1</t>
  </si>
  <si>
    <t xml:space="preserve">Geantă de voiaj </t>
  </si>
  <si>
    <r>
      <t xml:space="preserve">Palton  cu căptuşeală din puf, </t>
    </r>
    <r>
      <rPr>
        <sz val="12"/>
        <color indexed="8"/>
        <rFont val="Arial"/>
        <family val="2"/>
        <charset val="204"/>
      </rPr>
      <t>sintepon</t>
    </r>
  </si>
  <si>
    <r>
      <t xml:space="preserve">Confecţii de draperie, faţa de masă, ţol,  huse pentru auto, pelerina de divan/fotoliu, </t>
    </r>
    <r>
      <rPr>
        <sz val="12"/>
        <color indexed="8"/>
        <rFont val="Arial"/>
        <family val="2"/>
        <charset val="204"/>
      </rPr>
      <t>husă (subțire) de protecție saltea.</t>
    </r>
  </si>
  <si>
    <r>
      <t xml:space="preserve">Geantă de voiaj mare </t>
    </r>
    <r>
      <rPr>
        <sz val="12"/>
        <color indexed="8"/>
        <rFont val="Arial"/>
        <family val="2"/>
        <charset val="204"/>
      </rPr>
      <t>(Suma celor 3 laturi &gt; de 158 cm)</t>
    </r>
  </si>
  <si>
    <t>Palton scurt cu căptuşeală din puf, sintepon</t>
  </si>
  <si>
    <t>Cizme înalte</t>
  </si>
  <si>
    <t>Sandale, ciupici</t>
  </si>
  <si>
    <t>Pantofi, ghete, mocasini, adidași</t>
  </si>
  <si>
    <r>
      <t>CURĂŢAREA CHIMICĂ A ÎNCĂLȚĂMINTEI (</t>
    </r>
    <r>
      <rPr>
        <b/>
        <i/>
        <sz val="11"/>
        <color rgb="FFFF0000"/>
        <rFont val="Arial"/>
        <family val="2"/>
        <charset val="204"/>
      </rPr>
      <t>PIELE / TEXTILE)</t>
    </r>
  </si>
  <si>
    <t>Botine, papuci, cizme scurte</t>
  </si>
  <si>
    <t>13.01</t>
  </si>
  <si>
    <t>13.02</t>
  </si>
  <si>
    <t>13.03</t>
  </si>
  <si>
    <t>13.04</t>
  </si>
  <si>
    <t>13.01.1</t>
  </si>
  <si>
    <t>13.02.1</t>
  </si>
  <si>
    <t>13.03.1</t>
  </si>
  <si>
    <t>13.04.1</t>
  </si>
  <si>
    <r>
      <t>CURĂŢAREA CHIMICĂ A ÎNCĂLÂÎMINTEI + VOPSIRE (</t>
    </r>
    <r>
      <rPr>
        <b/>
        <i/>
        <sz val="11"/>
        <color rgb="FFFF0000"/>
        <rFont val="Arial"/>
        <family val="2"/>
        <charset val="204"/>
      </rPr>
      <t>PIELE NATURALĂ)</t>
    </r>
  </si>
  <si>
    <t xml:space="preserve">ALTE PRODUSE </t>
  </si>
  <si>
    <t>Jaluzele (textile)</t>
  </si>
  <si>
    <t>1.79.1</t>
  </si>
  <si>
    <t>Jaluzele (plastic, metal)</t>
  </si>
  <si>
    <t xml:space="preserve">Pernă din sintepon </t>
  </si>
  <si>
    <t>!</t>
  </si>
  <si>
    <r>
      <t xml:space="preserve">Saltea, </t>
    </r>
    <r>
      <rPr>
        <b/>
        <strike/>
        <sz val="12"/>
        <color indexed="8"/>
        <rFont val="Arial"/>
        <family val="2"/>
        <charset val="204"/>
      </rPr>
      <t>husă groasă (cu paralon) de saltea  (curăţare şi dezinfectare) cat.2</t>
    </r>
  </si>
  <si>
    <r>
      <t>Saltea,</t>
    </r>
    <r>
      <rPr>
        <b/>
        <sz val="12"/>
        <color indexed="8"/>
        <rFont val="Arial"/>
        <family val="2"/>
        <charset val="204"/>
      </rPr>
      <t xml:space="preserve"> husă groasă (cu paralon) de saltea (curăţare şi dezinfectare) </t>
    </r>
  </si>
  <si>
    <t xml:space="preserve">CATALOG DE PREŢURI 
Curăţarea chimică a încălțămintei
</t>
  </si>
  <si>
    <t xml:space="preserve">Termen de prestație STANDARD </t>
  </si>
  <si>
    <t>lei/per.</t>
  </si>
  <si>
    <t>Prețul, lei incl. TVA</t>
  </si>
  <si>
    <t>CURĂȚARE ÎNCĂLȚĂMINTE</t>
  </si>
  <si>
    <t>În vigoare de pe 01.01.2026</t>
  </si>
  <si>
    <t>ALEXANDRINA NEGRU</t>
  </si>
  <si>
    <t xml:space="preserve">Director "NUFĂRUL" S.A. </t>
  </si>
  <si>
    <t>170 / 110</t>
  </si>
  <si>
    <t>210 / 150</t>
  </si>
  <si>
    <t>290 / 210</t>
  </si>
  <si>
    <t>130 / 110</t>
  </si>
  <si>
    <t>CONFORM ORIGINALULUI ______________________</t>
  </si>
</sst>
</file>

<file path=xl/styles.xml><?xml version="1.0" encoding="utf-8"?>
<styleSheet xmlns="http://schemas.openxmlformats.org/spreadsheetml/2006/main">
  <fonts count="48"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i/>
      <u/>
      <sz val="11"/>
      <color indexed="10"/>
      <name val="Arial"/>
      <family val="2"/>
      <charset val="204"/>
    </font>
    <font>
      <b/>
      <i/>
      <sz val="11"/>
      <color indexed="10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color indexed="10"/>
      <name val="Arial"/>
      <family val="2"/>
      <charset val="204"/>
    </font>
    <font>
      <b/>
      <sz val="14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sz val="16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rgb="FFFF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sz val="8"/>
      <color rgb="FFFF0000"/>
      <name val="Arial"/>
      <family val="2"/>
      <charset val="204"/>
    </font>
    <font>
      <sz val="8"/>
      <color rgb="FFFF0000"/>
      <name val="Calibri"/>
      <family val="2"/>
      <charset val="204"/>
      <scheme val="minor"/>
    </font>
    <font>
      <b/>
      <u/>
      <sz val="12"/>
      <color rgb="FFFF0000"/>
      <name val="Arial"/>
      <family val="2"/>
      <charset val="204"/>
    </font>
    <font>
      <u/>
      <sz val="12"/>
      <color theme="1"/>
      <name val="Calibri"/>
      <family val="2"/>
      <charset val="204"/>
      <scheme val="minor"/>
    </font>
    <font>
      <b/>
      <u/>
      <sz val="11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color rgb="FFFF0000"/>
      <name val="Arial"/>
      <family val="2"/>
      <charset val="204"/>
    </font>
    <font>
      <sz val="14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strike/>
      <sz val="12"/>
      <color theme="1"/>
      <name val="Arial"/>
      <family val="2"/>
      <charset val="204"/>
    </font>
    <font>
      <b/>
      <strike/>
      <sz val="16"/>
      <color theme="1"/>
      <name val="Arial"/>
      <family val="2"/>
      <charset val="204"/>
    </font>
    <font>
      <b/>
      <strike/>
      <sz val="11"/>
      <color rgb="FF000000"/>
      <name val="Arial"/>
      <family val="2"/>
      <charset val="204"/>
    </font>
    <font>
      <b/>
      <strike/>
      <sz val="12"/>
      <color indexed="8"/>
      <name val="Arial"/>
      <family val="2"/>
      <charset val="204"/>
    </font>
    <font>
      <b/>
      <strike/>
      <sz val="11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u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3" fillId="0" borderId="0" xfId="0" applyNumberFormat="1" applyFont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49" fontId="17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1" fontId="33" fillId="2" borderId="14" xfId="0" applyNumberFormat="1" applyFont="1" applyFill="1" applyBorder="1" applyAlignment="1">
      <alignment horizontal="center" vertical="center" wrapText="1"/>
    </xf>
    <xf numFmtId="49" fontId="17" fillId="0" borderId="15" xfId="0" applyNumberFormat="1" applyFont="1" applyBorder="1" applyAlignment="1">
      <alignment horizontal="center" vertical="center" wrapText="1"/>
    </xf>
    <xf numFmtId="1" fontId="33" fillId="2" borderId="11" xfId="0" applyNumberFormat="1" applyFont="1" applyFill="1" applyBorder="1" applyAlignment="1">
      <alignment horizontal="center" vertical="center" wrapText="1"/>
    </xf>
    <xf numFmtId="49" fontId="17" fillId="0" borderId="16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 wrapText="1"/>
    </xf>
    <xf numFmtId="1" fontId="23" fillId="0" borderId="11" xfId="0" applyNumberFormat="1" applyFont="1" applyBorder="1" applyAlignment="1">
      <alignment horizontal="center" vertical="center" wrapText="1"/>
    </xf>
    <xf numFmtId="1" fontId="23" fillId="0" borderId="18" xfId="0" applyNumberFormat="1" applyFont="1" applyBorder="1" applyAlignment="1">
      <alignment horizontal="center" vertical="center" wrapText="1"/>
    </xf>
    <xf numFmtId="1" fontId="23" fillId="0" borderId="19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49" fontId="18" fillId="0" borderId="15" xfId="0" applyNumberFormat="1" applyFont="1" applyBorder="1" applyAlignment="1">
      <alignment horizontal="center" vertical="center" wrapText="1"/>
    </xf>
    <xf numFmtId="1" fontId="32" fillId="0" borderId="18" xfId="0" applyNumberFormat="1" applyFont="1" applyBorder="1" applyAlignment="1">
      <alignment horizontal="center" vertical="center" wrapText="1"/>
    </xf>
    <xf numFmtId="1" fontId="9" fillId="0" borderId="18" xfId="0" applyNumberFormat="1" applyFont="1" applyBorder="1" applyAlignment="1">
      <alignment horizontal="center" vertical="center" wrapText="1"/>
    </xf>
    <xf numFmtId="1" fontId="22" fillId="0" borderId="18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49" fontId="20" fillId="0" borderId="16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49" fontId="17" fillId="0" borderId="20" xfId="0" applyNumberFormat="1" applyFont="1" applyBorder="1" applyAlignment="1">
      <alignment horizontal="center" vertical="center" wrapText="1"/>
    </xf>
    <xf numFmtId="49" fontId="34" fillId="0" borderId="20" xfId="0" applyNumberFormat="1" applyFont="1" applyBorder="1" applyAlignment="1">
      <alignment horizontal="center" vertical="center" wrapText="1"/>
    </xf>
    <xf numFmtId="1" fontId="23" fillId="0" borderId="21" xfId="0" applyNumberFormat="1" applyFont="1" applyBorder="1" applyAlignment="1">
      <alignment horizontal="center" vertical="center" wrapText="1"/>
    </xf>
    <xf numFmtId="49" fontId="34" fillId="0" borderId="17" xfId="0" applyNumberFormat="1" applyFont="1" applyBorder="1" applyAlignment="1">
      <alignment horizontal="center" vertical="center" wrapText="1"/>
    </xf>
    <xf numFmtId="49" fontId="17" fillId="0" borderId="22" xfId="0" applyNumberFormat="1" applyFont="1" applyBorder="1" applyAlignment="1">
      <alignment horizontal="center" vertical="center" wrapText="1"/>
    </xf>
    <xf numFmtId="0" fontId="16" fillId="0" borderId="23" xfId="0" applyFont="1" applyBorder="1" applyAlignment="1">
      <alignment vertical="center" wrapText="1"/>
    </xf>
    <xf numFmtId="0" fontId="13" fillId="0" borderId="23" xfId="0" applyFont="1" applyBorder="1" applyAlignment="1">
      <alignment horizontal="center" vertical="center" wrapText="1"/>
    </xf>
    <xf numFmtId="1" fontId="23" fillId="0" borderId="5" xfId="0" applyNumberFormat="1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13" fillId="0" borderId="0" xfId="0" applyFont="1" applyBorder="1" applyAlignment="1">
      <alignment horizontal="center" vertical="center" wrapText="1"/>
    </xf>
    <xf numFmtId="1" fontId="23" fillId="0" borderId="0" xfId="0" applyNumberFormat="1" applyFont="1" applyBorder="1" applyAlignment="1">
      <alignment horizontal="center" vertical="center" wrapText="1"/>
    </xf>
    <xf numFmtId="1" fontId="37" fillId="0" borderId="18" xfId="0" applyNumberFormat="1" applyFont="1" applyBorder="1" applyAlignment="1">
      <alignment horizontal="center" vertical="center" wrapText="1"/>
    </xf>
    <xf numFmtId="49" fontId="38" fillId="0" borderId="15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vertical="center" wrapText="1"/>
    </xf>
    <xf numFmtId="0" fontId="40" fillId="0" borderId="1" xfId="0" applyFont="1" applyBorder="1" applyAlignment="1">
      <alignment horizontal="center" vertical="center" wrapText="1"/>
    </xf>
    <xf numFmtId="49" fontId="20" fillId="0" borderId="17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1" fontId="22" fillId="0" borderId="1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vertical="center" wrapText="1"/>
    </xf>
    <xf numFmtId="49" fontId="20" fillId="0" borderId="15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43" fillId="0" borderId="8" xfId="0" applyFont="1" applyBorder="1" applyAlignment="1">
      <alignment horizontal="center" vertical="center" wrapText="1"/>
    </xf>
    <xf numFmtId="0" fontId="11" fillId="0" borderId="0" xfId="0" applyNumberFormat="1" applyFont="1" applyAlignment="1">
      <alignment horizontal="left" vertical="center"/>
    </xf>
    <xf numFmtId="14" fontId="46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11" fillId="0" borderId="0" xfId="0" applyNumberFormat="1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4" fontId="25" fillId="0" borderId="0" xfId="0" applyNumberFormat="1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9"/>
  <sheetViews>
    <sheetView tabSelected="1" workbookViewId="0">
      <selection activeCell="I172" sqref="I172"/>
    </sheetView>
  </sheetViews>
  <sheetFormatPr defaultRowHeight="20.25"/>
  <cols>
    <col min="1" max="1" width="9.5703125" style="16" bestFit="1" customWidth="1"/>
    <col min="2" max="2" width="55.85546875" style="7" customWidth="1"/>
    <col min="3" max="3" width="11.28515625" style="2" bestFit="1" customWidth="1"/>
    <col min="4" max="4" width="30.140625" style="25" bestFit="1" customWidth="1"/>
    <col min="5" max="5" width="2.140625" style="2" bestFit="1" customWidth="1"/>
    <col min="6" max="16384" width="9.140625" style="2"/>
  </cols>
  <sheetData>
    <row r="1" spans="1:9" ht="30" customHeight="1">
      <c r="A1" s="84" t="s">
        <v>328</v>
      </c>
      <c r="B1" s="85"/>
      <c r="C1" s="85"/>
      <c r="D1" s="85"/>
    </row>
    <row r="2" spans="1:9" ht="18.75" customHeight="1">
      <c r="D2" s="19" t="s">
        <v>226</v>
      </c>
      <c r="I2"/>
    </row>
    <row r="3" spans="1:9" ht="15">
      <c r="D3" s="19" t="s">
        <v>330</v>
      </c>
    </row>
    <row r="4" spans="1:9" ht="15">
      <c r="D4" s="19" t="s">
        <v>331</v>
      </c>
    </row>
    <row r="5" spans="1:9" ht="20.25" customHeight="1">
      <c r="B5" s="106"/>
      <c r="C5" s="107"/>
      <c r="D5" s="107"/>
    </row>
    <row r="6" spans="1:9" ht="18" customHeight="1">
      <c r="A6" s="108" t="s">
        <v>329</v>
      </c>
      <c r="B6" s="109"/>
      <c r="C6" s="109"/>
      <c r="D6" s="109"/>
    </row>
    <row r="7" spans="1:9" ht="39.75" customHeight="1" thickBot="1">
      <c r="A7" s="89" t="s">
        <v>324</v>
      </c>
      <c r="B7" s="90"/>
      <c r="C7" s="90"/>
      <c r="D7" s="91"/>
    </row>
    <row r="8" spans="1:9" ht="44.25" customHeight="1" thickBot="1">
      <c r="A8" s="92" t="s">
        <v>1</v>
      </c>
      <c r="B8" s="94" t="s">
        <v>2</v>
      </c>
      <c r="C8" s="92" t="s">
        <v>3</v>
      </c>
      <c r="D8" s="75" t="s">
        <v>327</v>
      </c>
    </row>
    <row r="9" spans="1:9" ht="35.25" customHeight="1" thickBot="1">
      <c r="A9" s="96"/>
      <c r="B9" s="95"/>
      <c r="C9" s="93"/>
      <c r="D9" s="58" t="s">
        <v>325</v>
      </c>
    </row>
    <row r="10" spans="1:9" ht="0.75" hidden="1" customHeight="1" thickBot="1">
      <c r="A10" s="30" t="s">
        <v>45</v>
      </c>
      <c r="B10" s="31" t="s">
        <v>7</v>
      </c>
      <c r="C10" s="32" t="s">
        <v>61</v>
      </c>
      <c r="D10" s="33">
        <v>120</v>
      </c>
    </row>
    <row r="11" spans="1:9" ht="0.75" hidden="1" customHeight="1" thickBot="1">
      <c r="A11" s="34" t="s">
        <v>46</v>
      </c>
      <c r="B11" s="9" t="s">
        <v>8</v>
      </c>
      <c r="C11" s="5" t="s">
        <v>61</v>
      </c>
      <c r="D11" s="35">
        <v>140</v>
      </c>
    </row>
    <row r="12" spans="1:9" ht="0.75" hidden="1" customHeight="1" thickBot="1">
      <c r="A12" s="34" t="s">
        <v>47</v>
      </c>
      <c r="B12" s="9" t="s">
        <v>9</v>
      </c>
      <c r="C12" s="5" t="s">
        <v>61</v>
      </c>
      <c r="D12" s="35">
        <v>140</v>
      </c>
    </row>
    <row r="13" spans="1:9" ht="0.75" hidden="1" customHeight="1" thickBot="1">
      <c r="A13" s="34" t="s">
        <v>48</v>
      </c>
      <c r="B13" s="9" t="s">
        <v>10</v>
      </c>
      <c r="C13" s="5" t="s">
        <v>61</v>
      </c>
      <c r="D13" s="35">
        <v>85</v>
      </c>
    </row>
    <row r="14" spans="1:9" s="1" customFormat="1" ht="0.75" hidden="1" customHeight="1" thickBot="1">
      <c r="A14" s="34" t="s">
        <v>284</v>
      </c>
      <c r="B14" s="9" t="s">
        <v>283</v>
      </c>
      <c r="C14" s="5" t="s">
        <v>61</v>
      </c>
      <c r="D14" s="35">
        <v>140</v>
      </c>
    </row>
    <row r="15" spans="1:9" ht="0.75" hidden="1" customHeight="1" thickBot="1">
      <c r="A15" s="34" t="s">
        <v>49</v>
      </c>
      <c r="B15" s="9" t="s">
        <v>11</v>
      </c>
      <c r="C15" s="5" t="s">
        <v>61</v>
      </c>
      <c r="D15" s="35">
        <v>65</v>
      </c>
    </row>
    <row r="16" spans="1:9" s="1" customFormat="1" ht="0.75" hidden="1" customHeight="1" thickBot="1">
      <c r="A16" s="34" t="s">
        <v>285</v>
      </c>
      <c r="B16" s="9" t="s">
        <v>287</v>
      </c>
      <c r="C16" s="5" t="s">
        <v>61</v>
      </c>
      <c r="D16" s="35">
        <v>150</v>
      </c>
    </row>
    <row r="17" spans="1:5" ht="0.75" hidden="1" customHeight="1" thickBot="1">
      <c r="A17" s="34" t="s">
        <v>50</v>
      </c>
      <c r="B17" s="9" t="s">
        <v>12</v>
      </c>
      <c r="C17" s="5" t="s">
        <v>61</v>
      </c>
      <c r="D17" s="35">
        <v>90</v>
      </c>
    </row>
    <row r="18" spans="1:5" ht="0.75" hidden="1" customHeight="1" thickBot="1">
      <c r="A18" s="34" t="s">
        <v>51</v>
      </c>
      <c r="B18" s="9" t="s">
        <v>13</v>
      </c>
      <c r="C18" s="5" t="s">
        <v>61</v>
      </c>
      <c r="D18" s="35">
        <v>100</v>
      </c>
    </row>
    <row r="19" spans="1:5" ht="0.75" hidden="1" customHeight="1" thickBot="1">
      <c r="A19" s="34" t="s">
        <v>52</v>
      </c>
      <c r="B19" s="9" t="s">
        <v>14</v>
      </c>
      <c r="C19" s="5" t="s">
        <v>61</v>
      </c>
      <c r="D19" s="35">
        <v>95</v>
      </c>
    </row>
    <row r="20" spans="1:5" ht="0.75" hidden="1" customHeight="1" thickBot="1">
      <c r="A20" s="34" t="s">
        <v>53</v>
      </c>
      <c r="B20" s="9" t="s">
        <v>15</v>
      </c>
      <c r="C20" s="5" t="s">
        <v>61</v>
      </c>
      <c r="D20" s="35">
        <v>60</v>
      </c>
    </row>
    <row r="21" spans="1:5" ht="0.75" hidden="1" customHeight="1" thickBot="1">
      <c r="A21" s="34" t="s">
        <v>54</v>
      </c>
      <c r="B21" s="9" t="s">
        <v>16</v>
      </c>
      <c r="C21" s="5" t="s">
        <v>61</v>
      </c>
      <c r="D21" s="35">
        <v>80</v>
      </c>
    </row>
    <row r="22" spans="1:5" ht="0.75" hidden="1" customHeight="1" thickBot="1">
      <c r="A22" s="34" t="s">
        <v>55</v>
      </c>
      <c r="B22" s="9" t="s">
        <v>17</v>
      </c>
      <c r="C22" s="5" t="s">
        <v>61</v>
      </c>
      <c r="D22" s="35">
        <v>90</v>
      </c>
    </row>
    <row r="23" spans="1:5" ht="0.75" hidden="1" customHeight="1" thickBot="1">
      <c r="A23" s="34" t="s">
        <v>56</v>
      </c>
      <c r="B23" s="9" t="s">
        <v>18</v>
      </c>
      <c r="C23" s="5" t="s">
        <v>61</v>
      </c>
      <c r="D23" s="35">
        <v>235</v>
      </c>
    </row>
    <row r="24" spans="1:5" ht="0.75" hidden="1" customHeight="1" thickBot="1">
      <c r="A24" s="34" t="s">
        <v>57</v>
      </c>
      <c r="B24" s="9" t="s">
        <v>19</v>
      </c>
      <c r="C24" s="5" t="s">
        <v>61</v>
      </c>
      <c r="D24" s="35">
        <v>145</v>
      </c>
    </row>
    <row r="25" spans="1:5" ht="0.75" hidden="1" customHeight="1" thickBot="1">
      <c r="A25" s="34" t="s">
        <v>58</v>
      </c>
      <c r="B25" s="9" t="s">
        <v>0</v>
      </c>
      <c r="C25" s="5" t="s">
        <v>61</v>
      </c>
      <c r="D25" s="35">
        <v>230</v>
      </c>
    </row>
    <row r="26" spans="1:5" s="1" customFormat="1" ht="0.75" hidden="1" customHeight="1" thickBot="1">
      <c r="A26" s="34" t="s">
        <v>273</v>
      </c>
      <c r="B26" s="9" t="s">
        <v>274</v>
      </c>
      <c r="C26" s="5" t="s">
        <v>61</v>
      </c>
      <c r="D26" s="35">
        <v>200</v>
      </c>
    </row>
    <row r="27" spans="1:5" ht="0.75" hidden="1" customHeight="1" thickBot="1">
      <c r="A27" s="34" t="s">
        <v>59</v>
      </c>
      <c r="B27" s="9" t="s">
        <v>20</v>
      </c>
      <c r="C27" s="5" t="s">
        <v>61</v>
      </c>
      <c r="D27" s="35">
        <v>240</v>
      </c>
    </row>
    <row r="28" spans="1:5" ht="0.75" hidden="1" customHeight="1" thickBot="1">
      <c r="A28" s="34" t="s">
        <v>275</v>
      </c>
      <c r="B28" s="9" t="s">
        <v>276</v>
      </c>
      <c r="C28" s="5" t="s">
        <v>61</v>
      </c>
      <c r="D28" s="35">
        <v>210</v>
      </c>
    </row>
    <row r="29" spans="1:5" ht="0.75" hidden="1" customHeight="1" thickBot="1">
      <c r="A29" s="34" t="s">
        <v>192</v>
      </c>
      <c r="B29" s="9" t="s">
        <v>183</v>
      </c>
      <c r="C29" s="5" t="s">
        <v>61</v>
      </c>
      <c r="D29" s="35">
        <v>85</v>
      </c>
    </row>
    <row r="30" spans="1:5" ht="0.75" hidden="1" customHeight="1" thickBot="1">
      <c r="A30" s="34" t="s">
        <v>60</v>
      </c>
      <c r="B30" s="9" t="s">
        <v>288</v>
      </c>
      <c r="C30" s="5" t="s">
        <v>61</v>
      </c>
      <c r="D30" s="35">
        <v>190</v>
      </c>
    </row>
    <row r="31" spans="1:5" ht="0.75" hidden="1" customHeight="1" thickBot="1">
      <c r="A31" s="34" t="s">
        <v>193</v>
      </c>
      <c r="B31" s="9" t="s">
        <v>301</v>
      </c>
      <c r="C31" s="5" t="s">
        <v>61</v>
      </c>
      <c r="D31" s="35">
        <v>250</v>
      </c>
    </row>
    <row r="32" spans="1:5" ht="0.75" hidden="1" customHeight="1" thickBot="1">
      <c r="A32" s="34" t="s">
        <v>194</v>
      </c>
      <c r="B32" s="9" t="s">
        <v>298</v>
      </c>
      <c r="C32" s="5" t="s">
        <v>61</v>
      </c>
      <c r="D32" s="35">
        <v>260</v>
      </c>
      <c r="E32" s="28"/>
    </row>
    <row r="33" spans="1:4" ht="0.75" hidden="1" customHeight="1" thickBot="1">
      <c r="A33" s="34" t="s">
        <v>195</v>
      </c>
      <c r="B33" s="9" t="s">
        <v>21</v>
      </c>
      <c r="C33" s="5" t="s">
        <v>61</v>
      </c>
      <c r="D33" s="35">
        <v>260</v>
      </c>
    </row>
    <row r="34" spans="1:4" ht="0.75" hidden="1" customHeight="1" thickBot="1">
      <c r="A34" s="34" t="s">
        <v>196</v>
      </c>
      <c r="B34" s="9" t="s">
        <v>22</v>
      </c>
      <c r="C34" s="5" t="s">
        <v>61</v>
      </c>
      <c r="D34" s="35">
        <v>245</v>
      </c>
    </row>
    <row r="35" spans="1:4" ht="0.75" hidden="1" customHeight="1" thickBot="1">
      <c r="A35" s="34" t="s">
        <v>197</v>
      </c>
      <c r="B35" s="9" t="s">
        <v>23</v>
      </c>
      <c r="C35" s="5" t="s">
        <v>61</v>
      </c>
      <c r="D35" s="35">
        <v>245</v>
      </c>
    </row>
    <row r="36" spans="1:4" ht="0.75" hidden="1" customHeight="1" thickBot="1">
      <c r="A36" s="34" t="s">
        <v>198</v>
      </c>
      <c r="B36" s="9" t="s">
        <v>24</v>
      </c>
      <c r="C36" s="5" t="s">
        <v>61</v>
      </c>
      <c r="D36" s="35">
        <v>210</v>
      </c>
    </row>
    <row r="37" spans="1:4" ht="0.75" hidden="1" customHeight="1" thickBot="1">
      <c r="A37" s="34" t="s">
        <v>199</v>
      </c>
      <c r="B37" s="9" t="s">
        <v>25</v>
      </c>
      <c r="C37" s="5" t="s">
        <v>61</v>
      </c>
      <c r="D37" s="35">
        <v>200</v>
      </c>
    </row>
    <row r="38" spans="1:4" ht="0.75" hidden="1" customHeight="1" thickBot="1">
      <c r="A38" s="34" t="s">
        <v>200</v>
      </c>
      <c r="B38" s="9" t="s">
        <v>26</v>
      </c>
      <c r="C38" s="5" t="s">
        <v>61</v>
      </c>
      <c r="D38" s="35">
        <v>225</v>
      </c>
    </row>
    <row r="39" spans="1:4" ht="0.75" hidden="1" customHeight="1" thickBot="1">
      <c r="A39" s="34" t="s">
        <v>201</v>
      </c>
      <c r="B39" s="9" t="s">
        <v>27</v>
      </c>
      <c r="C39" s="5" t="s">
        <v>61</v>
      </c>
      <c r="D39" s="35">
        <v>115</v>
      </c>
    </row>
    <row r="40" spans="1:4" ht="0.75" hidden="1" customHeight="1" thickBot="1">
      <c r="A40" s="34" t="s">
        <v>202</v>
      </c>
      <c r="B40" s="10" t="s">
        <v>28</v>
      </c>
      <c r="C40" s="5" t="s">
        <v>61</v>
      </c>
      <c r="D40" s="35">
        <v>210</v>
      </c>
    </row>
    <row r="41" spans="1:4" ht="0.75" hidden="1" customHeight="1" thickBot="1">
      <c r="A41" s="34" t="s">
        <v>203</v>
      </c>
      <c r="B41" s="9" t="s">
        <v>29</v>
      </c>
      <c r="C41" s="5" t="s">
        <v>61</v>
      </c>
      <c r="D41" s="35">
        <v>40</v>
      </c>
    </row>
    <row r="42" spans="1:4" ht="0.75" hidden="1" customHeight="1" thickBot="1">
      <c r="A42" s="34" t="s">
        <v>204</v>
      </c>
      <c r="B42" s="9" t="s">
        <v>30</v>
      </c>
      <c r="C42" s="5" t="s">
        <v>61</v>
      </c>
      <c r="D42" s="35">
        <v>40</v>
      </c>
    </row>
    <row r="43" spans="1:4" ht="0.75" hidden="1" customHeight="1" thickBot="1">
      <c r="A43" s="34" t="s">
        <v>205</v>
      </c>
      <c r="B43" s="9" t="s">
        <v>31</v>
      </c>
      <c r="C43" s="5" t="s">
        <v>61</v>
      </c>
      <c r="D43" s="35">
        <v>60</v>
      </c>
    </row>
    <row r="44" spans="1:4" ht="0.75" hidden="1" customHeight="1" thickBot="1">
      <c r="A44" s="34" t="s">
        <v>206</v>
      </c>
      <c r="B44" s="9" t="s">
        <v>32</v>
      </c>
      <c r="C44" s="5" t="s">
        <v>61</v>
      </c>
      <c r="D44" s="35">
        <v>60</v>
      </c>
    </row>
    <row r="45" spans="1:4" ht="0.75" hidden="1" customHeight="1" thickBot="1">
      <c r="A45" s="34" t="s">
        <v>207</v>
      </c>
      <c r="B45" s="9" t="s">
        <v>33</v>
      </c>
      <c r="C45" s="5" t="s">
        <v>61</v>
      </c>
      <c r="D45" s="35">
        <v>60</v>
      </c>
    </row>
    <row r="46" spans="1:4" ht="0.75" hidden="1" customHeight="1" thickBot="1">
      <c r="A46" s="34" t="s">
        <v>208</v>
      </c>
      <c r="B46" s="9" t="s">
        <v>34</v>
      </c>
      <c r="C46" s="5" t="s">
        <v>61</v>
      </c>
      <c r="D46" s="35">
        <v>40</v>
      </c>
    </row>
    <row r="47" spans="1:4" ht="0.75" hidden="1" customHeight="1" thickBot="1">
      <c r="A47" s="34" t="s">
        <v>209</v>
      </c>
      <c r="B47" s="9" t="s">
        <v>184</v>
      </c>
      <c r="C47" s="5" t="s">
        <v>61</v>
      </c>
      <c r="D47" s="35">
        <v>100</v>
      </c>
    </row>
    <row r="48" spans="1:4" ht="0.75" hidden="1" customHeight="1" thickBot="1">
      <c r="A48" s="34" t="s">
        <v>210</v>
      </c>
      <c r="B48" s="9" t="s">
        <v>35</v>
      </c>
      <c r="C48" s="5" t="s">
        <v>61</v>
      </c>
      <c r="D48" s="35">
        <v>165</v>
      </c>
    </row>
    <row r="49" spans="1:4" ht="0.75" hidden="1" customHeight="1" thickBot="1">
      <c r="A49" s="34" t="s">
        <v>211</v>
      </c>
      <c r="B49" s="9" t="s">
        <v>36</v>
      </c>
      <c r="C49" s="5" t="s">
        <v>44</v>
      </c>
      <c r="D49" s="35">
        <v>35</v>
      </c>
    </row>
    <row r="50" spans="1:4" ht="0.75" hidden="1" customHeight="1" thickBot="1">
      <c r="A50" s="34" t="s">
        <v>212</v>
      </c>
      <c r="B50" s="9" t="s">
        <v>37</v>
      </c>
      <c r="C50" s="5" t="s">
        <v>44</v>
      </c>
      <c r="D50" s="35">
        <v>30</v>
      </c>
    </row>
    <row r="51" spans="1:4" ht="0.75" hidden="1" customHeight="1" thickBot="1">
      <c r="A51" s="34" t="s">
        <v>213</v>
      </c>
      <c r="B51" s="9" t="s">
        <v>38</v>
      </c>
      <c r="C51" s="5" t="s">
        <v>61</v>
      </c>
      <c r="D51" s="35" t="e">
        <f>#REF!*1.1</f>
        <v>#REF!</v>
      </c>
    </row>
    <row r="52" spans="1:4" ht="0.75" hidden="1" customHeight="1" thickBot="1">
      <c r="A52" s="34" t="s">
        <v>214</v>
      </c>
      <c r="B52" s="9" t="s">
        <v>39</v>
      </c>
      <c r="C52" s="5" t="s">
        <v>61</v>
      </c>
      <c r="D52" s="35">
        <v>130</v>
      </c>
    </row>
    <row r="53" spans="1:4" ht="0.75" hidden="1" customHeight="1" thickBot="1">
      <c r="A53" s="34" t="s">
        <v>215</v>
      </c>
      <c r="B53" s="9" t="s">
        <v>40</v>
      </c>
      <c r="C53" s="5" t="s">
        <v>61</v>
      </c>
      <c r="D53" s="35">
        <v>180</v>
      </c>
    </row>
    <row r="54" spans="1:4" ht="0.75" hidden="1" customHeight="1" thickBot="1">
      <c r="A54" s="34" t="s">
        <v>216</v>
      </c>
      <c r="B54" s="9" t="s">
        <v>41</v>
      </c>
      <c r="C54" s="5" t="s">
        <v>61</v>
      </c>
      <c r="D54" s="35">
        <v>315</v>
      </c>
    </row>
    <row r="55" spans="1:4" s="1" customFormat="1" ht="0.75" hidden="1" customHeight="1" thickBot="1">
      <c r="A55" s="34" t="s">
        <v>217</v>
      </c>
      <c r="B55" s="9" t="s">
        <v>272</v>
      </c>
      <c r="C55" s="5" t="s">
        <v>61</v>
      </c>
      <c r="D55" s="35">
        <v>315</v>
      </c>
    </row>
    <row r="56" spans="1:4" s="1" customFormat="1" ht="0.75" hidden="1" customHeight="1" thickBot="1">
      <c r="A56" s="34" t="s">
        <v>218</v>
      </c>
      <c r="B56" s="9" t="s">
        <v>277</v>
      </c>
      <c r="C56" s="5" t="s">
        <v>61</v>
      </c>
      <c r="D56" s="35">
        <v>465</v>
      </c>
    </row>
    <row r="57" spans="1:4" s="1" customFormat="1" ht="0.75" hidden="1" customHeight="1" thickBot="1">
      <c r="A57" s="34" t="s">
        <v>271</v>
      </c>
      <c r="B57" s="9" t="s">
        <v>278</v>
      </c>
      <c r="C57" s="5" t="s">
        <v>61</v>
      </c>
      <c r="D57" s="35">
        <v>735</v>
      </c>
    </row>
    <row r="58" spans="1:4" s="1" customFormat="1" ht="0.75" hidden="1" customHeight="1" thickBot="1">
      <c r="A58" s="36" t="s">
        <v>279</v>
      </c>
      <c r="B58" s="11" t="s">
        <v>280</v>
      </c>
      <c r="C58" s="6" t="s">
        <v>61</v>
      </c>
      <c r="D58" s="35">
        <v>65</v>
      </c>
    </row>
    <row r="59" spans="1:4" ht="0.75" hidden="1" customHeight="1" thickBot="1">
      <c r="A59" s="79" t="s">
        <v>259</v>
      </c>
      <c r="B59" s="82"/>
      <c r="C59" s="82"/>
      <c r="D59" s="83"/>
    </row>
    <row r="60" spans="1:4" ht="0.75" hidden="1" customHeight="1" thickBot="1">
      <c r="A60" s="37" t="s">
        <v>263</v>
      </c>
      <c r="B60" s="8" t="s">
        <v>261</v>
      </c>
      <c r="C60" s="3" t="s">
        <v>61</v>
      </c>
      <c r="D60" s="38">
        <v>100</v>
      </c>
    </row>
    <row r="61" spans="1:4" ht="0.75" hidden="1" customHeight="1" thickBot="1">
      <c r="A61" s="34" t="s">
        <v>264</v>
      </c>
      <c r="B61" s="9" t="s">
        <v>244</v>
      </c>
      <c r="C61" s="5" t="s">
        <v>61</v>
      </c>
      <c r="D61" s="39">
        <v>80</v>
      </c>
    </row>
    <row r="62" spans="1:4" ht="0.75" hidden="1" customHeight="1" thickBot="1">
      <c r="A62" s="34" t="s">
        <v>265</v>
      </c>
      <c r="B62" s="9" t="s">
        <v>245</v>
      </c>
      <c r="C62" s="5" t="s">
        <v>61</v>
      </c>
      <c r="D62" s="39">
        <v>90</v>
      </c>
    </row>
    <row r="63" spans="1:4" ht="0.75" hidden="1" customHeight="1" thickBot="1">
      <c r="A63" s="34" t="s">
        <v>266</v>
      </c>
      <c r="B63" s="17" t="s">
        <v>246</v>
      </c>
      <c r="C63" s="5" t="s">
        <v>61</v>
      </c>
      <c r="D63" s="39">
        <v>105</v>
      </c>
    </row>
    <row r="64" spans="1:4" ht="0.75" hidden="1" customHeight="1" thickBot="1">
      <c r="A64" s="34" t="s">
        <v>62</v>
      </c>
      <c r="B64" s="9" t="s">
        <v>159</v>
      </c>
      <c r="C64" s="5" t="s">
        <v>61</v>
      </c>
      <c r="D64" s="39">
        <v>140</v>
      </c>
    </row>
    <row r="65" spans="1:4" ht="0.75" hidden="1" customHeight="1" thickBot="1">
      <c r="A65" s="34" t="s">
        <v>63</v>
      </c>
      <c r="B65" s="9" t="s">
        <v>238</v>
      </c>
      <c r="C65" s="5" t="s">
        <v>61</v>
      </c>
      <c r="D65" s="39">
        <v>40</v>
      </c>
    </row>
    <row r="66" spans="1:4" ht="0.75" hidden="1" customHeight="1" thickBot="1">
      <c r="A66" s="34" t="s">
        <v>64</v>
      </c>
      <c r="B66" s="9" t="s">
        <v>239</v>
      </c>
      <c r="C66" s="5" t="s">
        <v>61</v>
      </c>
      <c r="D66" s="39">
        <v>55</v>
      </c>
    </row>
    <row r="67" spans="1:4" ht="0.75" hidden="1" customHeight="1" thickBot="1">
      <c r="A67" s="34" t="s">
        <v>65</v>
      </c>
      <c r="B67" s="9" t="s">
        <v>15</v>
      </c>
      <c r="C67" s="5" t="s">
        <v>61</v>
      </c>
      <c r="D67" s="39" t="e">
        <f>#REF!*1</f>
        <v>#REF!</v>
      </c>
    </row>
    <row r="68" spans="1:4" ht="0.75" hidden="1" customHeight="1" thickBot="1">
      <c r="A68" s="34" t="s">
        <v>86</v>
      </c>
      <c r="B68" s="9" t="s">
        <v>262</v>
      </c>
      <c r="C68" s="5" t="s">
        <v>61</v>
      </c>
      <c r="D68" s="39">
        <v>55</v>
      </c>
    </row>
    <row r="69" spans="1:4" ht="0.75" hidden="1" customHeight="1" thickBot="1">
      <c r="A69" s="34" t="s">
        <v>90</v>
      </c>
      <c r="B69" s="9" t="s">
        <v>240</v>
      </c>
      <c r="C69" s="5" t="s">
        <v>61</v>
      </c>
      <c r="D69" s="39">
        <v>30</v>
      </c>
    </row>
    <row r="70" spans="1:4" ht="0.75" hidden="1" customHeight="1" thickBot="1">
      <c r="A70" s="34" t="s">
        <v>91</v>
      </c>
      <c r="B70" s="9" t="s">
        <v>241</v>
      </c>
      <c r="C70" s="5" t="s">
        <v>61</v>
      </c>
      <c r="D70" s="39">
        <v>75</v>
      </c>
    </row>
    <row r="71" spans="1:4" ht="0.75" hidden="1" customHeight="1" thickBot="1">
      <c r="A71" s="34" t="s">
        <v>92</v>
      </c>
      <c r="B71" s="9" t="s">
        <v>242</v>
      </c>
      <c r="C71" s="5" t="s">
        <v>61</v>
      </c>
      <c r="D71" s="39">
        <v>140</v>
      </c>
    </row>
    <row r="72" spans="1:4" ht="0.75" hidden="1" customHeight="1" thickBot="1">
      <c r="A72" s="36" t="s">
        <v>286</v>
      </c>
      <c r="B72" s="11" t="s">
        <v>281</v>
      </c>
      <c r="C72" s="23" t="s">
        <v>282</v>
      </c>
      <c r="D72" s="40">
        <v>250</v>
      </c>
    </row>
    <row r="73" spans="1:4" ht="0.75" hidden="1" customHeight="1" thickBot="1">
      <c r="A73" s="79" t="s">
        <v>260</v>
      </c>
      <c r="B73" s="82"/>
      <c r="C73" s="82"/>
      <c r="D73" s="83"/>
    </row>
    <row r="74" spans="1:4" ht="0.75" hidden="1" customHeight="1" thickBot="1">
      <c r="A74" s="37" t="s">
        <v>93</v>
      </c>
      <c r="B74" s="8" t="s">
        <v>261</v>
      </c>
      <c r="C74" s="3" t="s">
        <v>61</v>
      </c>
      <c r="D74" s="38">
        <v>180</v>
      </c>
    </row>
    <row r="75" spans="1:4" ht="0.75" hidden="1" customHeight="1" thickBot="1">
      <c r="A75" s="34" t="s">
        <v>94</v>
      </c>
      <c r="B75" s="9" t="s">
        <v>244</v>
      </c>
      <c r="C75" s="5" t="s">
        <v>61</v>
      </c>
      <c r="D75" s="39">
        <v>100</v>
      </c>
    </row>
    <row r="76" spans="1:4" ht="0.75" hidden="1" customHeight="1" thickBot="1">
      <c r="A76" s="34" t="s">
        <v>95</v>
      </c>
      <c r="B76" s="9" t="s">
        <v>245</v>
      </c>
      <c r="C76" s="5" t="s">
        <v>61</v>
      </c>
      <c r="D76" s="39">
        <v>130</v>
      </c>
    </row>
    <row r="77" spans="1:4" ht="0.75" hidden="1" customHeight="1" thickBot="1">
      <c r="A77" s="34" t="s">
        <v>96</v>
      </c>
      <c r="B77" s="17" t="s">
        <v>246</v>
      </c>
      <c r="C77" s="5" t="s">
        <v>61</v>
      </c>
      <c r="D77" s="41">
        <v>140</v>
      </c>
    </row>
    <row r="78" spans="1:4" ht="0.75" hidden="1" customHeight="1" thickBot="1">
      <c r="A78" s="34" t="s">
        <v>97</v>
      </c>
      <c r="B78" s="9" t="s">
        <v>159</v>
      </c>
      <c r="C78" s="5" t="s">
        <v>61</v>
      </c>
      <c r="D78" s="41">
        <v>180</v>
      </c>
    </row>
    <row r="79" spans="1:4" ht="0.75" hidden="1" customHeight="1" thickBot="1">
      <c r="A79" s="36" t="s">
        <v>98</v>
      </c>
      <c r="B79" s="11" t="s">
        <v>243</v>
      </c>
      <c r="C79" s="6" t="s">
        <v>61</v>
      </c>
      <c r="D79" s="42">
        <v>45</v>
      </c>
    </row>
    <row r="80" spans="1:4" ht="0.75" hidden="1" customHeight="1" thickBot="1">
      <c r="A80" s="79" t="s">
        <v>316</v>
      </c>
      <c r="B80" s="80"/>
      <c r="C80" s="80"/>
      <c r="D80" s="81"/>
    </row>
    <row r="81" spans="1:5" ht="0.75" hidden="1" customHeight="1" thickBot="1">
      <c r="A81" s="37" t="s">
        <v>99</v>
      </c>
      <c r="B81" s="8" t="s">
        <v>66</v>
      </c>
      <c r="C81" s="3" t="s">
        <v>61</v>
      </c>
      <c r="D81" s="38">
        <v>140</v>
      </c>
    </row>
    <row r="82" spans="1:5" ht="0.75" hidden="1" customHeight="1" thickBot="1">
      <c r="A82" s="34" t="s">
        <v>100</v>
      </c>
      <c r="B82" s="9" t="s">
        <v>67</v>
      </c>
      <c r="C82" s="5" t="s">
        <v>61</v>
      </c>
      <c r="D82" s="39" t="e">
        <f>#REF!*1.15</f>
        <v>#REF!</v>
      </c>
    </row>
    <row r="83" spans="1:5" ht="0.75" hidden="1" customHeight="1" thickBot="1">
      <c r="A83" s="34" t="s">
        <v>101</v>
      </c>
      <c r="B83" s="9" t="s">
        <v>68</v>
      </c>
      <c r="C83" s="5" t="s">
        <v>61</v>
      </c>
      <c r="D83" s="39" t="e">
        <f>#REF!*1.04</f>
        <v>#REF!</v>
      </c>
    </row>
    <row r="84" spans="1:5" ht="0.75" hidden="1" customHeight="1" thickBot="1">
      <c r="A84" s="34" t="s">
        <v>267</v>
      </c>
      <c r="B84" s="9" t="s">
        <v>69</v>
      </c>
      <c r="C84" s="5" t="s">
        <v>61</v>
      </c>
      <c r="D84" s="39">
        <v>225</v>
      </c>
    </row>
    <row r="85" spans="1:5" ht="0.75" hidden="1" customHeight="1" thickBot="1">
      <c r="A85" s="34" t="s">
        <v>268</v>
      </c>
      <c r="B85" s="9" t="s">
        <v>70</v>
      </c>
      <c r="C85" s="5" t="s">
        <v>61</v>
      </c>
      <c r="D85" s="39">
        <v>280</v>
      </c>
    </row>
    <row r="86" spans="1:5" ht="0.75" hidden="1" customHeight="1" thickBot="1">
      <c r="A86" s="34" t="s">
        <v>269</v>
      </c>
      <c r="B86" s="9" t="s">
        <v>191</v>
      </c>
      <c r="C86" s="5" t="s">
        <v>61</v>
      </c>
      <c r="D86" s="39" t="e">
        <f>#REF!*1.15</f>
        <v>#REF!</v>
      </c>
    </row>
    <row r="87" spans="1:5" ht="0.75" hidden="1" customHeight="1" thickBot="1">
      <c r="A87" s="34" t="s">
        <v>270</v>
      </c>
      <c r="B87" s="9" t="s">
        <v>190</v>
      </c>
      <c r="C87" s="5" t="s">
        <v>61</v>
      </c>
      <c r="D87" s="39">
        <v>200</v>
      </c>
    </row>
    <row r="88" spans="1:5" ht="0.75" hidden="1" customHeight="1" thickBot="1">
      <c r="A88" s="34" t="s">
        <v>102</v>
      </c>
      <c r="B88" s="9" t="s">
        <v>87</v>
      </c>
      <c r="C88" s="5" t="s">
        <v>61</v>
      </c>
      <c r="D88" s="39">
        <v>165</v>
      </c>
    </row>
    <row r="89" spans="1:5" ht="0.75" hidden="1" customHeight="1" thickBot="1">
      <c r="A89" s="34" t="s">
        <v>103</v>
      </c>
      <c r="B89" s="9" t="s">
        <v>71</v>
      </c>
      <c r="C89" s="5" t="s">
        <v>61</v>
      </c>
      <c r="D89" s="39">
        <v>255</v>
      </c>
    </row>
    <row r="90" spans="1:5" ht="0.75" hidden="1" customHeight="1" thickBot="1">
      <c r="A90" s="34" t="s">
        <v>104</v>
      </c>
      <c r="B90" s="9" t="s">
        <v>290</v>
      </c>
      <c r="C90" s="5" t="s">
        <v>61</v>
      </c>
      <c r="D90" s="39">
        <v>290</v>
      </c>
    </row>
    <row r="91" spans="1:5" s="20" customFormat="1" ht="0.75" hidden="1" customHeight="1" thickBot="1">
      <c r="A91" s="43" t="s">
        <v>289</v>
      </c>
      <c r="B91" s="13" t="s">
        <v>291</v>
      </c>
      <c r="C91" s="27" t="s">
        <v>61</v>
      </c>
      <c r="D91" s="44" t="e">
        <f>#REF!*1.15</f>
        <v>#REF!</v>
      </c>
      <c r="E91" s="24"/>
    </row>
    <row r="92" spans="1:5" ht="0.75" hidden="1" customHeight="1" thickBot="1">
      <c r="A92" s="34" t="s">
        <v>105</v>
      </c>
      <c r="B92" s="9" t="s">
        <v>89</v>
      </c>
      <c r="C92" s="5" t="s">
        <v>61</v>
      </c>
      <c r="D92" s="45">
        <v>190</v>
      </c>
    </row>
    <row r="93" spans="1:5" ht="0.75" hidden="1" customHeight="1" thickBot="1">
      <c r="A93" s="34" t="s">
        <v>106</v>
      </c>
      <c r="B93" s="9" t="s">
        <v>88</v>
      </c>
      <c r="C93" s="5" t="s">
        <v>61</v>
      </c>
      <c r="D93" s="45" t="e">
        <f>#REF!*1.15</f>
        <v>#REF!</v>
      </c>
    </row>
    <row r="94" spans="1:5" s="21" customFormat="1" ht="0.75" hidden="1" customHeight="1" thickBot="1">
      <c r="A94" s="43" t="s">
        <v>292</v>
      </c>
      <c r="B94" s="13" t="s">
        <v>293</v>
      </c>
      <c r="C94" s="5" t="s">
        <v>61</v>
      </c>
      <c r="D94" s="44">
        <v>290</v>
      </c>
      <c r="E94" s="24"/>
    </row>
    <row r="95" spans="1:5" ht="0.75" hidden="1" customHeight="1" thickBot="1">
      <c r="A95" s="34" t="s">
        <v>107</v>
      </c>
      <c r="B95" s="9" t="s">
        <v>299</v>
      </c>
      <c r="C95" s="5" t="s">
        <v>219</v>
      </c>
      <c r="D95" s="39">
        <v>30</v>
      </c>
      <c r="E95" s="28"/>
    </row>
    <row r="96" spans="1:5" s="1" customFormat="1" ht="0.75" hidden="1" customHeight="1" thickBot="1">
      <c r="A96" s="34" t="s">
        <v>108</v>
      </c>
      <c r="B96" s="9" t="s">
        <v>223</v>
      </c>
      <c r="C96" s="5" t="s">
        <v>43</v>
      </c>
      <c r="D96" s="39">
        <v>20</v>
      </c>
    </row>
    <row r="97" spans="1:5" s="1" customFormat="1" ht="0.75" hidden="1" customHeight="1" thickBot="1">
      <c r="A97" s="34" t="s">
        <v>109</v>
      </c>
      <c r="B97" s="9" t="s">
        <v>224</v>
      </c>
      <c r="C97" s="5" t="s">
        <v>43</v>
      </c>
      <c r="D97" s="39">
        <v>25</v>
      </c>
    </row>
    <row r="98" spans="1:5" ht="0.75" hidden="1" customHeight="1" thickBot="1">
      <c r="A98" s="34" t="s">
        <v>110</v>
      </c>
      <c r="B98" s="9" t="s">
        <v>72</v>
      </c>
      <c r="C98" s="5" t="s">
        <v>61</v>
      </c>
      <c r="D98" s="39">
        <v>200</v>
      </c>
    </row>
    <row r="99" spans="1:5" ht="0.75" hidden="1" customHeight="1" thickBot="1">
      <c r="A99" s="34" t="s">
        <v>111</v>
      </c>
      <c r="B99" s="9" t="s">
        <v>73</v>
      </c>
      <c r="C99" s="5" t="s">
        <v>61</v>
      </c>
      <c r="D99" s="39">
        <v>285</v>
      </c>
    </row>
    <row r="100" spans="1:5" ht="0.75" hidden="1" customHeight="1" thickBot="1">
      <c r="A100" s="34" t="s">
        <v>112</v>
      </c>
      <c r="B100" s="9" t="s">
        <v>317</v>
      </c>
      <c r="C100" s="5" t="s">
        <v>43</v>
      </c>
      <c r="D100" s="39">
        <v>30</v>
      </c>
    </row>
    <row r="101" spans="1:5" ht="0.75" hidden="1" customHeight="1" thickBot="1">
      <c r="A101" s="34" t="s">
        <v>318</v>
      </c>
      <c r="B101" s="9" t="s">
        <v>319</v>
      </c>
      <c r="C101" s="5" t="s">
        <v>43</v>
      </c>
      <c r="D101" s="39">
        <v>20</v>
      </c>
    </row>
    <row r="102" spans="1:5" ht="0.75" hidden="1" customHeight="1" thickBot="1">
      <c r="A102" s="34" t="s">
        <v>113</v>
      </c>
      <c r="B102" s="9" t="s">
        <v>74</v>
      </c>
      <c r="C102" s="5" t="s">
        <v>43</v>
      </c>
      <c r="D102" s="39">
        <v>35</v>
      </c>
    </row>
    <row r="103" spans="1:5" ht="0.75" hidden="1" customHeight="1" thickBot="1">
      <c r="A103" s="34" t="s">
        <v>114</v>
      </c>
      <c r="B103" s="9" t="s">
        <v>75</v>
      </c>
      <c r="C103" s="5" t="s">
        <v>61</v>
      </c>
      <c r="D103" s="39">
        <v>25</v>
      </c>
    </row>
    <row r="104" spans="1:5" ht="0.75" hidden="1" customHeight="1" thickBot="1">
      <c r="A104" s="34" t="s">
        <v>115</v>
      </c>
      <c r="B104" s="9" t="s">
        <v>76</v>
      </c>
      <c r="C104" s="5" t="s">
        <v>61</v>
      </c>
      <c r="D104" s="39">
        <v>60</v>
      </c>
    </row>
    <row r="105" spans="1:5" ht="0.75" hidden="1" customHeight="1" thickBot="1">
      <c r="A105" s="34" t="s">
        <v>116</v>
      </c>
      <c r="B105" s="9" t="s">
        <v>77</v>
      </c>
      <c r="C105" s="5" t="s">
        <v>61</v>
      </c>
      <c r="D105" s="39">
        <v>90</v>
      </c>
    </row>
    <row r="106" spans="1:5" ht="0.75" hidden="1" customHeight="1" thickBot="1">
      <c r="A106" s="34" t="s">
        <v>117</v>
      </c>
      <c r="B106" s="9" t="s">
        <v>78</v>
      </c>
      <c r="C106" s="5" t="s">
        <v>61</v>
      </c>
      <c r="D106" s="39" t="e">
        <f>#REF!*1.15</f>
        <v>#REF!</v>
      </c>
    </row>
    <row r="107" spans="1:5" ht="0.75" hidden="1" customHeight="1" thickBot="1">
      <c r="A107" s="34" t="s">
        <v>118</v>
      </c>
      <c r="B107" s="9" t="s">
        <v>79</v>
      </c>
      <c r="C107" s="5" t="s">
        <v>61</v>
      </c>
      <c r="D107" s="39">
        <v>140</v>
      </c>
    </row>
    <row r="108" spans="1:5" ht="0.75" hidden="1" customHeight="1" thickBot="1">
      <c r="A108" s="34" t="s">
        <v>125</v>
      </c>
      <c r="B108" s="9" t="s">
        <v>80</v>
      </c>
      <c r="C108" s="5" t="s">
        <v>61</v>
      </c>
      <c r="D108" s="39" t="e">
        <f>#REF!*1.15</f>
        <v>#REF!</v>
      </c>
    </row>
    <row r="109" spans="1:5" ht="0.75" hidden="1" customHeight="1" thickBot="1">
      <c r="A109" s="34" t="s">
        <v>126</v>
      </c>
      <c r="B109" s="9" t="s">
        <v>185</v>
      </c>
      <c r="C109" s="5" t="s">
        <v>61</v>
      </c>
      <c r="D109" s="39">
        <v>290</v>
      </c>
    </row>
    <row r="110" spans="1:5" ht="0.75" hidden="1" customHeight="1" thickBot="1">
      <c r="A110" s="34" t="s">
        <v>127</v>
      </c>
      <c r="B110" s="9" t="s">
        <v>81</v>
      </c>
      <c r="C110" s="5" t="s">
        <v>61</v>
      </c>
      <c r="D110" s="39">
        <v>405</v>
      </c>
    </row>
    <row r="111" spans="1:5" ht="0.75" hidden="1" customHeight="1" thickBot="1">
      <c r="A111" s="34" t="s">
        <v>128</v>
      </c>
      <c r="B111" s="9" t="s">
        <v>297</v>
      </c>
      <c r="C111" s="5" t="s">
        <v>61</v>
      </c>
      <c r="D111" s="39">
        <v>150</v>
      </c>
      <c r="E111" s="24"/>
    </row>
    <row r="112" spans="1:5" ht="0.75" hidden="1" customHeight="1" thickBot="1">
      <c r="A112" s="34" t="s">
        <v>296</v>
      </c>
      <c r="B112" s="9" t="s">
        <v>300</v>
      </c>
      <c r="C112" s="5" t="s">
        <v>61</v>
      </c>
      <c r="D112" s="39">
        <v>180</v>
      </c>
      <c r="E112" s="24"/>
    </row>
    <row r="113" spans="1:6" s="1" customFormat="1" ht="0.75" hidden="1" customHeight="1" thickBot="1">
      <c r="A113" s="34" t="s">
        <v>129</v>
      </c>
      <c r="B113" s="9" t="s">
        <v>222</v>
      </c>
      <c r="C113" s="5" t="s">
        <v>61</v>
      </c>
      <c r="D113" s="39">
        <v>150</v>
      </c>
      <c r="E113" s="24"/>
    </row>
    <row r="114" spans="1:6" ht="0.75" hidden="1" customHeight="1" thickBot="1">
      <c r="A114" s="34" t="s">
        <v>132</v>
      </c>
      <c r="B114" s="9" t="s">
        <v>82</v>
      </c>
      <c r="C114" s="5" t="s">
        <v>61</v>
      </c>
      <c r="D114" s="39">
        <v>170</v>
      </c>
    </row>
    <row r="115" spans="1:6" ht="0.75" hidden="1" customHeight="1" thickBot="1">
      <c r="A115" s="34" t="s">
        <v>247</v>
      </c>
      <c r="B115" s="9" t="s">
        <v>83</v>
      </c>
      <c r="C115" s="5" t="s">
        <v>61</v>
      </c>
      <c r="D115" s="39">
        <v>205</v>
      </c>
    </row>
    <row r="116" spans="1:6" ht="0.75" hidden="1" customHeight="1" thickBot="1">
      <c r="A116" s="73" t="s">
        <v>248</v>
      </c>
      <c r="B116" s="74" t="s">
        <v>320</v>
      </c>
      <c r="C116" s="71" t="s">
        <v>85</v>
      </c>
      <c r="D116" s="46">
        <v>180</v>
      </c>
      <c r="F116" s="2" t="s">
        <v>321</v>
      </c>
    </row>
    <row r="117" spans="1:6" ht="0.75" hidden="1" customHeight="1" thickBot="1">
      <c r="A117" s="64" t="s">
        <v>249</v>
      </c>
      <c r="B117" s="65" t="s">
        <v>84</v>
      </c>
      <c r="C117" s="66" t="s">
        <v>61</v>
      </c>
      <c r="D117" s="63">
        <v>55</v>
      </c>
      <c r="F117" s="2" t="s">
        <v>321</v>
      </c>
    </row>
    <row r="118" spans="1:6" s="1" customFormat="1" ht="0.75" hidden="1" customHeight="1" thickBot="1">
      <c r="A118" s="73" t="s">
        <v>250</v>
      </c>
      <c r="B118" s="74" t="s">
        <v>323</v>
      </c>
      <c r="C118" s="71" t="s">
        <v>85</v>
      </c>
      <c r="D118" s="46">
        <v>60</v>
      </c>
      <c r="E118" s="28"/>
      <c r="F118" s="2" t="s">
        <v>321</v>
      </c>
    </row>
    <row r="119" spans="1:6" s="1" customFormat="1" ht="0.75" hidden="1" customHeight="1" thickBot="1">
      <c r="A119" s="64" t="s">
        <v>251</v>
      </c>
      <c r="B119" s="65" t="s">
        <v>322</v>
      </c>
      <c r="C119" s="66" t="s">
        <v>85</v>
      </c>
      <c r="D119" s="63">
        <v>60</v>
      </c>
      <c r="E119" s="28"/>
      <c r="F119" s="1" t="s">
        <v>321</v>
      </c>
    </row>
    <row r="120" spans="1:6" s="1" customFormat="1" ht="0.75" hidden="1" customHeight="1" thickBot="1">
      <c r="A120" s="34" t="s">
        <v>252</v>
      </c>
      <c r="B120" s="17" t="s">
        <v>225</v>
      </c>
      <c r="C120" s="5" t="s">
        <v>61</v>
      </c>
      <c r="D120" s="47">
        <v>140</v>
      </c>
      <c r="E120" s="24"/>
    </row>
    <row r="121" spans="1:6" s="1" customFormat="1" ht="0.75" hidden="1" customHeight="1" thickBot="1">
      <c r="A121" s="48" t="s">
        <v>295</v>
      </c>
      <c r="B121" s="29" t="s">
        <v>294</v>
      </c>
      <c r="C121" s="22" t="s">
        <v>61</v>
      </c>
      <c r="D121" s="49">
        <v>80</v>
      </c>
      <c r="E121" s="24"/>
    </row>
    <row r="122" spans="1:6" ht="0.75" hidden="1" customHeight="1" thickBot="1">
      <c r="A122" s="79" t="s">
        <v>119</v>
      </c>
      <c r="B122" s="82"/>
      <c r="C122" s="82"/>
      <c r="D122" s="83"/>
    </row>
    <row r="123" spans="1:6" ht="0.75" hidden="1" customHeight="1" thickBot="1">
      <c r="A123" s="37" t="s">
        <v>253</v>
      </c>
      <c r="B123" s="12" t="s">
        <v>120</v>
      </c>
      <c r="C123" s="3" t="s">
        <v>42</v>
      </c>
      <c r="D123" s="38">
        <v>110</v>
      </c>
    </row>
    <row r="124" spans="1:6" ht="0.75" hidden="1" customHeight="1" thickBot="1">
      <c r="A124" s="37" t="s">
        <v>254</v>
      </c>
      <c r="B124" s="13" t="s">
        <v>121</v>
      </c>
      <c r="C124" s="5" t="s">
        <v>42</v>
      </c>
      <c r="D124" s="39">
        <v>90</v>
      </c>
    </row>
    <row r="125" spans="1:6" ht="0.75" hidden="1" customHeight="1" thickBot="1">
      <c r="A125" s="37" t="s">
        <v>255</v>
      </c>
      <c r="B125" s="9" t="s">
        <v>122</v>
      </c>
      <c r="C125" s="5" t="s">
        <v>42</v>
      </c>
      <c r="D125" s="39">
        <v>70</v>
      </c>
    </row>
    <row r="126" spans="1:6" ht="0.75" hidden="1" customHeight="1" thickBot="1">
      <c r="A126" s="37" t="s">
        <v>256</v>
      </c>
      <c r="B126" s="9" t="s">
        <v>123</v>
      </c>
      <c r="C126" s="5" t="s">
        <v>42</v>
      </c>
      <c r="D126" s="39">
        <v>60</v>
      </c>
    </row>
    <row r="127" spans="1:6" ht="0.75" hidden="1" customHeight="1" thickBot="1">
      <c r="A127" s="50" t="s">
        <v>257</v>
      </c>
      <c r="B127" s="11" t="s">
        <v>124</v>
      </c>
      <c r="C127" s="6" t="s">
        <v>42</v>
      </c>
      <c r="D127" s="40" t="e">
        <f>#REF!*1.15</f>
        <v>#REF!</v>
      </c>
    </row>
    <row r="128" spans="1:6" ht="0.75" hidden="1" customHeight="1" thickBot="1">
      <c r="A128" s="97" t="s">
        <v>130</v>
      </c>
      <c r="B128" s="98"/>
      <c r="C128" s="98"/>
      <c r="D128" s="99"/>
    </row>
    <row r="129" spans="1:4" ht="0.75" hidden="1" customHeight="1" thickBot="1">
      <c r="A129" s="51" t="s">
        <v>258</v>
      </c>
      <c r="B129" s="14" t="s">
        <v>131</v>
      </c>
      <c r="C129" s="4" t="s">
        <v>42</v>
      </c>
      <c r="D129" s="52" t="e">
        <f>#REF!*1.8</f>
        <v>#REF!</v>
      </c>
    </row>
    <row r="130" spans="1:4" ht="0.75" hidden="1" customHeight="1" thickBot="1">
      <c r="A130" s="100" t="s">
        <v>133</v>
      </c>
      <c r="B130" s="101"/>
      <c r="C130" s="101"/>
      <c r="D130" s="102"/>
    </row>
    <row r="131" spans="1:4" ht="0.75" hidden="1" customHeight="1" thickBot="1">
      <c r="A131" s="53" t="s">
        <v>144</v>
      </c>
      <c r="B131" s="8" t="s">
        <v>7</v>
      </c>
      <c r="C131" s="3" t="s">
        <v>42</v>
      </c>
      <c r="D131" s="38">
        <v>555</v>
      </c>
    </row>
    <row r="132" spans="1:4" ht="0.75" hidden="1" customHeight="1" thickBot="1">
      <c r="A132" s="53" t="s">
        <v>145</v>
      </c>
      <c r="B132" s="9" t="s">
        <v>11</v>
      </c>
      <c r="C132" s="5" t="s">
        <v>42</v>
      </c>
      <c r="D132" s="39">
        <v>315</v>
      </c>
    </row>
    <row r="133" spans="1:4" ht="0.75" hidden="1" customHeight="1" thickBot="1">
      <c r="A133" s="53" t="s">
        <v>146</v>
      </c>
      <c r="B133" s="9" t="s">
        <v>141</v>
      </c>
      <c r="C133" s="5" t="s">
        <v>42</v>
      </c>
      <c r="D133" s="39">
        <v>400</v>
      </c>
    </row>
    <row r="134" spans="1:4" ht="0.75" hidden="1" customHeight="1" thickBot="1">
      <c r="A134" s="53" t="s">
        <v>147</v>
      </c>
      <c r="B134" s="9" t="s">
        <v>159</v>
      </c>
      <c r="C134" s="5" t="s">
        <v>42</v>
      </c>
      <c r="D134" s="39" t="e">
        <f>#REF!*1.15</f>
        <v>#REF!</v>
      </c>
    </row>
    <row r="135" spans="1:4" ht="0.75" hidden="1" customHeight="1" thickBot="1">
      <c r="A135" s="53" t="s">
        <v>148</v>
      </c>
      <c r="B135" s="9" t="s">
        <v>160</v>
      </c>
      <c r="C135" s="5" t="s">
        <v>42</v>
      </c>
      <c r="D135" s="39">
        <v>750</v>
      </c>
    </row>
    <row r="136" spans="1:4" ht="0.75" hidden="1" customHeight="1" thickBot="1">
      <c r="A136" s="53" t="s">
        <v>149</v>
      </c>
      <c r="B136" s="9" t="s">
        <v>37</v>
      </c>
      <c r="C136" s="5" t="s">
        <v>44</v>
      </c>
      <c r="D136" s="39">
        <v>135</v>
      </c>
    </row>
    <row r="137" spans="1:4" ht="0.75" hidden="1" customHeight="1" thickBot="1">
      <c r="A137" s="53" t="s">
        <v>150</v>
      </c>
      <c r="B137" s="9" t="s">
        <v>158</v>
      </c>
      <c r="C137" s="5" t="s">
        <v>42</v>
      </c>
      <c r="D137" s="39">
        <v>200</v>
      </c>
    </row>
    <row r="138" spans="1:4" ht="0.75" hidden="1" customHeight="1" thickBot="1">
      <c r="A138" s="53" t="s">
        <v>151</v>
      </c>
      <c r="B138" s="9" t="s">
        <v>138</v>
      </c>
      <c r="C138" s="5" t="s">
        <v>42</v>
      </c>
      <c r="D138" s="39" t="e">
        <f>#REF!*1.15</f>
        <v>#REF!</v>
      </c>
    </row>
    <row r="139" spans="1:4" ht="0.75" hidden="1" customHeight="1" thickBot="1">
      <c r="A139" s="53" t="s">
        <v>152</v>
      </c>
      <c r="B139" s="9" t="s">
        <v>161</v>
      </c>
      <c r="C139" s="5" t="s">
        <v>42</v>
      </c>
      <c r="D139" s="39">
        <v>750</v>
      </c>
    </row>
    <row r="140" spans="1:4" ht="0.75" hidden="1" customHeight="1" thickBot="1">
      <c r="A140" s="53" t="s">
        <v>153</v>
      </c>
      <c r="B140" s="9" t="s">
        <v>140</v>
      </c>
      <c r="C140" s="5" t="s">
        <v>42</v>
      </c>
      <c r="D140" s="39" t="e">
        <f>#REF!*1.15</f>
        <v>#REF!</v>
      </c>
    </row>
    <row r="141" spans="1:4" ht="0.75" hidden="1" customHeight="1" thickBot="1">
      <c r="A141" s="53" t="s">
        <v>154</v>
      </c>
      <c r="B141" s="9" t="s">
        <v>10</v>
      </c>
      <c r="C141" s="5" t="s">
        <v>42</v>
      </c>
      <c r="D141" s="39">
        <v>490</v>
      </c>
    </row>
    <row r="142" spans="1:4" ht="0.75" hidden="1" customHeight="1" thickBot="1">
      <c r="A142" s="53" t="s">
        <v>155</v>
      </c>
      <c r="B142" s="9" t="s">
        <v>162</v>
      </c>
      <c r="C142" s="5" t="s">
        <v>42</v>
      </c>
      <c r="D142" s="39">
        <v>490</v>
      </c>
    </row>
    <row r="143" spans="1:4" ht="0.75" hidden="1" customHeight="1" thickBot="1">
      <c r="A143" s="53" t="s">
        <v>156</v>
      </c>
      <c r="B143" s="9" t="s">
        <v>137</v>
      </c>
      <c r="C143" s="5" t="s">
        <v>42</v>
      </c>
      <c r="D143" s="39">
        <v>125</v>
      </c>
    </row>
    <row r="144" spans="1:4" ht="0.75" hidden="1" customHeight="1" thickBot="1">
      <c r="A144" s="51" t="s">
        <v>157</v>
      </c>
      <c r="B144" s="11" t="s">
        <v>136</v>
      </c>
      <c r="C144" s="6" t="s">
        <v>42</v>
      </c>
      <c r="D144" s="40">
        <v>490</v>
      </c>
    </row>
    <row r="145" spans="1:4" ht="0.75" hidden="1" customHeight="1" thickBot="1">
      <c r="A145" s="86" t="s">
        <v>182</v>
      </c>
      <c r="B145" s="82"/>
      <c r="C145" s="82"/>
      <c r="D145" s="83"/>
    </row>
    <row r="146" spans="1:4" ht="0.75" hidden="1" customHeight="1" thickBot="1">
      <c r="A146" s="53" t="s">
        <v>163</v>
      </c>
      <c r="B146" s="8" t="s">
        <v>7</v>
      </c>
      <c r="C146" s="3" t="s">
        <v>42</v>
      </c>
      <c r="D146" s="38">
        <v>440</v>
      </c>
    </row>
    <row r="147" spans="1:4" ht="0.75" hidden="1" customHeight="1" thickBot="1">
      <c r="A147" s="53" t="s">
        <v>164</v>
      </c>
      <c r="B147" s="9" t="s">
        <v>10</v>
      </c>
      <c r="C147" s="5" t="s">
        <v>42</v>
      </c>
      <c r="D147" s="38">
        <v>370</v>
      </c>
    </row>
    <row r="148" spans="1:4" ht="0.75" hidden="1" customHeight="1" thickBot="1">
      <c r="A148" s="53" t="s">
        <v>165</v>
      </c>
      <c r="B148" s="9" t="s">
        <v>11</v>
      </c>
      <c r="C148" s="5" t="s">
        <v>42</v>
      </c>
      <c r="D148" s="38">
        <v>245</v>
      </c>
    </row>
    <row r="149" spans="1:4" ht="0.75" hidden="1" customHeight="1" thickBot="1">
      <c r="A149" s="53" t="s">
        <v>166</v>
      </c>
      <c r="B149" s="9" t="s">
        <v>39</v>
      </c>
      <c r="C149" s="5" t="s">
        <v>42</v>
      </c>
      <c r="D149" s="38">
        <v>430</v>
      </c>
    </row>
    <row r="150" spans="1:4" ht="0.75" hidden="1" customHeight="1" thickBot="1">
      <c r="A150" s="53" t="s">
        <v>167</v>
      </c>
      <c r="B150" s="9" t="s">
        <v>134</v>
      </c>
      <c r="C150" s="5" t="s">
        <v>42</v>
      </c>
      <c r="D150" s="38" t="e">
        <f>#REF!*1.15</f>
        <v>#REF!</v>
      </c>
    </row>
    <row r="151" spans="1:4" ht="0.75" hidden="1" customHeight="1" thickBot="1">
      <c r="A151" s="53" t="s">
        <v>168</v>
      </c>
      <c r="B151" s="9" t="s">
        <v>37</v>
      </c>
      <c r="C151" s="5" t="s">
        <v>44</v>
      </c>
      <c r="D151" s="38">
        <v>95</v>
      </c>
    </row>
    <row r="152" spans="1:4" ht="0.75" hidden="1" customHeight="1" thickBot="1">
      <c r="A152" s="53" t="s">
        <v>169</v>
      </c>
      <c r="B152" s="13" t="s">
        <v>135</v>
      </c>
      <c r="C152" s="5" t="s">
        <v>42</v>
      </c>
      <c r="D152" s="38">
        <v>185</v>
      </c>
    </row>
    <row r="153" spans="1:4" ht="0.75" hidden="1" customHeight="1" thickBot="1">
      <c r="A153" s="53" t="s">
        <v>170</v>
      </c>
      <c r="B153" s="9" t="s">
        <v>122</v>
      </c>
      <c r="C153" s="5" t="s">
        <v>42</v>
      </c>
      <c r="D153" s="38">
        <v>520</v>
      </c>
    </row>
    <row r="154" spans="1:4" ht="0.75" hidden="1" customHeight="1" thickBot="1">
      <c r="A154" s="53" t="s">
        <v>171</v>
      </c>
      <c r="B154" s="9" t="s">
        <v>136</v>
      </c>
      <c r="C154" s="5" t="s">
        <v>42</v>
      </c>
      <c r="D154" s="38">
        <v>405</v>
      </c>
    </row>
    <row r="155" spans="1:4" ht="0.75" hidden="1" customHeight="1" thickBot="1">
      <c r="A155" s="53" t="s">
        <v>172</v>
      </c>
      <c r="B155" s="9" t="s">
        <v>137</v>
      </c>
      <c r="C155" s="5" t="s">
        <v>42</v>
      </c>
      <c r="D155" s="38">
        <v>105</v>
      </c>
    </row>
    <row r="156" spans="1:4" ht="0.75" hidden="1" customHeight="1" thickBot="1">
      <c r="A156" s="53" t="s">
        <v>173</v>
      </c>
      <c r="B156" s="9" t="s">
        <v>138</v>
      </c>
      <c r="C156" s="5" t="s">
        <v>42</v>
      </c>
      <c r="D156" s="38" t="e">
        <f>#REF!*1.15</f>
        <v>#REF!</v>
      </c>
    </row>
    <row r="157" spans="1:4" ht="0.75" hidden="1" customHeight="1" thickBot="1">
      <c r="A157" s="53" t="s">
        <v>174</v>
      </c>
      <c r="B157" s="9" t="s">
        <v>139</v>
      </c>
      <c r="C157" s="5" t="s">
        <v>42</v>
      </c>
      <c r="D157" s="38">
        <v>530</v>
      </c>
    </row>
    <row r="158" spans="1:4" ht="0.75" hidden="1" customHeight="1" thickBot="1">
      <c r="A158" s="53" t="s">
        <v>175</v>
      </c>
      <c r="B158" s="9" t="s">
        <v>140</v>
      </c>
      <c r="C158" s="5" t="s">
        <v>42</v>
      </c>
      <c r="D158" s="38" t="e">
        <f>#REF!*1.15</f>
        <v>#REF!</v>
      </c>
    </row>
    <row r="159" spans="1:4" ht="0.75" hidden="1" customHeight="1" thickBot="1">
      <c r="A159" s="53" t="s">
        <v>176</v>
      </c>
      <c r="B159" s="9" t="s">
        <v>141</v>
      </c>
      <c r="C159" s="5" t="s">
        <v>42</v>
      </c>
      <c r="D159" s="38" t="e">
        <f>#REF!*1.15</f>
        <v>#REF!</v>
      </c>
    </row>
    <row r="160" spans="1:4" ht="0.75" hidden="1" customHeight="1" thickBot="1">
      <c r="A160" s="53" t="s">
        <v>177</v>
      </c>
      <c r="B160" s="9" t="s">
        <v>186</v>
      </c>
      <c r="C160" s="5" t="s">
        <v>61</v>
      </c>
      <c r="D160" s="38">
        <v>490</v>
      </c>
    </row>
    <row r="161" spans="1:4" ht="0.75" hidden="1" customHeight="1" thickBot="1">
      <c r="A161" s="53" t="s">
        <v>180</v>
      </c>
      <c r="B161" s="13" t="s">
        <v>187</v>
      </c>
      <c r="C161" s="5" t="s">
        <v>61</v>
      </c>
      <c r="D161" s="38">
        <v>635</v>
      </c>
    </row>
    <row r="162" spans="1:4" ht="0.75" hidden="1" customHeight="1" thickBot="1">
      <c r="A162" s="53" t="s">
        <v>228</v>
      </c>
      <c r="B162" s="13" t="s">
        <v>188</v>
      </c>
      <c r="C162" s="5" t="s">
        <v>61</v>
      </c>
      <c r="D162" s="38">
        <v>415</v>
      </c>
    </row>
    <row r="163" spans="1:4" ht="0.75" hidden="1" customHeight="1" thickBot="1">
      <c r="A163" s="53" t="s">
        <v>229</v>
      </c>
      <c r="B163" s="13" t="s">
        <v>189</v>
      </c>
      <c r="C163" s="5" t="s">
        <v>61</v>
      </c>
      <c r="D163" s="38">
        <v>490</v>
      </c>
    </row>
    <row r="164" spans="1:4" ht="0.75" hidden="1" customHeight="1" thickBot="1">
      <c r="A164" s="53" t="s">
        <v>230</v>
      </c>
      <c r="B164" s="9" t="s">
        <v>142</v>
      </c>
      <c r="C164" s="5" t="s">
        <v>61</v>
      </c>
      <c r="D164" s="38">
        <v>130</v>
      </c>
    </row>
    <row r="165" spans="1:4" ht="0.75" hidden="1" customHeight="1" thickBot="1">
      <c r="A165" s="53" t="s">
        <v>231</v>
      </c>
      <c r="B165" s="15" t="s">
        <v>143</v>
      </c>
      <c r="C165" s="6" t="s">
        <v>61</v>
      </c>
      <c r="D165" s="38">
        <v>95</v>
      </c>
    </row>
    <row r="166" spans="1:4" s="1" customFormat="1" ht="0.75" hidden="1" customHeight="1" thickBot="1">
      <c r="A166" s="51" t="s">
        <v>232</v>
      </c>
      <c r="B166" s="15" t="s">
        <v>237</v>
      </c>
      <c r="C166" s="6" t="s">
        <v>227</v>
      </c>
      <c r="D166" s="52">
        <v>200</v>
      </c>
    </row>
    <row r="167" spans="1:4" ht="0.75" hidden="1" customHeight="1" thickBot="1">
      <c r="A167" s="86" t="s">
        <v>181</v>
      </c>
      <c r="B167" s="82"/>
      <c r="C167" s="82"/>
      <c r="D167" s="83"/>
    </row>
    <row r="168" spans="1:4" ht="0.75" hidden="1" customHeight="1" thickBot="1">
      <c r="A168" s="37" t="s">
        <v>233</v>
      </c>
      <c r="B168" s="8" t="s">
        <v>178</v>
      </c>
      <c r="C168" s="3" t="s">
        <v>42</v>
      </c>
      <c r="D168" s="38" t="e">
        <f>#REF!*1</f>
        <v>#REF!</v>
      </c>
    </row>
    <row r="169" spans="1:4" ht="0.75" hidden="1" customHeight="1" thickBot="1">
      <c r="A169" s="37" t="s">
        <v>234</v>
      </c>
      <c r="B169" s="9" t="s">
        <v>140</v>
      </c>
      <c r="C169" s="5" t="s">
        <v>42</v>
      </c>
      <c r="D169" s="38" t="e">
        <f>#REF!*1</f>
        <v>#REF!</v>
      </c>
    </row>
    <row r="170" spans="1:4" ht="0.75" hidden="1" customHeight="1" thickBot="1">
      <c r="A170" s="37" t="s">
        <v>235</v>
      </c>
      <c r="B170" s="13" t="s">
        <v>120</v>
      </c>
      <c r="C170" s="5" t="s">
        <v>61</v>
      </c>
      <c r="D170" s="38" t="e">
        <f>#REF!*1</f>
        <v>#REF!</v>
      </c>
    </row>
    <row r="171" spans="1:4" ht="0.75" hidden="1" customHeight="1" thickBot="1">
      <c r="A171" s="54" t="s">
        <v>236</v>
      </c>
      <c r="B171" s="55" t="s">
        <v>179</v>
      </c>
      <c r="C171" s="56" t="s">
        <v>61</v>
      </c>
      <c r="D171" s="57" t="e">
        <f>#REF!*1</f>
        <v>#REF!</v>
      </c>
    </row>
    <row r="172" spans="1:4" ht="24.75" customHeight="1" thickBot="1">
      <c r="A172" s="103" t="s">
        <v>305</v>
      </c>
      <c r="B172" s="82"/>
      <c r="C172" s="82"/>
      <c r="D172" s="83"/>
    </row>
    <row r="173" spans="1:4" ht="24.75" customHeight="1">
      <c r="A173" s="67" t="s">
        <v>307</v>
      </c>
      <c r="B173" s="68" t="s">
        <v>304</v>
      </c>
      <c r="C173" s="69" t="s">
        <v>326</v>
      </c>
      <c r="D173" s="70" t="s">
        <v>332</v>
      </c>
    </row>
    <row r="174" spans="1:4" ht="24.75" customHeight="1">
      <c r="A174" s="67" t="s">
        <v>308</v>
      </c>
      <c r="B174" s="68" t="s">
        <v>306</v>
      </c>
      <c r="C174" s="69" t="s">
        <v>326</v>
      </c>
      <c r="D174" s="70" t="s">
        <v>333</v>
      </c>
    </row>
    <row r="175" spans="1:4" ht="24.75" customHeight="1">
      <c r="A175" s="67" t="s">
        <v>309</v>
      </c>
      <c r="B175" s="68" t="s">
        <v>302</v>
      </c>
      <c r="C175" s="69" t="s">
        <v>326</v>
      </c>
      <c r="D175" s="70" t="s">
        <v>334</v>
      </c>
    </row>
    <row r="176" spans="1:4" ht="24.75" customHeight="1" thickBot="1">
      <c r="A176" s="67" t="s">
        <v>310</v>
      </c>
      <c r="B176" s="72" t="s">
        <v>303</v>
      </c>
      <c r="C176" s="69" t="s">
        <v>326</v>
      </c>
      <c r="D176" s="70" t="s">
        <v>335</v>
      </c>
    </row>
    <row r="177" spans="1:4" ht="24.75" customHeight="1" thickBot="1">
      <c r="A177" s="103" t="s">
        <v>315</v>
      </c>
      <c r="B177" s="104"/>
      <c r="C177" s="104"/>
      <c r="D177" s="105"/>
    </row>
    <row r="178" spans="1:4" ht="24.75" customHeight="1">
      <c r="A178" s="67" t="s">
        <v>311</v>
      </c>
      <c r="B178" s="68" t="s">
        <v>304</v>
      </c>
      <c r="C178" s="69" t="s">
        <v>326</v>
      </c>
      <c r="D178" s="70">
        <v>260</v>
      </c>
    </row>
    <row r="179" spans="1:4" ht="24.75" customHeight="1">
      <c r="A179" s="67" t="s">
        <v>312</v>
      </c>
      <c r="B179" s="68" t="s">
        <v>306</v>
      </c>
      <c r="C179" s="69" t="s">
        <v>326</v>
      </c>
      <c r="D179" s="70">
        <v>290</v>
      </c>
    </row>
    <row r="180" spans="1:4" ht="24.75" customHeight="1">
      <c r="A180" s="67" t="s">
        <v>313</v>
      </c>
      <c r="B180" s="68" t="s">
        <v>302</v>
      </c>
      <c r="C180" s="69" t="s">
        <v>326</v>
      </c>
      <c r="D180" s="70">
        <v>320</v>
      </c>
    </row>
    <row r="181" spans="1:4" ht="24.75" customHeight="1">
      <c r="A181" s="67" t="s">
        <v>314</v>
      </c>
      <c r="B181" s="72" t="s">
        <v>303</v>
      </c>
      <c r="C181" s="69" t="s">
        <v>326</v>
      </c>
      <c r="D181" s="70">
        <v>170</v>
      </c>
    </row>
    <row r="182" spans="1:4" ht="13.5" customHeight="1">
      <c r="A182" s="59"/>
      <c r="B182" s="60"/>
      <c r="C182" s="61"/>
      <c r="D182" s="62"/>
    </row>
    <row r="183" spans="1:4" s="19" customFormat="1" ht="31.5" customHeight="1">
      <c r="A183" s="18" t="s">
        <v>220</v>
      </c>
      <c r="B183" s="7"/>
      <c r="D183" s="26"/>
    </row>
    <row r="184" spans="1:4" s="19" customFormat="1" ht="27.75" customHeight="1">
      <c r="A184" s="87" t="s">
        <v>221</v>
      </c>
      <c r="B184" s="88"/>
      <c r="C184" s="88"/>
      <c r="D184" s="88"/>
    </row>
    <row r="185" spans="1:4" ht="33.75" customHeight="1">
      <c r="B185" s="76" t="s">
        <v>4</v>
      </c>
      <c r="C185" s="19"/>
    </row>
    <row r="186" spans="1:4">
      <c r="B186" s="76" t="s">
        <v>5</v>
      </c>
      <c r="C186" s="77">
        <v>46020</v>
      </c>
    </row>
    <row r="187" spans="1:4">
      <c r="B187" s="76" t="s">
        <v>6</v>
      </c>
      <c r="C187" s="19"/>
    </row>
    <row r="188" spans="1:4">
      <c r="B188" s="78"/>
      <c r="C188" s="19"/>
    </row>
    <row r="189" spans="1:4">
      <c r="B189" s="7" t="s">
        <v>336</v>
      </c>
    </row>
  </sheetData>
  <mergeCells count="18">
    <mergeCell ref="A184:D184"/>
    <mergeCell ref="A7:D7"/>
    <mergeCell ref="C8:C9"/>
    <mergeCell ref="B8:B9"/>
    <mergeCell ref="A8:A9"/>
    <mergeCell ref="A122:D122"/>
    <mergeCell ref="A128:D128"/>
    <mergeCell ref="A130:D130"/>
    <mergeCell ref="A172:D172"/>
    <mergeCell ref="A177:D177"/>
    <mergeCell ref="A145:D145"/>
    <mergeCell ref="A80:D80"/>
    <mergeCell ref="A73:D73"/>
    <mergeCell ref="A59:D59"/>
    <mergeCell ref="A1:D1"/>
    <mergeCell ref="A167:D167"/>
    <mergeCell ref="B5:D5"/>
    <mergeCell ref="A6:D6"/>
  </mergeCells>
  <pageMargins left="1.06" right="0.19685039370078741" top="0.24" bottom="0.23622047244094491" header="0.31496062992125984" footer="0.23622047244094491"/>
  <pageSetup paperSize="9" scale="7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TEXTILE, piele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2025-12-30T12:35:41Z</dcterms:modified>
</cp:coreProperties>
</file>